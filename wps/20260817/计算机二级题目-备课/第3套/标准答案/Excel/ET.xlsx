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1970" tabRatio="744" activeTab="13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  <sheet name="员工资料" sheetId="13" r:id="rId13"/>
    <sheet name="工资数据分析" sheetId="14" r:id="rId14"/>
  </sheets>
  <calcPr calcId="144525"/>
  <pivotCaches>
    <pivotCache cacheId="0" r:id="rId36"/>
    <pivotCache cacheId="1" r:id="rId37"/>
    <pivotCache cacheId="2" r:id="rId38"/>
  </pivotCaches>
</workbook>
</file>

<file path=xl/sharedStrings.xml><?xml version="1.0" encoding="utf-8"?>
<sst xmlns="http://schemas.openxmlformats.org/spreadsheetml/2006/main" count="610" uniqueCount="60">
  <si>
    <t>姓名</t>
  </si>
  <si>
    <t>性别</t>
  </si>
  <si>
    <t>合同种类</t>
  </si>
  <si>
    <t>基本工资</t>
  </si>
  <si>
    <t>岗位工资</t>
  </si>
  <si>
    <t>工龄工资</t>
  </si>
  <si>
    <t>补贴</t>
  </si>
  <si>
    <t>医疗补助</t>
  </si>
  <si>
    <t>奖金</t>
  </si>
  <si>
    <t>考勤扣款</t>
  </si>
  <si>
    <t>住房公积金</t>
  </si>
  <si>
    <t>养老保险</t>
  </si>
  <si>
    <t>医疗保险</t>
  </si>
  <si>
    <t>失业保险</t>
  </si>
  <si>
    <t>个人所得税</t>
  </si>
  <si>
    <t>应发合计</t>
  </si>
  <si>
    <t>应扣合计</t>
  </si>
  <si>
    <t>实发合计</t>
  </si>
  <si>
    <t>A001</t>
  </si>
  <si>
    <t>A002</t>
  </si>
  <si>
    <t>A005</t>
  </si>
  <si>
    <t>A006</t>
  </si>
  <si>
    <t>A008</t>
  </si>
  <si>
    <t>A010</t>
  </si>
  <si>
    <t>A016</t>
  </si>
  <si>
    <t>A003</t>
  </si>
  <si>
    <t>A004</t>
  </si>
  <si>
    <t>A007</t>
  </si>
  <si>
    <t>A009</t>
  </si>
  <si>
    <t>A011</t>
  </si>
  <si>
    <t>A012</t>
  </si>
  <si>
    <t>A013</t>
  </si>
  <si>
    <t>A014</t>
  </si>
  <si>
    <t>A015</t>
  </si>
  <si>
    <r>
      <rPr>
        <sz val="10"/>
        <color theme="1"/>
        <rFont val="微软雅黑"/>
        <charset val="134"/>
      </rPr>
      <t>A00</t>
    </r>
    <r>
      <rPr>
        <sz val="10"/>
        <color theme="1"/>
        <rFont val="微软雅黑"/>
        <charset val="134"/>
      </rPr>
      <t>4</t>
    </r>
  </si>
  <si>
    <r>
      <rPr>
        <sz val="10"/>
        <color theme="1"/>
        <rFont val="微软雅黑"/>
        <charset val="134"/>
      </rPr>
      <t>A0</t>
    </r>
    <r>
      <rPr>
        <sz val="10"/>
        <color theme="1"/>
        <rFont val="微软雅黑"/>
        <charset val="134"/>
      </rPr>
      <t>13</t>
    </r>
  </si>
  <si>
    <r>
      <rPr>
        <sz val="10"/>
        <color theme="1"/>
        <rFont val="微软雅黑"/>
        <charset val="134"/>
      </rPr>
      <t>A00</t>
    </r>
    <r>
      <rPr>
        <sz val="10"/>
        <color theme="1"/>
        <rFont val="微软雅黑"/>
        <charset val="134"/>
      </rPr>
      <t>7</t>
    </r>
  </si>
  <si>
    <r>
      <rPr>
        <sz val="10"/>
        <color theme="1"/>
        <rFont val="微软雅黑"/>
        <charset val="134"/>
      </rPr>
      <t>A00</t>
    </r>
    <r>
      <rPr>
        <sz val="10"/>
        <color theme="1"/>
        <rFont val="微软雅黑"/>
        <charset val="134"/>
      </rPr>
      <t>8</t>
    </r>
  </si>
  <si>
    <r>
      <rPr>
        <sz val="10"/>
        <color theme="1"/>
        <rFont val="微软雅黑"/>
        <charset val="134"/>
      </rPr>
      <t>A00</t>
    </r>
    <r>
      <rPr>
        <sz val="10"/>
        <color theme="1"/>
        <rFont val="微软雅黑"/>
        <charset val="134"/>
      </rPr>
      <t>9</t>
    </r>
  </si>
  <si>
    <r>
      <rPr>
        <sz val="10"/>
        <color theme="1"/>
        <rFont val="微软雅黑"/>
        <charset val="134"/>
      </rPr>
      <t>A00</t>
    </r>
    <r>
      <rPr>
        <sz val="10"/>
        <color theme="1"/>
        <rFont val="微软雅黑"/>
        <charset val="134"/>
      </rPr>
      <t>2</t>
    </r>
  </si>
  <si>
    <r>
      <rPr>
        <sz val="10"/>
        <color theme="1"/>
        <rFont val="微软雅黑"/>
        <charset val="134"/>
      </rPr>
      <t>A0</t>
    </r>
    <r>
      <rPr>
        <sz val="10"/>
        <color theme="1"/>
        <rFont val="微软雅黑"/>
        <charset val="134"/>
      </rPr>
      <t>0</t>
    </r>
    <r>
      <rPr>
        <sz val="10"/>
        <color theme="1"/>
        <rFont val="微软雅黑"/>
        <charset val="134"/>
      </rPr>
      <t>5</t>
    </r>
  </si>
  <si>
    <t>实发排行榜</t>
  </si>
  <si>
    <t>A017</t>
  </si>
  <si>
    <t>A018</t>
  </si>
  <si>
    <t>A019</t>
  </si>
  <si>
    <t>A020</t>
  </si>
  <si>
    <t>人数</t>
  </si>
  <si>
    <t>男</t>
  </si>
  <si>
    <t>合同工</t>
  </si>
  <si>
    <t>劳务工</t>
  </si>
  <si>
    <t>女</t>
  </si>
  <si>
    <t>页1</t>
  </si>
  <si>
    <t>(全部)</t>
  </si>
  <si>
    <t>求和项:值</t>
  </si>
  <si>
    <t>员工福利</t>
  </si>
  <si>
    <t>项目</t>
  </si>
  <si>
    <t>平均值</t>
  </si>
  <si>
    <t>全年</t>
  </si>
  <si>
    <t>工资平均值</t>
  </si>
  <si>
    <t>总计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</si>
</sst>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#,##0.00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9" borderId="9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13" fillId="6" borderId="3" applyNumberForma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20">
    <dxf>
      <numFmt numFmtId="177" formatCode="#,##0.00_ "/>
    </dxf>
    <dxf>
      <numFmt numFmtId="177" formatCode="#,##0.00_ "/>
    </dxf>
    <dxf>
      <numFmt numFmtId="177" formatCode="#,##0.00_ 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numFmt numFmtId="177" formatCode="#,##0.00_ 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.00_ "/>
      <fill>
        <patternFill patternType="none"/>
      </fill>
      <alignment horizontal="center"/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haredStrings" Target="sharedStrings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2.xml"/><Relationship Id="rId36" Type="http://schemas.openxmlformats.org/officeDocument/2006/relationships/pivotCacheDefinition" Target="pivotCache/pivotCacheDefinition1.xml"/><Relationship Id="rId35" Type="http://schemas.openxmlformats.org/officeDocument/2006/relationships/customXml" Target="../customXml/item21.xml"/><Relationship Id="rId34" Type="http://schemas.openxmlformats.org/officeDocument/2006/relationships/customXml" Target="../customXml/item20.xml"/><Relationship Id="rId33" Type="http://schemas.openxmlformats.org/officeDocument/2006/relationships/customXml" Target="../customXml/item19.xml"/><Relationship Id="rId32" Type="http://schemas.openxmlformats.org/officeDocument/2006/relationships/customXml" Target="../customXml/item18.xml"/><Relationship Id="rId31" Type="http://schemas.openxmlformats.org/officeDocument/2006/relationships/customXml" Target="../customXml/item17.xml"/><Relationship Id="rId30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15.xml"/><Relationship Id="rId28" Type="http://schemas.openxmlformats.org/officeDocument/2006/relationships/customXml" Target="../customXml/item14.xml"/><Relationship Id="rId27" Type="http://schemas.openxmlformats.org/officeDocument/2006/relationships/customXml" Target="../customXml/item13.xml"/><Relationship Id="rId26" Type="http://schemas.openxmlformats.org/officeDocument/2006/relationships/customXml" Target="../customXml/item12.xml"/><Relationship Id="rId25" Type="http://schemas.openxmlformats.org/officeDocument/2006/relationships/customXml" Target="../customXml/item11.xml"/><Relationship Id="rId24" Type="http://schemas.openxmlformats.org/officeDocument/2006/relationships/customXml" Target="../customXml/item10.xml"/><Relationship Id="rId23" Type="http://schemas.openxmlformats.org/officeDocument/2006/relationships/customXml" Target="../customXml/item9.xml"/><Relationship Id="rId22" Type="http://schemas.openxmlformats.org/officeDocument/2006/relationships/customXml" Target="../customXml/item8.xml"/><Relationship Id="rId21" Type="http://schemas.openxmlformats.org/officeDocument/2006/relationships/customXml" Target="../customXml/item7.xml"/><Relationship Id="rId20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5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'5月'!$P$1</c:f>
              <c:strCache>
                <c:ptCount val="1"/>
                <c:pt idx="0">
                  <c:v>应发合计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'5月'!$A$2:$A$17</c:f>
              <c:strCache>
                <c:ptCount val="16"/>
                <c:pt idx="0">
                  <c:v>A001</c:v>
                </c:pt>
                <c:pt idx="1">
                  <c:v>A004</c:v>
                </c:pt>
                <c:pt idx="2">
                  <c:v>A005</c:v>
                </c:pt>
                <c:pt idx="3">
                  <c:v>A006</c:v>
                </c:pt>
                <c:pt idx="4">
                  <c:v>A008</c:v>
                </c:pt>
                <c:pt idx="5">
                  <c:v>A010</c:v>
                </c:pt>
                <c:pt idx="6">
                  <c:v>A016</c:v>
                </c:pt>
                <c:pt idx="7">
                  <c:v>A002</c:v>
                </c:pt>
                <c:pt idx="8">
                  <c:v>A007</c:v>
                </c:pt>
                <c:pt idx="9">
                  <c:v>A013</c:v>
                </c:pt>
                <c:pt idx="10">
                  <c:v>A009</c:v>
                </c:pt>
                <c:pt idx="11">
                  <c:v>A011</c:v>
                </c:pt>
                <c:pt idx="12">
                  <c:v>A012</c:v>
                </c:pt>
                <c:pt idx="13">
                  <c:v>A003</c:v>
                </c:pt>
                <c:pt idx="14">
                  <c:v>A014</c:v>
                </c:pt>
                <c:pt idx="15">
                  <c:v>A015</c:v>
                </c:pt>
              </c:strCache>
            </c:strRef>
          </c:cat>
          <c:val>
            <c:numRef>
              <c:f>'5月'!$P$2:$P$17</c:f>
              <c:numCache>
                <c:formatCode>0.00_ </c:formatCode>
                <c:ptCount val="16"/>
                <c:pt idx="0">
                  <c:v>7312</c:v>
                </c:pt>
                <c:pt idx="1">
                  <c:v>6744</c:v>
                </c:pt>
                <c:pt idx="2">
                  <c:v>4885</c:v>
                </c:pt>
                <c:pt idx="3">
                  <c:v>5040</c:v>
                </c:pt>
                <c:pt idx="4">
                  <c:v>7709</c:v>
                </c:pt>
                <c:pt idx="5">
                  <c:v>5075</c:v>
                </c:pt>
                <c:pt idx="6">
                  <c:v>6746</c:v>
                </c:pt>
                <c:pt idx="7">
                  <c:v>6109</c:v>
                </c:pt>
                <c:pt idx="8">
                  <c:v>5089</c:v>
                </c:pt>
                <c:pt idx="9">
                  <c:v>5016</c:v>
                </c:pt>
                <c:pt idx="10">
                  <c:v>7115</c:v>
                </c:pt>
                <c:pt idx="11">
                  <c:v>7424</c:v>
                </c:pt>
                <c:pt idx="12">
                  <c:v>6392</c:v>
                </c:pt>
                <c:pt idx="13">
                  <c:v>6151</c:v>
                </c:pt>
                <c:pt idx="14">
                  <c:v>7852</c:v>
                </c:pt>
                <c:pt idx="15">
                  <c:v>7130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6650074"/>
        <c:axId val="809353515"/>
      </c:barChart>
      <c:lineChart>
        <c:grouping val="standard"/>
        <c:varyColors val="0"/>
        <c:ser>
          <c:idx val="0"/>
          <c:order val="0"/>
          <c:tx>
            <c:strRef>
              <c:f>'5月'!$I$1</c:f>
              <c:strCache>
                <c:ptCount val="1"/>
                <c:pt idx="0">
                  <c:v>奖金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'5月'!$A$2:$A$17</c:f>
              <c:strCache>
                <c:ptCount val="16"/>
                <c:pt idx="0">
                  <c:v>A001</c:v>
                </c:pt>
                <c:pt idx="1">
                  <c:v>A004</c:v>
                </c:pt>
                <c:pt idx="2">
                  <c:v>A005</c:v>
                </c:pt>
                <c:pt idx="3">
                  <c:v>A006</c:v>
                </c:pt>
                <c:pt idx="4">
                  <c:v>A008</c:v>
                </c:pt>
                <c:pt idx="5">
                  <c:v>A010</c:v>
                </c:pt>
                <c:pt idx="6">
                  <c:v>A016</c:v>
                </c:pt>
                <c:pt idx="7">
                  <c:v>A002</c:v>
                </c:pt>
                <c:pt idx="8">
                  <c:v>A007</c:v>
                </c:pt>
                <c:pt idx="9">
                  <c:v>A013</c:v>
                </c:pt>
                <c:pt idx="10">
                  <c:v>A009</c:v>
                </c:pt>
                <c:pt idx="11">
                  <c:v>A011</c:v>
                </c:pt>
                <c:pt idx="12">
                  <c:v>A012</c:v>
                </c:pt>
                <c:pt idx="13">
                  <c:v>A003</c:v>
                </c:pt>
                <c:pt idx="14">
                  <c:v>A014</c:v>
                </c:pt>
                <c:pt idx="15">
                  <c:v>A015</c:v>
                </c:pt>
              </c:strCache>
            </c:strRef>
          </c:cat>
          <c:val>
            <c:numRef>
              <c:f>'5月'!$I$2:$I$17</c:f>
              <c:numCache>
                <c:formatCode>0.00_ </c:formatCode>
                <c:ptCount val="16"/>
                <c:pt idx="0">
                  <c:v>307</c:v>
                </c:pt>
                <c:pt idx="1">
                  <c:v>267</c:v>
                </c:pt>
                <c:pt idx="2">
                  <c:v>518</c:v>
                </c:pt>
                <c:pt idx="3">
                  <c:v>544</c:v>
                </c:pt>
                <c:pt idx="4">
                  <c:v>334</c:v>
                </c:pt>
                <c:pt idx="5">
                  <c:v>518</c:v>
                </c:pt>
                <c:pt idx="6">
                  <c:v>535</c:v>
                </c:pt>
                <c:pt idx="7">
                  <c:v>558</c:v>
                </c:pt>
                <c:pt idx="8">
                  <c:v>592</c:v>
                </c:pt>
                <c:pt idx="9">
                  <c:v>355</c:v>
                </c:pt>
                <c:pt idx="10">
                  <c:v>239</c:v>
                </c:pt>
                <c:pt idx="11">
                  <c:v>487</c:v>
                </c:pt>
                <c:pt idx="12">
                  <c:v>489</c:v>
                </c:pt>
                <c:pt idx="13">
                  <c:v>464</c:v>
                </c:pt>
                <c:pt idx="14">
                  <c:v>352</c:v>
                </c:pt>
                <c:pt idx="15">
                  <c:v>428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561846"/>
        <c:axId val="939616287"/>
      </c:lineChart>
      <c:catAx>
        <c:axId val="9466500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353515"/>
        <c:crosses val="autoZero"/>
        <c:auto val="1"/>
        <c:lblAlgn val="ctr"/>
        <c:lblOffset val="100"/>
        <c:noMultiLvlLbl val="0"/>
      </c:catAx>
      <c:valAx>
        <c:axId val="809353515"/>
        <c:scaling>
          <c:orientation val="minMax"/>
        </c:scaling>
        <c:delete val="0"/>
        <c:axPos val="l"/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650074"/>
        <c:crosses val="autoZero"/>
        <c:crossBetween val="between"/>
      </c:valAx>
      <c:catAx>
        <c:axId val="90456184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616287"/>
        <c:crosses val="autoZero"/>
        <c:auto val="1"/>
        <c:lblAlgn val="ctr"/>
        <c:lblOffset val="100"/>
        <c:noMultiLvlLbl val="0"/>
      </c:catAx>
      <c:valAx>
        <c:axId val="939616287"/>
        <c:scaling>
          <c:orientation val="minMax"/>
          <c:max val="600"/>
          <c:min val="200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56184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15875</xdr:colOff>
      <xdr:row>18</xdr:row>
      <xdr:rowOff>15875</xdr:rowOff>
    </xdr:from>
    <xdr:to>
      <xdr:col>13</xdr:col>
      <xdr:colOff>714375</xdr:colOff>
      <xdr:row>32</xdr:row>
      <xdr:rowOff>165100</xdr:rowOff>
    </xdr:to>
    <xdr:graphicFrame>
      <xdr:nvGraphicFramePr>
        <xdr:cNvPr id="4" name="图表 3"/>
        <xdr:cNvGraphicFramePr/>
      </xdr:nvGraphicFramePr>
      <xdr:xfrm>
        <a:off x="760730" y="3787775"/>
        <a:ext cx="9644380" cy="3082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322.8451736111" refreshedBy="86133" recordCount="3264">
  <cacheSource type="consolidation">
    <consolidation>
      <pages count="1">
        <page count="12">
          <pageItem name="项1"/>
          <pageItem name="项2"/>
          <pageItem name="项3"/>
          <pageItem name="项4"/>
          <pageItem name="项5"/>
          <pageItem name="项6"/>
          <pageItem name="项7"/>
          <pageItem name="项8"/>
          <pageItem name="项9"/>
          <pageItem name="项10"/>
          <pageItem name="项11"/>
          <pageItem name="项12"/>
        </page>
      </pages>
      <rangeSets count="12">
        <rangeSet i1="0" ref="A1:R17" sheet="1月"/>
        <rangeSet i1="1" ref="A1:R17" sheet="2月"/>
        <rangeSet i1="2" ref="A1:R17" sheet="3月"/>
        <rangeSet i1="3" ref="A1:R17" sheet="4月"/>
        <rangeSet i1="4" ref="A1:R17" sheet="5月"/>
        <rangeSet i1="5" ref="A1:R17" sheet="6月"/>
        <rangeSet i1="6" ref="A1:R17" sheet="7月"/>
        <rangeSet i1="7" ref="A1:R17" sheet="8月"/>
        <rangeSet i1="8" ref="A1:R17" sheet="9月"/>
        <rangeSet i1="9" ref="A1:R17" sheet="10月"/>
        <rangeSet i1="10" ref="A1:R17" sheet="11月"/>
        <rangeSet i1="11" ref="A1:R17" sheet="12月"/>
      </rangeSets>
    </consolidation>
  </cacheSource>
  <cacheFields count="4">
    <cacheField name="行" numFmtId="0">
      <sharedItems count="16">
        <s v="A001"/>
        <s v="A002"/>
        <s v="A005"/>
        <s v="A006"/>
        <s v="A008"/>
        <s v="A010"/>
        <s v="A016"/>
        <s v="A003"/>
        <s v="A004"/>
        <s v="A007"/>
        <s v="A009"/>
        <s v="A011"/>
        <s v="A012"/>
        <s v="A013"/>
        <s v="A014"/>
        <s v="A015"/>
      </sharedItems>
    </cacheField>
    <cacheField name="列" numFmtId="0">
      <sharedItems count="17">
        <s v="性别"/>
        <s v="合同种类"/>
        <s v="基本工资"/>
        <s v="岗位工资"/>
        <s v="工龄工资"/>
        <s v="补贴"/>
        <s v="医疗补助"/>
        <s v="奖金"/>
        <s v="考勤扣款"/>
        <s v="住房公积金"/>
        <s v="养老保险"/>
        <s v="医疗保险"/>
        <s v="失业保险"/>
        <s v="个人所得税"/>
        <s v="应发合计"/>
        <s v="应扣合计"/>
        <s v="实发合计"/>
      </sharedItems>
    </cacheField>
    <cacheField name="值" numFmtId="0">
      <sharedItems containsNumber="1" containsMixedTypes="1" count="2174">
        <s v="男"/>
        <s v="合同工"/>
        <n v="2975"/>
        <n v="441"/>
        <n v="60"/>
        <n v="900"/>
        <n v="354"/>
        <n v="332"/>
        <n v="100"/>
        <n v="404.96"/>
        <n v="303.72"/>
        <n v="43.74"/>
        <n v="139.68"/>
        <n v="65.592"/>
        <n v="4962"/>
        <n v="957.692"/>
        <n v="4004.308"/>
        <n v="2637"/>
        <n v="429"/>
        <n v="110"/>
        <n v="835"/>
        <n v="594"/>
        <n v="568"/>
        <n v="81"/>
        <n v="413.84"/>
        <n v="310.38"/>
        <n v="50.72"/>
        <n v="168.56"/>
        <n v="71.88"/>
        <n v="5092"/>
        <n v="1015.38"/>
        <n v="4076.62"/>
        <s v="女"/>
        <n v="4691"/>
        <n v="320"/>
        <n v="210"/>
        <n v="1229"/>
        <n v="277"/>
        <n v="494"/>
        <n v="16"/>
        <n v="577.68"/>
        <n v="433.26"/>
        <n v="50.6"/>
        <n v="176.8"/>
        <n v="217.3328"/>
        <n v="7205"/>
        <n v="1455.6728"/>
        <n v="5749.3272"/>
        <n v="5282"/>
        <n v="323"/>
        <n v="270"/>
        <n v="910"/>
        <n v="492"/>
        <n v="255"/>
        <n v="62"/>
        <n v="602.56"/>
        <n v="451.92"/>
        <n v="46.24"/>
        <n v="159.12"/>
        <n v="236.8128"/>
        <n v="7470"/>
        <n v="1496.6528"/>
        <n v="5973.3472"/>
        <n v="4233"/>
        <n v="549"/>
        <n v="230"/>
        <n v="1032"/>
        <n v="248"/>
        <n v="414"/>
        <n v="53"/>
        <n v="536.48"/>
        <n v="402.36"/>
        <n v="50.52"/>
        <n v="158.16"/>
        <n v="180.4384"/>
        <n v="6653"/>
        <n v="1327.9584"/>
        <n v="5325.0416"/>
        <n v="4765"/>
        <n v="374"/>
        <n v="170"/>
        <n v="714"/>
        <n v="331"/>
        <n v="463"/>
        <n v="29"/>
        <n v="545.36"/>
        <n v="409.02"/>
        <n v="41.04"/>
        <n v="134.24"/>
        <n v="192.6672"/>
        <n v="6788"/>
        <n v="1322.3272"/>
        <n v="5465.6728"/>
        <n v="4519"/>
        <n v="534"/>
        <n v="260"/>
        <n v="1162"/>
        <n v="367"/>
        <n v="130"/>
        <n v="569.52"/>
        <n v="427.14"/>
        <n v="52.96"/>
        <n v="173.36"/>
        <n v="201.2816"/>
        <n v="6989"/>
        <n v="1424.2616"/>
        <n v="5564.7384"/>
        <s v="劳务工"/>
        <n v="5688"/>
        <n v="279"/>
        <n v="290"/>
        <n v="963"/>
        <n v="493"/>
        <n v="242"/>
        <n v="0"/>
        <n v="636.4"/>
        <n v="477.3"/>
        <n v="45.34"/>
        <n v="159.04"/>
        <n v="270.9536"/>
        <n v="7955"/>
        <n v="1589.0336"/>
        <n v="6365.9664"/>
        <n v="2981"/>
        <n v="296"/>
        <n v="200"/>
        <n v="778"/>
        <n v="595"/>
        <n v="383"/>
        <n v="54"/>
        <n v="418.64"/>
        <n v="313.98"/>
        <n v="45.04"/>
        <n v="159.6"/>
        <n v="79.3392"/>
        <n v="5179"/>
        <n v="1016.5992"/>
        <n v="4162.4008"/>
        <n v="5642"/>
        <n v="1029"/>
        <n v="453"/>
        <n v="382"/>
        <n v="76"/>
        <n v="633.44"/>
        <n v="475.08"/>
        <n v="47.04"/>
        <n v="168.8"/>
        <n v="261.4112"/>
        <n v="7842"/>
        <n v="1585.7712"/>
        <n v="6256.2288"/>
        <n v="2863"/>
        <n v="220"/>
        <n v="884"/>
        <n v="201"/>
        <n v="415"/>
        <n v="51"/>
        <n v="387.44"/>
        <n v="290.58"/>
        <n v="40.38"/>
        <n v="141.68"/>
        <n v="57.9576"/>
        <n v="4792"/>
        <n v="918.0376"/>
        <n v="3873.9624"/>
        <n v="4622"/>
        <n v="444"/>
        <n v="50"/>
        <n v="1250"/>
        <n v="431"/>
        <n v="504"/>
        <n v="46"/>
        <n v="584.08"/>
        <n v="438.06"/>
        <n v="53.58"/>
        <n v="178.8"/>
        <n v="220.0384"/>
        <n v="7255"/>
        <n v="1474.5584"/>
        <n v="5780.4416"/>
        <n v="4926"/>
        <n v="301"/>
        <n v="1083"/>
        <n v="212"/>
        <n v="563"/>
        <n v="79"/>
        <n v="590"/>
        <n v="442.5"/>
        <n v="48.98"/>
        <n v="178.16"/>
        <n v="222.9088"/>
        <n v="7296"/>
        <n v="1482.5488"/>
        <n v="5813.4512"/>
        <n v="3018"/>
        <n v="190"/>
        <n v="1222"/>
        <n v="405"/>
        <n v="327"/>
        <n v="189"/>
        <n v="455.68"/>
        <n v="341.76"/>
        <n v="55.16"/>
        <n v="180.08"/>
        <n v="97.9456"/>
        <n v="5507"/>
        <n v="1130.6256"/>
        <n v="4376.3744"/>
        <n v="3141"/>
        <n v="599"/>
        <n v="1258"/>
        <n v="217"/>
        <n v="434"/>
        <n v="106"/>
        <n v="475.12"/>
        <n v="356.34"/>
        <n v="56.68"/>
        <n v="184.4"/>
        <n v="120.8368"/>
        <n v="5833"/>
        <n v="1193.3768"/>
        <n v="4639.6232"/>
        <n v="3040"/>
        <n v="543"/>
        <n v="280"/>
        <n v="1013"/>
        <n v="211"/>
        <n v="596"/>
        <n v="87"/>
        <n v="454.64"/>
        <n v="340.98"/>
        <n v="52.86"/>
        <n v="174.96"/>
        <n v="105.8048"/>
        <n v="5596"/>
        <n v="1129.2448"/>
        <n v="4466.7552"/>
        <n v="3619"/>
        <n v="330"/>
        <n v="90"/>
        <n v="1079"/>
        <n v="318"/>
        <n v="468"/>
        <n v="351"/>
        <n v="46.62"/>
        <n v="160.08"/>
        <n v="117.944"/>
        <n v="5750"/>
        <n v="1143.644"/>
        <n v="4606.356"/>
        <n v="5303"/>
        <n v="597"/>
        <n v="747"/>
        <n v="228"/>
        <n v="377"/>
        <n v="587.36"/>
        <n v="440.52"/>
        <n v="40.78"/>
        <n v="115.36"/>
        <n v="226.1584"/>
        <n v="7261"/>
        <n v="1410.1784"/>
        <n v="5850.8216"/>
        <n v="3638"/>
        <n v="312"/>
        <n v="1096"/>
        <n v="541"/>
        <n v="372"/>
        <n v="490.32"/>
        <n v="367.74"/>
        <n v="49.82"/>
        <n v="174.32"/>
        <n v="142.464"/>
        <n v="6113"/>
        <n v="1224.664"/>
        <n v="4888.336"/>
        <n v="5878"/>
        <n v="506"/>
        <n v="120"/>
        <n v="927"/>
        <n v="286"/>
        <n v="555"/>
        <n v="661.76"/>
        <n v="496.32"/>
        <n v="49.12"/>
        <n v="156"/>
        <n v="287.744"/>
        <n v="8210"/>
        <n v="1650.944"/>
        <n v="6559.056"/>
        <n v="3505"/>
        <n v="307"/>
        <n v="240"/>
        <n v="1001"/>
        <n v="234"/>
        <n v="452.72"/>
        <n v="339.54"/>
        <n v="44.14"/>
        <n v="152"/>
        <n v="109.408"/>
        <n v="5606"/>
        <n v="1097.808"/>
        <n v="4508.192"/>
        <n v="6147"/>
        <n v="250"/>
        <n v="772"/>
        <n v="389"/>
        <n v="677.28"/>
        <n v="507.96"/>
        <n v="46.38"/>
        <n v="155.6"/>
        <n v="303.9824"/>
        <n v="8437"/>
        <n v="1691.2024"/>
        <n v="6745.7976"/>
        <n v="3998"/>
        <n v="204"/>
        <n v="1209"/>
        <n v="227"/>
        <n v="600"/>
        <n v="518.24"/>
        <n v="388.68"/>
        <n v="50.56"/>
        <n v="190.16"/>
        <n v="156.0288"/>
        <n v="6348"/>
        <n v="1303.6688"/>
        <n v="5044.3312"/>
        <n v="4904"/>
        <n v="546"/>
        <n v="150"/>
        <n v="412"/>
        <n v="508"/>
        <n v="578.72"/>
        <n v="434.04"/>
        <n v="46.6"/>
        <n v="142.72"/>
        <n v="222.5536"/>
        <n v="7234"/>
        <n v="1424.6336"/>
        <n v="5809.3664"/>
        <n v="5784"/>
        <n v="380"/>
        <n v="976"/>
        <n v="366"/>
        <n v="560"/>
        <n v="654.08"/>
        <n v="490.56"/>
        <n v="47.84"/>
        <n v="164.08"/>
        <n v="281.2352"/>
        <n v="8122"/>
        <n v="1637.7952"/>
        <n v="6484.2048"/>
        <n v="4590"/>
        <n v="324"/>
        <n v="987"/>
        <n v="470"/>
        <n v="502"/>
        <n v="554.64"/>
        <n v="415.98"/>
        <n v="48.38"/>
        <n v="167.6"/>
        <n v="193.632"/>
        <n v="6857"/>
        <n v="1380.232"/>
        <n v="5476.768"/>
        <n v="2574"/>
        <n v="880"/>
        <n v="229"/>
        <n v="253"/>
        <n v="380.96"/>
        <n v="285.72"/>
        <n v="44.54"/>
        <n v="135.44"/>
        <n v="55.9302"/>
        <n v="4711"/>
        <n v="902.5902"/>
        <n v="3808.4098"/>
        <n v="2620"/>
        <n v="160"/>
        <n v="979"/>
        <n v="222"/>
        <n v="416"/>
        <n v="392.4"/>
        <n v="294.3"/>
        <n v="45.7"/>
        <n v="142.16"/>
        <n v="59.5332"/>
        <n v="4859"/>
        <n v="934.0932"/>
        <n v="3924.9068"/>
        <n v="5413"/>
        <n v="500"/>
        <n v="822"/>
        <n v="239"/>
        <n v="358"/>
        <n v="594.56"/>
        <n v="445.92"/>
        <n v="127.84"/>
        <n v="231.544"/>
        <n v="7353"/>
        <n v="1440.244"/>
        <n v="5912.756"/>
        <n v="4073"/>
        <n v="208"/>
        <n v="821"/>
        <n v="524"/>
        <n v="264"/>
        <n v="490.4"/>
        <n v="367.8"/>
        <n v="42.74"/>
        <n v="156.48"/>
        <n v="130.6864"/>
        <n v="5941"/>
        <n v="1188.1064"/>
        <n v="4752.8936"/>
        <n v="4289"/>
        <n v="373"/>
        <n v="790"/>
        <n v="515"/>
        <n v="527.92"/>
        <n v="395.94"/>
        <n v="46.92"/>
        <n v="163.44"/>
        <n v="168.7024"/>
        <n v="6493"/>
        <n v="1302.9224"/>
        <n v="5190.0776"/>
        <n v="4812"/>
        <n v="282"/>
        <n v="1062"/>
        <n v="390"/>
        <n v="460"/>
        <n v="565.28"/>
        <n v="423.96"/>
        <n v="45.08"/>
        <n v="164.72"/>
        <n v="202.3968"/>
        <n v="6979"/>
        <n v="1401.4368"/>
        <n v="5577.5632"/>
        <n v="6398"/>
        <n v="386"/>
        <n v="1069"/>
        <n v="226"/>
        <n v="448"/>
        <n v="691.76"/>
        <n v="518.82"/>
        <n v="46.98"/>
        <n v="157.04"/>
        <n v="310.592"/>
        <n v="8547"/>
        <n v="1725.192"/>
        <n v="6821.808"/>
        <n v="5950"/>
        <n v="369"/>
        <n v="733"/>
        <n v="490"/>
        <n v="410"/>
        <n v="659.36"/>
        <n v="494.52"/>
        <n v="45.84"/>
        <n v="153.84"/>
        <n v="284.5952"/>
        <n v="8161"/>
        <n v="1638.1552"/>
        <n v="6522.8448"/>
        <n v="4871"/>
        <n v="488"/>
        <n v="817"/>
        <n v="475"/>
        <n v="584"/>
        <n v="598"/>
        <n v="448.5"/>
        <n v="52.08"/>
        <n v="169.28"/>
        <n v="235.2912"/>
        <n v="7459"/>
        <n v="1503.1512"/>
        <n v="5955.8488"/>
        <n v="4495"/>
        <n v="349"/>
        <n v="788"/>
        <n v="315"/>
        <n v="545.12"/>
        <n v="408.84"/>
        <n v="47.62"/>
        <n v="162.56"/>
        <n v="187.0288"/>
        <n v="6752"/>
        <n v="1351.1688"/>
        <n v="5400.8312"/>
        <n v="5803"/>
        <n v="998"/>
        <n v="551"/>
        <n v="675.04"/>
        <n v="506.28"/>
        <n v="53.76"/>
        <n v="184.16"/>
        <n v="297.2608"/>
        <n v="8385"/>
        <n v="1716.5008"/>
        <n v="6668.4992"/>
        <n v="3537"/>
        <n v="333"/>
        <n v="1055"/>
        <n v="213"/>
        <n v="540"/>
        <n v="475.84"/>
        <n v="356.88"/>
        <n v="48.22"/>
        <n v="166.24"/>
        <n v="129.7456"/>
        <n v="5919"/>
        <n v="1176.9256"/>
        <n v="4742.0744"/>
        <n v="3696"/>
        <n v="419"/>
        <n v="875"/>
        <n v="302"/>
        <n v="219"/>
        <n v="464.08"/>
        <n v="348.06"/>
        <n v="43.06"/>
        <n v="142.96"/>
        <n v="113.8272"/>
        <n v="5671"/>
        <n v="1111.9872"/>
        <n v="4559.0128"/>
        <n v="5562"/>
        <n v="80"/>
        <n v="697"/>
        <n v="297"/>
        <n v="459"/>
        <n v="597.36"/>
        <n v="448.02"/>
        <n v="38.1"/>
        <n v="122.64"/>
        <n v="240.8704"/>
        <n v="7467"/>
        <n v="1446.9904"/>
        <n v="6020.0096"/>
        <n v="3582"/>
        <n v="825"/>
        <n v="294"/>
        <n v="467.76"/>
        <n v="350.82"/>
        <n v="45.3"/>
        <n v="141.04"/>
        <n v="123.0464"/>
        <n v="5793"/>
        <n v="1127.9664"/>
        <n v="4665.0336"/>
        <n v="4963"/>
        <n v="592"/>
        <n v="1201"/>
        <n v="593"/>
        <n v="457"/>
        <n v="637.28"/>
        <n v="477.96"/>
        <n v="61.58"/>
        <n v="198.96"/>
        <n v="261.1376"/>
        <n v="7890"/>
        <n v="1636.9176"/>
        <n v="6253.0824"/>
        <n v="5184"/>
        <n v="547"/>
        <n v="763"/>
        <n v="451"/>
        <n v="440"/>
        <n v="607.6"/>
        <n v="455.7"/>
        <n v="49"/>
        <n v="153.2"/>
        <n v="242.28"/>
        <n v="7544"/>
        <n v="1507.78"/>
        <n v="6036.22"/>
        <n v="3874"/>
        <n v="353"/>
        <n v="1047"/>
        <n v="336"/>
        <n v="491.92"/>
        <n v="368.94"/>
        <n v="45.5"/>
        <n v="153.76"/>
        <n v="143.4304"/>
        <n v="6103"/>
        <n v="1203.5504"/>
        <n v="4899.4496"/>
        <n v="5611"/>
        <n v="995"/>
        <n v="641.6"/>
        <n v="481.2"/>
        <n v="48.18"/>
        <n v="170.72"/>
        <n v="267.944"/>
        <n v="7941"/>
        <n v="1609.644"/>
        <n v="6331.356"/>
        <n v="5649"/>
        <n v="393"/>
        <n v="1191"/>
        <n v="328"/>
        <n v="573"/>
        <n v="661.12"/>
        <n v="495.84"/>
        <n v="53.9"/>
        <n v="186.32"/>
        <n v="274.2256"/>
        <n v="8075"/>
        <n v="1671.4056"/>
        <n v="6403.5944"/>
        <n v="5637"/>
        <n v="782"/>
        <n v="462"/>
        <n v="612.64"/>
        <n v="459.48"/>
        <n v="41.14"/>
        <n v="149.92"/>
        <n v="243.1056"/>
        <n v="7552"/>
        <n v="1506.2856"/>
        <n v="6045.7144"/>
        <n v="5174"/>
        <n v="721"/>
        <n v="223"/>
        <n v="384"/>
        <n v="572"/>
        <n v="39.52"/>
        <n v="117.2"/>
        <n v="212.4224"/>
        <n v="7063"/>
        <n v="1370.1424"/>
        <n v="5692.8576"/>
        <n v="4295"/>
        <n v="973"/>
        <n v="528"/>
        <n v="387"/>
        <n v="552.48"/>
        <n v="414.36"/>
        <n v="54.22"/>
        <n v="179.84"/>
        <n v="188.408"/>
        <n v="6806"/>
        <n v="1389.308"/>
        <n v="5416.692"/>
        <n v="6408"/>
        <n v="498"/>
        <n v="140"/>
        <n v="620"/>
        <n v="690.56"/>
        <n v="517.92"/>
        <n v="44.48"/>
        <n v="138.08"/>
        <n v="312.7968"/>
        <n v="8551"/>
        <n v="1703.8368"/>
        <n v="6847.1632"/>
        <n v="4329"/>
        <n v="275"/>
        <n v="1017"/>
        <n v="525"/>
        <n v="543.76"/>
        <n v="407.82"/>
        <n v="49.36"/>
        <n v="175.44"/>
        <n v="188.3696"/>
        <n v="6781"/>
        <n v="1364.7496"/>
        <n v="5416.2504"/>
        <n v="3892"/>
        <n v="579"/>
        <n v="722"/>
        <n v="582"/>
        <n v="494.32"/>
        <n v="370.74"/>
        <n v="141.6"/>
        <n v="145.0688"/>
        <n v="6117"/>
        <n v="1198.7088"/>
        <n v="4918.2912"/>
        <n v="5210"/>
        <n v="378"/>
        <n v="518"/>
        <n v="602.8"/>
        <n v="452.1"/>
        <n v="47.56"/>
        <n v="237.5632"/>
        <n v="7482"/>
        <n v="1500.0232"/>
        <n v="5981.9768"/>
        <n v="6335"/>
        <n v="348"/>
        <n v="922"/>
        <n v="495"/>
        <n v="696.4"/>
        <n v="522.3"/>
        <n v="47.4"/>
        <n v="161.76"/>
        <n v="319.8512"/>
        <n v="8676"/>
        <n v="1747.7112"/>
        <n v="6928.2888"/>
        <n v="746"/>
        <n v="252"/>
        <n v="608.96"/>
        <n v="456.72"/>
        <n v="40.22"/>
        <n v="135.2"/>
        <n v="239.272"/>
        <n v="1480.372"/>
        <n v="6001.628"/>
        <n v="5381"/>
        <n v="742"/>
        <n v="612.48"/>
        <n v="459.36"/>
        <n v="162.8"/>
        <n v="250.0688"/>
        <n v="7656"/>
        <n v="1530.2088"/>
        <n v="6125.7912"/>
        <n v="2583"/>
        <n v="814"/>
        <n v="589"/>
        <n v="426.56"/>
        <n v="319.92"/>
        <n v="54.98"/>
        <n v="178"/>
        <n v="83.8832"/>
        <n v="5278"/>
        <n v="1063.3432"/>
        <n v="4214.6568"/>
        <n v="5511"/>
        <n v="180"/>
        <n v="1114"/>
        <n v="566"/>
        <n v="580"/>
        <n v="662.32"/>
        <n v="496.74"/>
        <n v="56.88"/>
        <n v="201.28"/>
        <n v="282.8624"/>
        <n v="8203"/>
        <n v="1700.0824"/>
        <n v="6502.9176"/>
        <n v="483"/>
        <n v="1167"/>
        <n v="371"/>
        <n v="594.8"/>
        <n v="446.1"/>
        <n v="53.24"/>
        <n v="175.28"/>
        <n v="229.1664"/>
        <n v="7384"/>
        <n v="1498.5864"/>
        <n v="5885.4136"/>
        <n v="5401"/>
        <n v="552"/>
        <n v="70"/>
        <n v="1014"/>
        <n v="505"/>
        <n v="632.72"/>
        <n v="474.54"/>
        <n v="50.16"/>
        <n v="263.928"/>
        <n v="7863"/>
        <n v="1577.828"/>
        <n v="6285.172"/>
        <n v="5168"/>
        <n v="527"/>
        <n v="1176"/>
        <n v="433"/>
        <n v="432"/>
        <n v="639.68"/>
        <n v="479.76"/>
        <n v="56.56"/>
        <n v="190.4"/>
        <n v="264.048"/>
        <n v="7917"/>
        <n v="1630.448"/>
        <n v="6286.552"/>
        <n v="4557"/>
        <n v="428"/>
        <n v="523.68"/>
        <n v="392.76"/>
        <n v="41.38"/>
        <n v="132.4"/>
        <n v="161.3424"/>
        <n v="6357"/>
        <n v="1251.5624"/>
        <n v="5105.4376"/>
        <n v="3873"/>
        <n v="263"/>
        <n v="931"/>
        <n v="364"/>
        <n v="458.32"/>
        <n v="343.74"/>
        <n v="37.84"/>
        <n v="135.92"/>
        <n v="111.7744"/>
        <n v="5623"/>
        <n v="1087.5944"/>
        <n v="4535.4056"/>
        <n v="6508"/>
        <n v="499"/>
        <n v="909"/>
        <n v="424"/>
        <n v="705.36"/>
        <n v="529.02"/>
        <n v="46.18"/>
        <n v="151.76"/>
        <n v="323.8144"/>
        <n v="8730"/>
        <n v="1756.1344"/>
        <n v="6973.8656"/>
        <n v="4782"/>
        <n v="484"/>
        <n v="1115"/>
        <n v="514"/>
        <n v="592.96"/>
        <n v="444.72"/>
        <n v="54.6"/>
        <n v="179.68"/>
        <n v="223.2032"/>
        <n v="7312"/>
        <n v="1495.1632"/>
        <n v="5816.8368"/>
        <n v="4631"/>
        <n v="437"/>
        <n v="908"/>
        <n v="342"/>
        <n v="267"/>
        <n v="409.5"/>
        <n v="43.88"/>
        <n v="140.56"/>
        <n v="188.3248"/>
        <n v="6744"/>
        <n v="1328.2648"/>
        <n v="5415.7352"/>
        <n v="2769"/>
        <n v="215"/>
        <n v="392.08"/>
        <n v="294.06"/>
        <n v="42.64"/>
        <n v="138.16"/>
        <n v="61.4448"/>
        <n v="4885"/>
        <n v="928.3848"/>
        <n v="3956.6152"/>
        <n v="2674"/>
        <n v="409"/>
        <n v="936"/>
        <n v="269"/>
        <n v="544"/>
        <n v="408.16"/>
        <n v="306.12"/>
        <n v="49.8"/>
        <n v="166.48"/>
        <n v="68.7552000000001"/>
        <n v="5040"/>
        <n v="999.3152"/>
        <n v="4040.6848"/>
        <n v="5181"/>
        <n v="554"/>
        <n v="334"/>
        <n v="620.96"/>
        <n v="465.72"/>
        <n v="52.68"/>
        <n v="170.08"/>
        <n v="251.9648"/>
        <n v="7709"/>
        <n v="1561.4048"/>
        <n v="6147.5952"/>
        <n v="2893"/>
        <n v="745"/>
        <n v="408.32"/>
        <n v="306.24"/>
        <n v="44.22"/>
        <n v="143.6"/>
        <n v="73.8096"/>
        <n v="5075"/>
        <n v="976.1896"/>
        <n v="4098.8104"/>
        <n v="4445"/>
        <n v="557"/>
        <n v="984"/>
        <n v="205"/>
        <n v="535"/>
        <n v="550.08"/>
        <n v="412.56"/>
        <n v="49.58"/>
        <n v="158"/>
        <n v="186.0624"/>
        <n v="6746"/>
        <n v="1356.2824"/>
        <n v="5389.7176"/>
        <n v="4053"/>
        <n v="781"/>
        <n v="558"/>
        <n v="488.72"/>
        <n v="366.54"/>
        <n v="41.12"/>
        <n v="144.48"/>
        <n v="145.4512"/>
        <n v="6109"/>
        <n v="1186.3112"/>
        <n v="4922.6888"/>
        <n v="2571"/>
        <n v="571"/>
        <n v="914"/>
        <n v="375"/>
        <n v="411.44"/>
        <n v="308.58"/>
        <n v="51.44"/>
        <n v="163.2"/>
        <n v="72.3472"/>
        <n v="5089"/>
        <n v="1007.0072"/>
        <n v="4081.9928"/>
        <n v="2605"/>
        <n v="749"/>
        <n v="355"/>
        <n v="407.36"/>
        <n v="305.52"/>
        <n v="51.26"/>
        <n v="158.72"/>
        <n v="67.4512"/>
        <n v="5016"/>
        <n v="990.3112"/>
        <n v="4025.6888"/>
        <n v="4932"/>
        <n v="443"/>
        <n v="573.28"/>
        <n v="429.96"/>
        <n v="45.46"/>
        <n v="134.96"/>
        <n v="214.5072"/>
        <n v="7115"/>
        <n v="1398.1672"/>
        <n v="5716.8328"/>
        <n v="4774"/>
        <n v="919"/>
        <n v="577"/>
        <n v="487"/>
        <n v="597.6"/>
        <n v="448.2"/>
        <n v="53.92"/>
        <n v="179.44"/>
        <n v="231.5872"/>
        <n v="7424"/>
        <n v="1510.7472"/>
        <n v="5913.2528"/>
        <n v="4157"/>
        <n v="798"/>
        <n v="489"/>
        <n v="517.68"/>
        <n v="388.26"/>
        <n v="46.28"/>
        <n v="147.92"/>
        <n v="163.3488"/>
        <n v="6392"/>
        <n v="1263.4888"/>
        <n v="5128.5112"/>
        <n v="4058"/>
        <n v="503"/>
        <n v="877"/>
        <n v="258"/>
        <n v="464"/>
        <n v="507.2"/>
        <n v="380.4"/>
        <n v="47.24"/>
        <n v="150.88"/>
        <n v="145.2224"/>
        <n v="6151"/>
        <n v="1230.9424"/>
        <n v="4920.0576"/>
        <n v="5519"/>
        <n v="225"/>
        <n v="1071"/>
        <n v="352"/>
        <n v="636.64"/>
        <n v="477.48"/>
        <n v="49.5"/>
        <n v="185.6"/>
        <n v="260.2224"/>
        <n v="7852"/>
        <n v="1609.4424"/>
        <n v="6242.5576"/>
        <n v="4847"/>
        <n v="407"/>
        <n v="1016"/>
        <n v="577.36"/>
        <n v="433.02"/>
        <n v="164"/>
        <n v="212.6576"/>
        <n v="7130"/>
        <n v="1434.4376"/>
        <n v="5695.5624"/>
        <n v="5482"/>
        <n v="288"/>
        <n v="357"/>
        <n v="497"/>
        <n v="631.44"/>
        <n v="473.58"/>
        <n v="50.22"/>
        <n v="177.84"/>
        <n v="256.7936"/>
        <n v="7793"/>
        <n v="1589.8736"/>
        <n v="6203.1264"/>
        <n v="3509"/>
        <n v="236"/>
        <n v="1202"/>
        <n v="521"/>
        <n v="256"/>
        <n v="469.92"/>
        <n v="352.44"/>
        <n v="47.3"/>
        <n v="170.32"/>
        <n v="120.2416"/>
        <n v="1160.2216"/>
        <n v="4632.7784"/>
        <n v="4449"/>
        <n v="452"/>
        <n v="957"/>
        <n v="566.8"/>
        <n v="425.1"/>
        <n v="52.72"/>
        <n v="174.72"/>
        <n v="207.9728"/>
        <n v="7069"/>
        <n v="1427.3128"/>
        <n v="5641.6872"/>
        <n v="3863"/>
        <n v="486"/>
        <n v="1048"/>
        <n v="283"/>
        <n v="518.8"/>
        <n v="389.1"/>
        <n v="53.68"/>
        <n v="175.84"/>
        <n v="162.8464"/>
        <n v="6423"/>
        <n v="1300.2664"/>
        <n v="5122.7336"/>
        <n v="3600"/>
        <n v="257"/>
        <n v="1077"/>
        <n v="285"/>
        <n v="455.44"/>
        <n v="341.58"/>
        <n v="42.92"/>
        <n v="151.12"/>
        <n v="111.9152"/>
        <n v="5640"/>
        <n v="1102.9752"/>
        <n v="4537.0248"/>
        <n v="5325"/>
        <n v="583"/>
        <n v="866"/>
        <n v="635.68"/>
        <n v="476.76"/>
        <n v="52.42"/>
        <n v="163.04"/>
        <n v="267.128"/>
        <n v="1595.028"/>
        <n v="6321.972"/>
        <n v="6265"/>
        <n v="442"/>
        <n v="833"/>
        <n v="542"/>
        <n v="232"/>
        <n v="674.72"/>
        <n v="506.04"/>
        <n v="44.34"/>
        <n v="146.24"/>
        <n v="294.6128"/>
        <n v="8304"/>
        <n v="1665.9528"/>
        <n v="6638.0472"/>
        <n v="3121"/>
        <n v="536"/>
        <n v="446.24"/>
        <n v="334.68"/>
        <n v="49.14"/>
        <n v="175.76"/>
        <n v="105.7744"/>
        <n v="5578"/>
        <n v="1111.5944"/>
        <n v="4466.4056"/>
        <n v="4277"/>
        <n v="519"/>
        <n v="305"/>
        <n v="507.84"/>
        <n v="380.88"/>
        <n v="41.42"/>
        <n v="127.28"/>
        <n v="158.9264"/>
        <n v="6294"/>
        <n v="1216.3464"/>
        <n v="5077.6536"/>
        <n v="4056"/>
        <n v="523"/>
        <n v="420"/>
        <n v="418"/>
        <n v="527.36"/>
        <n v="395.52"/>
        <n v="52.24"/>
        <n v="167.12"/>
        <n v="169.9008"/>
        <n v="6516"/>
        <n v="1312.1408"/>
        <n v="5203.8592"/>
        <n v="287"/>
        <n v="1100"/>
        <n v="501.68"/>
        <n v="376.26"/>
        <n v="44.74"/>
        <n v="156.96"/>
        <n v="151.2288"/>
        <n v="6220"/>
        <n v="1230.8688"/>
        <n v="4989.1312"/>
        <n v="3656"/>
        <n v="1015"/>
        <n v="403"/>
        <n v="361"/>
        <n v="470.96"/>
        <n v="353.22"/>
        <n v="44.62"/>
        <n v="158.32"/>
        <n v="125.1104"/>
        <n v="5841"/>
        <n v="1152.2304"/>
        <n v="4688.7696"/>
        <n v="3070"/>
        <n v="394"/>
        <n v="899"/>
        <n v="326"/>
        <n v="429.6"/>
        <n v="322.2"/>
        <n v="158.8"/>
        <n v="86.752"/>
        <n v="5291"/>
        <n v="1043.352"/>
        <n v="4247.648"/>
        <n v="795"/>
        <n v="591"/>
        <n v="639.2"/>
        <n v="479.4"/>
        <n v="55.84"/>
        <n v="178.08"/>
        <n v="255.8784"/>
        <n v="7801"/>
        <n v="1608.3984"/>
        <n v="6192.6016"/>
        <n v="2795"/>
        <n v="576"/>
        <n v="1189"/>
        <n v="437.68"/>
        <n v="328.26"/>
        <n v="54.24"/>
        <n v="176.48"/>
        <n v="89.4672"/>
        <n v="5365"/>
        <n v="1086.1272"/>
        <n v="4278.8728"/>
        <n v="4763"/>
        <n v="952"/>
        <n v="404"/>
        <n v="569"/>
        <n v="562.8"/>
        <n v="422.1"/>
        <n v="45.44"/>
        <n v="170.56"/>
        <n v="199.768"/>
        <n v="6948"/>
        <n v="1400.668"/>
        <n v="5547.332"/>
        <n v="2779"/>
        <n v="531"/>
        <n v="847"/>
        <n v="376"/>
        <n v="409.6"/>
        <n v="307.2"/>
        <n v="48.82"/>
        <n v="152.8"/>
        <n v="68.1264"/>
        <n v="5020"/>
        <n v="986.5464"/>
        <n v="4033.4536"/>
        <n v="950"/>
        <n v="642.08"/>
        <n v="481.56"/>
        <n v="44.66"/>
        <n v="150.32"/>
        <n v="270.1104"/>
        <n v="7945"/>
        <n v="1588.7304"/>
        <n v="6356.2696"/>
        <n v="2598"/>
        <n v="1105"/>
        <n v="306"/>
        <n v="426.16"/>
        <n v="319.62"/>
        <n v="54.58"/>
        <n v="171.6"/>
        <n v="87.1232"/>
        <n v="5311"/>
        <n v="1059.0832"/>
        <n v="4251.9168"/>
        <n v="3976"/>
        <n v="458"/>
        <n v="828"/>
        <n v="245"/>
        <n v="485.6"/>
        <n v="364.2"/>
        <n v="43.12"/>
        <n v="135.84"/>
        <n v="138.3392"/>
        <n v="6008"/>
        <n v="1167.0992"/>
        <n v="4840.9008"/>
        <n v="2720"/>
        <n v="581"/>
        <n v="445"/>
        <n v="434.64"/>
        <n v="325.98"/>
        <n v="55.32"/>
        <n v="174.8"/>
        <n v="91.1408"/>
        <n v="5380"/>
        <n v="1081.8808"/>
        <n v="4298.1192"/>
        <n v="6537"/>
        <n v="1130"/>
        <n v="501"/>
        <n v="717.36"/>
        <n v="538.02"/>
        <n v="48.6"/>
        <n v="167.04"/>
        <n v="337.3584"/>
        <n v="8938"/>
        <n v="1808.3784"/>
        <n v="7129.6216"/>
        <n v="3031"/>
        <n v="478"/>
        <n v="807"/>
        <n v="425"/>
        <n v="45"/>
        <n v="146"/>
        <n v="74.3504"/>
        <n v="5103"/>
        <n v="997.9704"/>
        <n v="4105.0296"/>
        <n v="5152"/>
        <n v="753"/>
        <n v="224"/>
        <n v="552.88"/>
        <n v="414.66"/>
        <n v="35.18"/>
        <n v="110.64"/>
        <n v="203.8112"/>
        <n v="6911"/>
        <n v="1317.1712"/>
        <n v="5593.8288"/>
        <n v="6347"/>
        <n v="206"/>
        <n v="668"/>
        <n v="661.92"/>
        <n v="496.44"/>
        <n v="38.54"/>
        <n v="140.8"/>
        <n v="290.584"/>
        <n v="8220"/>
        <n v="1628.284"/>
        <n v="6591.716"/>
        <n v="5775"/>
        <n v="309"/>
        <n v="465"/>
        <n v="631.04"/>
        <n v="473.28"/>
        <n v="43.78"/>
        <n v="150.4"/>
        <n v="261.08"/>
        <n v="7812"/>
        <n v="1559.58"/>
        <n v="6252.42"/>
        <n v="6554"/>
        <n v="986"/>
        <n v="550"/>
        <n v="732.32"/>
        <n v="549.24"/>
        <n v="52.78"/>
        <n v="347.9888"/>
        <n v="9103"/>
        <n v="1851.1288"/>
        <n v="7251.8712"/>
        <n v="3180"/>
        <n v="759"/>
        <n v="562"/>
        <n v="422.32"/>
        <n v="316.74"/>
        <n v="41.98"/>
        <n v="145.04"/>
        <n v="84.5536"/>
        <n v="5233"/>
        <n v="1010.6336"/>
        <n v="4222.3664"/>
        <n v="5319"/>
        <n v="261"/>
        <n v="586.72"/>
        <n v="440.04"/>
        <n v="40.3"/>
        <n v="146.64"/>
        <n v="223.304"/>
        <n v="1437.004"/>
        <n v="5817.996"/>
        <n v="4523"/>
        <n v="385"/>
        <n v="715"/>
        <n v="517"/>
        <n v="545.68"/>
        <n v="409.26"/>
        <n v="161.6"/>
        <n v="177.432"/>
        <n v="6632"/>
        <n v="1341.532"/>
        <n v="5290.468"/>
        <n v="4547"/>
        <n v="438"/>
        <n v="840"/>
        <n v="388"/>
        <n v="447"/>
        <n v="538.4"/>
        <n v="403.8"/>
        <n v="44.38"/>
        <n v="148.08"/>
        <n v="179.1472"/>
        <n v="6624"/>
        <n v="1313.8072"/>
        <n v="5310.1928"/>
        <n v="3570"/>
        <n v="311"/>
        <n v="1194"/>
        <n v="284"/>
        <n v="484.08"/>
        <n v="363.06"/>
        <n v="49.62"/>
        <n v="180.56"/>
        <n v="130.9344"/>
        <n v="5964"/>
        <n v="1208.2544"/>
        <n v="4755.7456"/>
        <n v="3350"/>
        <n v="452.4"/>
        <n v="339.3"/>
        <n v="48.1"/>
        <n v="173.52"/>
        <n v="103.3344"/>
        <n v="5555"/>
        <n v="1116.6544"/>
        <n v="4438.3456"/>
        <n v="6585"/>
        <n v="578"/>
        <n v="855"/>
        <n v="474"/>
        <n v="721.2"/>
        <n v="540.9"/>
        <n v="148.16"/>
        <n v="338.0112"/>
        <n v="8934"/>
        <n v="1796.8712"/>
        <n v="7137.1288"/>
        <n v="5516"/>
        <n v="278"/>
        <n v="1113"/>
        <n v="233"/>
        <n v="622"/>
        <n v="466.5"/>
        <n v="45.18"/>
        <n v="158.48"/>
        <n v="257.3472"/>
        <n v="7759"/>
        <n v="1549.5072"/>
        <n v="6209.4928"/>
        <n v="3348"/>
        <n v="422"/>
        <n v="764"/>
        <n v="370"/>
        <n v="472"/>
        <n v="441.28"/>
        <n v="330.96"/>
        <n v="44.6"/>
        <n v="144.64"/>
        <n v="99.4016"/>
        <n v="5454"/>
        <n v="1060.8816"/>
        <n v="4393.1184"/>
        <n v="6426"/>
        <n v="1131"/>
        <n v="317"/>
        <n v="705.28"/>
        <n v="528.96"/>
        <n v="48.86"/>
        <n v="326.2512"/>
        <n v="8763"/>
        <n v="1761.1112"/>
        <n v="7001.8888"/>
        <n v="2991"/>
        <n v="1148"/>
        <n v="398"/>
        <n v="298.5"/>
        <n v="39.68"/>
        <n v="138.56"/>
        <n v="65.7008"/>
        <n v="4946"/>
        <n v="940.4408"/>
        <n v="4005.5592"/>
        <n v="3886"/>
        <n v="907"/>
        <n v="510.72"/>
        <n v="383.04"/>
        <n v="50.92"/>
        <n v="173.6"/>
        <n v="150.8576"/>
        <n v="6254"/>
        <n v="1269.1376"/>
        <n v="4984.8624"/>
        <n v="6551"/>
        <n v="532"/>
        <n v="1063"/>
        <n v="319"/>
        <n v="734.32"/>
        <n v="550.74"/>
        <n v="52.56"/>
        <n v="167.68"/>
        <n v="353.896"/>
        <n v="9179"/>
        <n v="1859.196"/>
        <n v="7319.804"/>
        <n v="2755"/>
        <n v="313"/>
        <n v="265"/>
        <n v="410.4"/>
        <n v="307.8"/>
        <n v="47.5"/>
        <n v="159.84"/>
        <n v="72.0368"/>
        <n v="5076"/>
        <n v="997.5768"/>
        <n v="4078.4232"/>
        <n v="5865"/>
        <n v="300"/>
        <n v="1151"/>
        <n v="469"/>
        <n v="663.36"/>
        <n v="497.52"/>
        <n v="50.06"/>
        <n v="183.76"/>
        <n v="285.704"/>
        <n v="8216"/>
        <n v="1680.404"/>
        <n v="6535.596"/>
        <n v="5338"/>
        <n v="771"/>
        <n v="485"/>
        <n v="526"/>
        <n v="627.92"/>
        <n v="470.94"/>
        <n v="159.44"/>
        <n v="259.096"/>
        <n v="7798"/>
        <n v="1568.396"/>
        <n v="6229.604"/>
        <n v="6428"/>
        <n v="561"/>
        <n v="1264"/>
        <n v="335"/>
        <n v="748.48"/>
        <n v="561.36"/>
        <n v="58.56"/>
        <n v="189.36"/>
        <n v="360.1792"/>
        <n v="9310"/>
        <n v="1917.9392"/>
        <n v="7392.0608"/>
        <n v="3963"/>
        <n v="446"/>
        <n v="359"/>
        <n v="496.96"/>
        <n v="372.72"/>
        <n v="44.98"/>
        <n v="146.1392"/>
        <n v="6133"/>
        <n v="1202.3992"/>
        <n v="4930.6008"/>
        <n v="6059"/>
        <n v="209"/>
        <n v="657.28"/>
        <n v="492.96"/>
        <n v="164.4"/>
        <n v="273.4096"/>
        <n v="8027"/>
        <n v="1632.7896"/>
        <n v="6394.2104"/>
        <n v="3914"/>
        <n v="392"/>
        <n v="1168"/>
        <n v="516.16"/>
        <n v="387.12"/>
        <n v="51.48"/>
        <n v="180.16"/>
        <n v="156.8864"/>
        <n v="6346"/>
        <n v="1291.8064"/>
        <n v="5054.1936"/>
        <n v="1278"/>
        <n v="614.56"/>
        <n v="460.92"/>
        <n v="61.02"/>
        <n v="203.28"/>
        <n v="240.4176"/>
        <n v="7595"/>
        <n v="1580.1976"/>
        <n v="6014.8024"/>
        <n v="221"/>
        <n v="622.16"/>
        <n v="466.62"/>
        <n v="45.62"/>
        <n v="157.28"/>
        <n v="250.8256"/>
        <n v="7677"/>
        <n v="1542.5056"/>
        <n v="6134.4944"/>
        <n v="2980"/>
        <n v="955"/>
        <n v="397"/>
        <n v="439.68"/>
        <n v="329.76"/>
        <n v="50.32"/>
        <n v="155.04"/>
        <n v="95.216"/>
        <n v="5415"/>
        <n v="1070.016"/>
        <n v="4344.984"/>
        <n v="2812"/>
        <n v="456"/>
        <n v="398.16"/>
        <n v="298.62"/>
        <n v="43.3"/>
        <n v="136.72"/>
        <n v="68.016"/>
        <n v="4977"/>
        <n v="944.816"/>
        <n v="4032.184"/>
        <n v="4146"/>
        <n v="1169"/>
        <n v="527.84"/>
        <n v="395.88"/>
        <n v="49.04"/>
        <n v="171.44"/>
        <n v="171.984"/>
        <n v="6544"/>
        <n v="1316.184"/>
        <n v="5227.816"/>
        <n v="5370"/>
        <n v="1196"/>
        <n v="608.56"/>
        <n v="456.42"/>
        <n v="156.72"/>
        <n v="245.9648"/>
        <n v="7591"/>
        <n v="1512.4048"/>
        <n v="6078.5952"/>
        <n v="2530"/>
        <n v="237"/>
        <n v="477"/>
        <n v="388.72"/>
        <n v="291.54"/>
        <n v="47.82"/>
        <n v="148.48"/>
        <n v="57.6132"/>
        <n v="4797"/>
        <n v="934.1732"/>
        <n v="3862.8268"/>
        <n v="6140"/>
        <n v="1087"/>
        <n v="273"/>
        <n v="710.16"/>
        <n v="532.62"/>
        <n v="56.26"/>
        <n v="178.32"/>
        <n v="325.8912"/>
        <n v="8801"/>
        <n v="1803.2512"/>
        <n v="6997.7488"/>
        <n v="4644"/>
        <n v="530.08"/>
        <n v="397.56"/>
        <n v="40.7"/>
        <n v="143.84"/>
        <n v="176.8656"/>
        <n v="6573"/>
        <n v="1289.0456"/>
        <n v="5283.9544"/>
        <n v="5156"/>
        <n v="1172"/>
        <n v="610.16"/>
        <n v="457.62"/>
        <n v="50.2"/>
        <n v="243.5216"/>
        <n v="7576"/>
        <n v="1525.5016"/>
        <n v="6050.4984"/>
        <n v="6040"/>
        <n v="857"/>
        <n v="687.12"/>
        <n v="515.34"/>
        <n v="50.98"/>
        <n v="161.04"/>
        <n v="311.6416"/>
        <n v="8560"/>
        <n v="1726.1216"/>
        <n v="6833.8784"/>
        <n v="5921"/>
        <n v="978"/>
        <n v="638.8"/>
        <n v="479.1"/>
        <n v="41.28"/>
        <n v="139.92"/>
        <n v="271.192"/>
        <n v="7939"/>
        <n v="1570.292"/>
        <n v="6368.708"/>
        <n v="6201"/>
        <n v="396"/>
        <n v="1022"/>
        <n v="491"/>
        <n v="692.96"/>
        <n v="519.72"/>
        <n v="49.22"/>
        <n v="171.52"/>
        <n v="311.9664"/>
        <n v="8583"/>
        <n v="1745.3864"/>
        <n v="6837.6136"/>
        <n v="6309"/>
        <n v="709"/>
        <n v="674.48"/>
        <n v="505.86"/>
        <n v="44.04"/>
        <n v="150.48"/>
        <n v="289.3712"/>
        <n v="8242"/>
        <n v="1664.2312"/>
        <n v="6577.7688"/>
        <n v="4094"/>
        <n v="864"/>
        <n v="565"/>
        <n v="535.28"/>
        <n v="401.46"/>
        <n v="52.66"/>
        <n v="181.52"/>
        <n v="173.1264"/>
        <n v="1344.0464"/>
        <n v="5240.9536"/>
        <n v="4664"/>
        <n v="1033"/>
        <n v="570.72"/>
        <n v="428.04"/>
        <n v="49.4"/>
        <n v="157.2"/>
        <n v="207.3312"/>
        <n v="7047"/>
        <n v="1412.6912"/>
        <n v="5634.3088"/>
        <n v="5636"/>
        <n v="1011"/>
        <n v="649.76"/>
        <n v="487.32"/>
        <n v="50.68"/>
        <n v="270.7392"/>
        <n v="7992"/>
        <n v="1628.4992"/>
        <n v="6363.5008"/>
        <n v="3066"/>
        <n v="537"/>
        <n v="1199"/>
        <n v="470.56"/>
        <n v="352.92"/>
        <n v="56.32"/>
        <n v="182.32"/>
        <n v="119.1104"/>
        <n v="5801"/>
        <n v="1181.2304"/>
        <n v="4619.7696"/>
        <n v="6420"/>
        <n v="587"/>
        <n v="1053"/>
        <n v="746.16"/>
        <n v="559.62"/>
        <n v="58.14"/>
        <n v="360.9184"/>
        <n v="9311"/>
        <n v="1910.4384"/>
        <n v="7400.5616"/>
        <n v="3725"/>
        <n v="988"/>
        <n v="473.52"/>
        <n v="355.14"/>
        <n v="45.12"/>
        <n v="154.4"/>
        <n v="126.3056"/>
        <n v="5857"/>
        <n v="1154.4856"/>
        <n v="4702.5144"/>
        <n v="3331"/>
        <n v="678"/>
        <n v="449"/>
        <n v="433.2"/>
        <n v="324.9"/>
        <n v="139.44"/>
        <n v="93.7376"/>
        <n v="5362"/>
        <n v="1034.0176"/>
        <n v="4327.9824"/>
        <n v="3750"/>
        <n v="698"/>
        <n v="470.72"/>
        <n v="353.04"/>
        <n v="42.68"/>
        <n v="139.36"/>
        <n v="127.936"/>
        <n v="5855"/>
        <n v="1133.736"/>
        <n v="4721.264"/>
        <n v="3641"/>
        <n v="1129"/>
        <n v="483.36"/>
        <n v="362.52"/>
        <n v="182.56"/>
        <n v="126.7664"/>
        <n v="5912"/>
        <n v="1204.1864"/>
        <n v="4707.8136"/>
        <n v="3577"/>
        <n v="272"/>
        <n v="869"/>
        <n v="553"/>
        <n v="465.28"/>
        <n v="348.96"/>
        <n v="44.78"/>
        <n v="160.48"/>
        <n v="119.4"/>
        <n v="5762"/>
        <n v="1138.9"/>
        <n v="4623.1"/>
        <n v="4751"/>
        <n v="421"/>
        <n v="975"/>
        <n v="251"/>
        <n v="543.52"/>
        <n v="407.64"/>
        <n v="42.38"/>
        <n v="187.0896"/>
        <n v="6718"/>
        <n v="1316.4696"/>
        <n v="5401.5304"/>
        <n v="728"/>
        <n v="586.16"/>
        <n v="439.62"/>
        <n v="39.3"/>
        <n v="115.84"/>
        <n v="228.0064"/>
        <n v="7281"/>
        <n v="1408.9264"/>
        <n v="5872.0736"/>
        <n v="5298"/>
        <n v="510"/>
        <n v="608.24"/>
        <n v="456.18"/>
        <n v="46.1"/>
        <n v="241.0848"/>
        <n v="7524"/>
        <n v="1501.5248"/>
        <n v="6022.4752"/>
        <n v="5766"/>
        <n v="235"/>
        <n v="1106"/>
        <n v="556"/>
        <n v="51.76"/>
        <n v="274.7584"/>
        <n v="8085"/>
        <n v="1675.2784"/>
        <n v="6409.7216"/>
        <n v="4114"/>
        <n v="861"/>
        <n v="203"/>
        <n v="502.16"/>
        <n v="376.62"/>
        <n v="43.98"/>
        <n v="145.84"/>
        <n v="148.192"/>
        <n v="6171"/>
        <n v="1216.792"/>
        <n v="4954.208"/>
        <n v="796"/>
        <n v="391"/>
        <n v="563.44"/>
        <n v="422.58"/>
        <n v="43.92"/>
        <n v="151.68"/>
        <n v="201.9504"/>
        <n v="6956"/>
        <n v="1383.5704"/>
        <n v="5572.4296"/>
        <n v="5972"/>
        <n v="262"/>
        <n v="663.6"/>
        <n v="497.7"/>
        <n v="46.46"/>
        <n v="146.48"/>
        <n v="288.3008"/>
        <n v="8208"/>
        <n v="1642.5408"/>
        <n v="6565.4592"/>
        <n v="4775"/>
        <n v="917"/>
        <n v="555.92"/>
        <n v="416.94"/>
        <n v="43.48"/>
        <n v="150.24"/>
        <n v="195.6336"/>
        <n v="6862"/>
        <n v="1362.2136"/>
        <n v="5499.7864"/>
        <n v="4042"/>
        <n v="630"/>
        <n v="246"/>
        <n v="441.36"/>
        <n v="331.02"/>
        <n v="29.5"/>
        <n v="108.88"/>
        <n v="101.5392"/>
        <n v="5430"/>
        <n v="1012.2992"/>
        <n v="4417.7008"/>
        <n v="5500"/>
        <n v="1116"/>
        <n v="337"/>
        <n v="626"/>
        <n v="469.5"/>
        <n v="46.5"/>
        <n v="164.16"/>
        <n v="255.0272"/>
        <n v="7744"/>
        <n v="1561.1872"/>
        <n v="6182.8128"/>
        <n v="4842"/>
        <n v="694"/>
        <n v="216"/>
        <n v="339"/>
        <n v="549.84"/>
        <n v="412.38"/>
        <n v="40.62"/>
        <n v="122.32"/>
        <n v="198.5472"/>
        <n v="1323.7072"/>
        <n v="5533.2928"/>
        <n v="5434"/>
        <n v="699"/>
        <n v="345"/>
        <n v="411"/>
        <n v="586.8"/>
        <n v="440.1"/>
        <n v="39.26"/>
        <n v="133.36"/>
        <n v="225.8784"/>
        <n v="7273"/>
        <n v="1425.3984"/>
        <n v="5847.6016"/>
        <n v="5443"/>
        <n v="379"/>
        <n v="980"/>
        <n v="259"/>
        <n v="417"/>
        <n v="602.24"/>
        <n v="451.68"/>
        <n v="42.76"/>
        <n v="140.72"/>
        <n v="239.008"/>
        <n v="7475"/>
        <n v="1476.408"/>
        <n v="5998.592"/>
        <n v="3530"/>
        <n v="427"/>
        <n v="496"/>
        <n v="473.6"/>
        <n v="355.2"/>
        <n v="47.8"/>
        <n v="128.5888"/>
        <n v="5891"/>
        <n v="1162.2288"/>
        <n v="4728.7712"/>
        <n v="2977"/>
        <n v="281"/>
        <n v="1244"/>
        <n v="511"/>
        <n v="459.04"/>
        <n v="344.28"/>
        <n v="56.18"/>
        <n v="206.48"/>
        <n v="103.3616"/>
        <n v="5608"/>
        <n v="1169.3416"/>
        <n v="4438.6584"/>
        <n v="3028"/>
        <n v="905"/>
        <n v="292"/>
        <n v="423.6"/>
        <n v="317.7"/>
        <n v="161.28"/>
        <n v="83.4464"/>
        <n v="5241"/>
        <n v="1031.3664"/>
        <n v="4209.6336"/>
        <n v="4587"/>
        <n v="1041"/>
        <n v="529"/>
        <n v="53.78"/>
        <n v="210.6032"/>
        <n v="7124"/>
        <n v="1452.0632"/>
        <n v="5671.9368"/>
        <n v="4956"/>
        <n v="231.8432"/>
        <n v="7389"/>
        <n v="1472.8032"/>
        <n v="5916.1968"/>
        <n v="6142"/>
        <n v="314"/>
        <n v="716"/>
        <n v="321"/>
        <n v="645.36"/>
        <n v="484.02"/>
        <n v="38.5"/>
        <n v="274.7936"/>
        <n v="7988"/>
        <n v="1577.8736"/>
        <n v="6410.1264"/>
        <n v="3101"/>
        <n v="437.12"/>
        <n v="327.84"/>
        <n v="164.8"/>
        <n v="83.7104"/>
        <n v="5275"/>
        <n v="1062.3304"/>
        <n v="4212.6696"/>
        <n v="2698"/>
        <n v="1104"/>
        <n v="479"/>
        <n v="417.92"/>
        <n v="313.44"/>
        <n v="51.24"/>
        <n v="177.28"/>
        <n v="72.6496"/>
        <n v="5118"/>
        <n v="1032.5296"/>
        <n v="4085.4704"/>
        <n v="6583"/>
        <n v="750"/>
        <n v="362"/>
        <n v="715.68"/>
        <n v="536.76"/>
        <n v="47.26"/>
        <n v="155.84"/>
        <n v="332.2768"/>
        <n v="8859"/>
        <n v="1787.8168"/>
        <n v="7071.1832"/>
        <n v="5725"/>
        <n v="471"/>
        <n v="322"/>
        <n v="340"/>
        <n v="628.48"/>
        <n v="471.36"/>
        <n v="42.62"/>
        <n v="139.76"/>
        <n v="258.9424"/>
        <n v="7769"/>
        <n v="1541.1624"/>
        <n v="6227.8376"/>
        <n v="4366"/>
        <n v="837"/>
        <n v="486.16"/>
        <n v="364.62"/>
        <n v="34.22"/>
        <n v="123.84"/>
        <n v="138.4928"/>
        <n v="5990"/>
        <n v="1147.3328"/>
        <n v="4842.6672"/>
        <n v="4737"/>
        <n v="585"/>
        <n v="584.56"/>
        <n v="438.42"/>
        <n v="51.4"/>
        <n v="171.36"/>
        <n v="217.9408"/>
        <n v="7220"/>
        <n v="1463.6808"/>
        <n v="5756.3192"/>
        <n v="5230"/>
        <n v="615.68"/>
        <n v="461.76"/>
        <n v="49.32"/>
        <n v="161.92"/>
        <n v="246.1056"/>
        <n v="7615"/>
        <n v="1534.7856"/>
        <n v="6080.2144"/>
        <n v="6258"/>
        <n v="639"/>
        <n v="673.2"/>
        <n v="504.9"/>
        <n v="43.14"/>
        <n v="133.6"/>
        <n v="303.5328"/>
        <n v="8399"/>
        <n v="1658.3728"/>
        <n v="6740.6272"/>
        <n v="5740"/>
        <n v="1002"/>
        <n v="636.48"/>
        <n v="477.36"/>
        <n v="45.56"/>
        <n v="156.32"/>
        <n v="266.2624"/>
        <n v="7894"/>
        <n v="1581.9824"/>
        <n v="6312.0176"/>
        <n v="5093"/>
        <n v="268"/>
        <n v="962"/>
        <n v="596.8"/>
        <n v="447.6"/>
        <n v="48.4"/>
        <n v="172.16"/>
        <n v="231.3632"/>
        <n v="7407"/>
        <n v="1496.3232"/>
        <n v="5910.6768"/>
        <n v="4355"/>
        <n v="304"/>
        <n v="1049"/>
        <n v="523.28"/>
        <n v="392.46"/>
        <n v="43.72"/>
        <n v="150.56"/>
        <n v="172.1584"/>
        <n v="6512"/>
        <n v="1282.1784"/>
        <n v="5229.8216"/>
        <n v="2839"/>
        <n v="512"/>
        <n v="548"/>
        <n v="442.8"/>
        <n v="332.1"/>
        <n v="54.88"/>
        <n v="182.8"/>
        <n v="91.3936"/>
        <n v="5405"/>
        <n v="1103.9736"/>
        <n v="4301.0264"/>
        <n v="3201"/>
        <n v="1120"/>
        <n v="479.44"/>
        <n v="359.58"/>
        <n v="188.56"/>
        <n v="128.4464"/>
        <n v="5939"/>
        <n v="1211.8664"/>
        <n v="4727.1336"/>
        <n v="5760"/>
        <n v="1043"/>
        <n v="651.12"/>
        <n v="488.34"/>
        <n v="49.1"/>
        <n v="172.32"/>
        <n v="276.1696"/>
        <n v="8063"/>
        <n v="1637.0496"/>
        <n v="6425.9504"/>
        <n v="4729"/>
        <n v="692"/>
        <n v="241"/>
        <n v="561.76"/>
        <n v="421.32"/>
        <n v="45.86"/>
        <n v="136.8"/>
        <n v="204.8208"/>
        <n v="6976"/>
        <n v="1370.5608"/>
        <n v="5605.4392"/>
        <n v="3218"/>
        <n v="334.44"/>
        <n v="47.12"/>
        <n v="169.68"/>
        <n v="99.8272"/>
        <n v="5495"/>
        <n v="1096.9872"/>
        <n v="4398.0128"/>
        <n v="2638"/>
        <n v="904"/>
        <n v="403.36"/>
        <n v="302.52"/>
        <n v="49.68"/>
        <n v="165.04"/>
        <n v="57.972"/>
        <n v="4853"/>
        <n v="978.572"/>
        <n v="3874.428"/>
        <n v="5528"/>
        <n v="202"/>
        <n v="45.4"/>
        <n v="170.24"/>
        <n v="248.2944"/>
        <n v="1550.6144"/>
        <n v="6105.3856"/>
        <n v="4548"/>
        <n v="935"/>
        <n v="401"/>
        <n v="524.64"/>
        <n v="393.48"/>
        <n v="40.2"/>
        <n v="145.36"/>
        <n v="169.3856"/>
        <n v="6471"/>
        <n v="1273.0656"/>
        <n v="5197.9344"/>
        <n v="5373"/>
        <n v="996"/>
        <n v="310"/>
        <n v="623.92"/>
        <n v="467.94"/>
        <n v="48.52"/>
        <n v="166.8"/>
        <n v="252.3856"/>
        <n v="7712"/>
        <n v="1559.5656"/>
        <n v="6152.4344"/>
        <n v="6082"/>
        <n v="688.32"/>
        <n v="516.24"/>
        <n v="50.44"/>
        <n v="171.28"/>
        <n v="307.2576"/>
        <n v="8517"/>
        <n v="1733.5376"/>
        <n v="6783.4624"/>
        <n v="6589"/>
        <n v="901"/>
        <n v="710.72"/>
        <n v="533.04"/>
        <n v="45.9"/>
        <n v="142.88"/>
        <n v="329.1568"/>
        <n v="8797"/>
        <n v="1761.6968"/>
        <n v="7035.3032"/>
      </sharedItems>
    </cacheField>
    <cacheField name="页1" numFmtId="0">
      <sharedItems count="12">
        <s v="项1"/>
        <s v="项2"/>
        <s v="项3"/>
        <s v="项4"/>
        <s v="项5"/>
        <s v="项6"/>
        <s v="项7"/>
        <s v="项8"/>
        <s v="项9"/>
        <s v="项10"/>
        <s v="项11"/>
        <s v="项1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322.8491666667" refreshedBy="86133" recordCount="1632">
  <cacheSource type="consolidation">
    <consolidation>
      <pages count="1">
        <page count="6">
          <pageItem name="项1"/>
          <pageItem name="项2"/>
          <pageItem name="项3"/>
          <pageItem name="项4"/>
          <pageItem name="项5"/>
          <pageItem name="项6"/>
        </page>
      </pages>
      <rangeSets count="6">
        <rangeSet i1="0" ref="A1:R17" sheet="1月"/>
        <rangeSet i1="1" ref="A1:R17" sheet="2月"/>
        <rangeSet i1="2" ref="A1:R17" sheet="3月"/>
        <rangeSet i1="3" ref="A1:R17" sheet="4月"/>
        <rangeSet i1="4" ref="A1:R17" sheet="5月"/>
        <rangeSet i1="5" ref="A1:R17" sheet="6月"/>
      </rangeSets>
    </consolidation>
  </cacheSource>
  <cacheFields count="4">
    <cacheField name="行" numFmtId="0">
      <sharedItems count="16">
        <s v="A001"/>
        <s v="A002"/>
        <s v="A005"/>
        <s v="A006"/>
        <s v="A008"/>
        <s v="A010"/>
        <s v="A016"/>
        <s v="A003"/>
        <s v="A004"/>
        <s v="A007"/>
        <s v="A009"/>
        <s v="A011"/>
        <s v="A012"/>
        <s v="A013"/>
        <s v="A014"/>
        <s v="A015"/>
      </sharedItems>
    </cacheField>
    <cacheField name="列" numFmtId="0">
      <sharedItems count="17">
        <s v="性别"/>
        <s v="合同种类"/>
        <s v="基本工资"/>
        <s v="岗位工资"/>
        <s v="工龄工资"/>
        <s v="补贴"/>
        <s v="医疗补助"/>
        <s v="奖金"/>
        <s v="考勤扣款"/>
        <s v="住房公积金"/>
        <s v="养老保险"/>
        <s v="医疗保险"/>
        <s v="失业保险"/>
        <s v="个人所得税"/>
        <s v="应发合计"/>
        <s v="应扣合计"/>
        <s v="实发合计"/>
      </sharedItems>
    </cacheField>
    <cacheField name="值" numFmtId="0">
      <sharedItems containsNumber="1" containsMixedTypes="1" count="1182">
        <s v="男"/>
        <s v="合同工"/>
        <n v="2975"/>
        <n v="441"/>
        <n v="60"/>
        <n v="900"/>
        <n v="354"/>
        <n v="332"/>
        <n v="100"/>
        <n v="404.96"/>
        <n v="303.72"/>
        <n v="43.74"/>
        <n v="139.68"/>
        <n v="65.592"/>
        <n v="4962"/>
        <n v="957.692"/>
        <n v="4004.308"/>
        <n v="2637"/>
        <n v="429"/>
        <n v="110"/>
        <n v="835"/>
        <n v="594"/>
        <n v="568"/>
        <n v="81"/>
        <n v="413.84"/>
        <n v="310.38"/>
        <n v="50.72"/>
        <n v="168.56"/>
        <n v="71.88"/>
        <n v="5092"/>
        <n v="1015.38"/>
        <n v="4076.62"/>
        <s v="女"/>
        <n v="4691"/>
        <n v="320"/>
        <n v="210"/>
        <n v="1229"/>
        <n v="277"/>
        <n v="494"/>
        <n v="16"/>
        <n v="577.68"/>
        <n v="433.26"/>
        <n v="50.6"/>
        <n v="176.8"/>
        <n v="217.3328"/>
        <n v="7205"/>
        <n v="1455.6728"/>
        <n v="5749.3272"/>
        <n v="5282"/>
        <n v="323"/>
        <n v="270"/>
        <n v="910"/>
        <n v="492"/>
        <n v="255"/>
        <n v="62"/>
        <n v="602.56"/>
        <n v="451.92"/>
        <n v="46.24"/>
        <n v="159.12"/>
        <n v="236.8128"/>
        <n v="7470"/>
        <n v="1496.6528"/>
        <n v="5973.3472"/>
        <n v="4233"/>
        <n v="549"/>
        <n v="230"/>
        <n v="1032"/>
        <n v="248"/>
        <n v="414"/>
        <n v="53"/>
        <n v="536.48"/>
        <n v="402.36"/>
        <n v="50.52"/>
        <n v="158.16"/>
        <n v="180.4384"/>
        <n v="6653"/>
        <n v="1327.9584"/>
        <n v="5325.0416"/>
        <n v="4765"/>
        <n v="374"/>
        <n v="170"/>
        <n v="714"/>
        <n v="331"/>
        <n v="463"/>
        <n v="29"/>
        <n v="545.36"/>
        <n v="409.02"/>
        <n v="41.04"/>
        <n v="134.24"/>
        <n v="192.6672"/>
        <n v="6788"/>
        <n v="1322.3272"/>
        <n v="5465.6728"/>
        <n v="4519"/>
        <n v="534"/>
        <n v="260"/>
        <n v="1162"/>
        <n v="367"/>
        <n v="130"/>
        <n v="569.52"/>
        <n v="427.14"/>
        <n v="52.96"/>
        <n v="173.36"/>
        <n v="201.2816"/>
        <n v="6989"/>
        <n v="1424.2616"/>
        <n v="5564.7384"/>
        <s v="劳务工"/>
        <n v="5688"/>
        <n v="279"/>
        <n v="290"/>
        <n v="963"/>
        <n v="493"/>
        <n v="242"/>
        <n v="0"/>
        <n v="636.4"/>
        <n v="477.3"/>
        <n v="45.34"/>
        <n v="159.04"/>
        <n v="270.9536"/>
        <n v="7955"/>
        <n v="1589.0336"/>
        <n v="6365.9664"/>
        <n v="2981"/>
        <n v="296"/>
        <n v="200"/>
        <n v="778"/>
        <n v="595"/>
        <n v="383"/>
        <n v="54"/>
        <n v="418.64"/>
        <n v="313.98"/>
        <n v="45.04"/>
        <n v="159.6"/>
        <n v="79.3392"/>
        <n v="5179"/>
        <n v="1016.5992"/>
        <n v="4162.4008"/>
        <n v="5642"/>
        <n v="1029"/>
        <n v="453"/>
        <n v="382"/>
        <n v="76"/>
        <n v="633.44"/>
        <n v="475.08"/>
        <n v="47.04"/>
        <n v="168.8"/>
        <n v="261.4112"/>
        <n v="7842"/>
        <n v="1585.7712"/>
        <n v="6256.2288"/>
        <n v="2863"/>
        <n v="220"/>
        <n v="884"/>
        <n v="201"/>
        <n v="415"/>
        <n v="51"/>
        <n v="387.44"/>
        <n v="290.58"/>
        <n v="40.38"/>
        <n v="141.68"/>
        <n v="57.9576"/>
        <n v="4792"/>
        <n v="918.0376"/>
        <n v="3873.9624"/>
        <n v="4622"/>
        <n v="444"/>
        <n v="50"/>
        <n v="1250"/>
        <n v="431"/>
        <n v="504"/>
        <n v="46"/>
        <n v="584.08"/>
        <n v="438.06"/>
        <n v="53.58"/>
        <n v="178.8"/>
        <n v="220.0384"/>
        <n v="7255"/>
        <n v="1474.5584"/>
        <n v="5780.4416"/>
        <n v="4926"/>
        <n v="301"/>
        <n v="1083"/>
        <n v="212"/>
        <n v="563"/>
        <n v="79"/>
        <n v="590"/>
        <n v="442.5"/>
        <n v="48.98"/>
        <n v="178.16"/>
        <n v="222.9088"/>
        <n v="7296"/>
        <n v="1482.5488"/>
        <n v="5813.4512"/>
        <n v="3018"/>
        <n v="190"/>
        <n v="1222"/>
        <n v="405"/>
        <n v="327"/>
        <n v="189"/>
        <n v="455.68"/>
        <n v="341.76"/>
        <n v="55.16"/>
        <n v="180.08"/>
        <n v="97.9456"/>
        <n v="5507"/>
        <n v="1130.6256"/>
        <n v="4376.3744"/>
        <n v="3141"/>
        <n v="599"/>
        <n v="1258"/>
        <n v="217"/>
        <n v="434"/>
        <n v="106"/>
        <n v="475.12"/>
        <n v="356.34"/>
        <n v="56.68"/>
        <n v="184.4"/>
        <n v="120.8368"/>
        <n v="5833"/>
        <n v="1193.3768"/>
        <n v="4639.6232"/>
        <n v="3040"/>
        <n v="543"/>
        <n v="280"/>
        <n v="1013"/>
        <n v="211"/>
        <n v="596"/>
        <n v="87"/>
        <n v="454.64"/>
        <n v="340.98"/>
        <n v="52.86"/>
        <n v="174.96"/>
        <n v="105.8048"/>
        <n v="5596"/>
        <n v="1129.2448"/>
        <n v="4466.7552"/>
        <n v="3619"/>
        <n v="330"/>
        <n v="90"/>
        <n v="1079"/>
        <n v="318"/>
        <n v="468"/>
        <n v="351"/>
        <n v="46.62"/>
        <n v="160.08"/>
        <n v="117.944"/>
        <n v="5750"/>
        <n v="1143.644"/>
        <n v="4606.356"/>
        <n v="5303"/>
        <n v="597"/>
        <n v="747"/>
        <n v="228"/>
        <n v="377"/>
        <n v="587.36"/>
        <n v="440.52"/>
        <n v="40.78"/>
        <n v="115.36"/>
        <n v="226.1584"/>
        <n v="7261"/>
        <n v="1410.1784"/>
        <n v="5850.8216"/>
        <n v="3638"/>
        <n v="312"/>
        <n v="1096"/>
        <n v="541"/>
        <n v="372"/>
        <n v="490.32"/>
        <n v="367.74"/>
        <n v="49.82"/>
        <n v="174.32"/>
        <n v="142.464"/>
        <n v="6113"/>
        <n v="1224.664"/>
        <n v="4888.336"/>
        <n v="5878"/>
        <n v="506"/>
        <n v="120"/>
        <n v="927"/>
        <n v="286"/>
        <n v="555"/>
        <n v="661.76"/>
        <n v="496.32"/>
        <n v="49.12"/>
        <n v="156"/>
        <n v="287.744"/>
        <n v="8210"/>
        <n v="1650.944"/>
        <n v="6559.056"/>
        <n v="3505"/>
        <n v="307"/>
        <n v="240"/>
        <n v="1001"/>
        <n v="234"/>
        <n v="452.72"/>
        <n v="339.54"/>
        <n v="44.14"/>
        <n v="152"/>
        <n v="109.408"/>
        <n v="5606"/>
        <n v="1097.808"/>
        <n v="4508.192"/>
        <n v="6147"/>
        <n v="250"/>
        <n v="772"/>
        <n v="389"/>
        <n v="677.28"/>
        <n v="507.96"/>
        <n v="46.38"/>
        <n v="155.6"/>
        <n v="303.9824"/>
        <n v="8437"/>
        <n v="1691.2024"/>
        <n v="6745.7976"/>
        <n v="3998"/>
        <n v="204"/>
        <n v="1209"/>
        <n v="227"/>
        <n v="600"/>
        <n v="518.24"/>
        <n v="388.68"/>
        <n v="50.56"/>
        <n v="190.16"/>
        <n v="156.0288"/>
        <n v="6348"/>
        <n v="1303.6688"/>
        <n v="5044.3312"/>
        <n v="4904"/>
        <n v="546"/>
        <n v="150"/>
        <n v="412"/>
        <n v="508"/>
        <n v="578.72"/>
        <n v="434.04"/>
        <n v="46.6"/>
        <n v="142.72"/>
        <n v="222.5536"/>
        <n v="7234"/>
        <n v="1424.6336"/>
        <n v="5809.3664"/>
        <n v="5784"/>
        <n v="380"/>
        <n v="976"/>
        <n v="366"/>
        <n v="560"/>
        <n v="654.08"/>
        <n v="490.56"/>
        <n v="47.84"/>
        <n v="164.08"/>
        <n v="281.2352"/>
        <n v="8122"/>
        <n v="1637.7952"/>
        <n v="6484.2048"/>
        <n v="4590"/>
        <n v="324"/>
        <n v="987"/>
        <n v="470"/>
        <n v="502"/>
        <n v="554.64"/>
        <n v="415.98"/>
        <n v="48.38"/>
        <n v="167.6"/>
        <n v="193.632"/>
        <n v="6857"/>
        <n v="1380.232"/>
        <n v="5476.768"/>
        <n v="2574"/>
        <n v="880"/>
        <n v="229"/>
        <n v="253"/>
        <n v="380.96"/>
        <n v="285.72"/>
        <n v="44.54"/>
        <n v="135.44"/>
        <n v="55.9302"/>
        <n v="4711"/>
        <n v="902.5902"/>
        <n v="3808.4098"/>
        <n v="2620"/>
        <n v="160"/>
        <n v="979"/>
        <n v="222"/>
        <n v="416"/>
        <n v="392.4"/>
        <n v="294.3"/>
        <n v="45.7"/>
        <n v="142.16"/>
        <n v="59.5332"/>
        <n v="4859"/>
        <n v="934.0932"/>
        <n v="3924.9068"/>
        <n v="5413"/>
        <n v="500"/>
        <n v="822"/>
        <n v="239"/>
        <n v="358"/>
        <n v="594.56"/>
        <n v="445.92"/>
        <n v="127.84"/>
        <n v="231.544"/>
        <n v="7353"/>
        <n v="1440.244"/>
        <n v="5912.756"/>
        <n v="4073"/>
        <n v="208"/>
        <n v="821"/>
        <n v="524"/>
        <n v="264"/>
        <n v="490.4"/>
        <n v="367.8"/>
        <n v="42.74"/>
        <n v="156.48"/>
        <n v="130.6864"/>
        <n v="5941"/>
        <n v="1188.1064"/>
        <n v="4752.8936"/>
        <n v="4289"/>
        <n v="373"/>
        <n v="790"/>
        <n v="515"/>
        <n v="527.92"/>
        <n v="395.94"/>
        <n v="46.92"/>
        <n v="163.44"/>
        <n v="168.7024"/>
        <n v="6493"/>
        <n v="1302.9224"/>
        <n v="5190.0776"/>
        <n v="4812"/>
        <n v="282"/>
        <n v="1062"/>
        <n v="390"/>
        <n v="460"/>
        <n v="565.28"/>
        <n v="423.96"/>
        <n v="45.08"/>
        <n v="164.72"/>
        <n v="202.3968"/>
        <n v="6979"/>
        <n v="1401.4368"/>
        <n v="5577.5632"/>
        <n v="6398"/>
        <n v="386"/>
        <n v="1069"/>
        <n v="226"/>
        <n v="448"/>
        <n v="691.76"/>
        <n v="518.82"/>
        <n v="46.98"/>
        <n v="157.04"/>
        <n v="310.592"/>
        <n v="8547"/>
        <n v="1725.192"/>
        <n v="6821.808"/>
        <n v="5950"/>
        <n v="369"/>
        <n v="733"/>
        <n v="490"/>
        <n v="410"/>
        <n v="659.36"/>
        <n v="494.52"/>
        <n v="45.84"/>
        <n v="153.84"/>
        <n v="284.5952"/>
        <n v="8161"/>
        <n v="1638.1552"/>
        <n v="6522.8448"/>
        <n v="4871"/>
        <n v="488"/>
        <n v="817"/>
        <n v="475"/>
        <n v="584"/>
        <n v="598"/>
        <n v="448.5"/>
        <n v="52.08"/>
        <n v="169.28"/>
        <n v="235.2912"/>
        <n v="7459"/>
        <n v="1503.1512"/>
        <n v="5955.8488"/>
        <n v="4495"/>
        <n v="349"/>
        <n v="788"/>
        <n v="315"/>
        <n v="545.12"/>
        <n v="408.84"/>
        <n v="47.62"/>
        <n v="162.56"/>
        <n v="187.0288"/>
        <n v="6752"/>
        <n v="1351.1688"/>
        <n v="5400.8312"/>
        <n v="5803"/>
        <n v="998"/>
        <n v="551"/>
        <n v="675.04"/>
        <n v="506.28"/>
        <n v="53.76"/>
        <n v="184.16"/>
        <n v="297.2608"/>
        <n v="8385"/>
        <n v="1716.5008"/>
        <n v="6668.4992"/>
        <n v="3537"/>
        <n v="333"/>
        <n v="1055"/>
        <n v="213"/>
        <n v="540"/>
        <n v="475.84"/>
        <n v="356.88"/>
        <n v="48.22"/>
        <n v="166.24"/>
        <n v="129.7456"/>
        <n v="5919"/>
        <n v="1176.9256"/>
        <n v="4742.0744"/>
        <n v="3696"/>
        <n v="419"/>
        <n v="875"/>
        <n v="302"/>
        <n v="219"/>
        <n v="464.08"/>
        <n v="348.06"/>
        <n v="43.06"/>
        <n v="142.96"/>
        <n v="113.8272"/>
        <n v="5671"/>
        <n v="1111.9872"/>
        <n v="4559.0128"/>
        <n v="5562"/>
        <n v="80"/>
        <n v="697"/>
        <n v="297"/>
        <n v="459"/>
        <n v="597.36"/>
        <n v="448.02"/>
        <n v="38.1"/>
        <n v="122.64"/>
        <n v="240.8704"/>
        <n v="7467"/>
        <n v="1446.9904"/>
        <n v="6020.0096"/>
        <n v="3582"/>
        <n v="825"/>
        <n v="294"/>
        <n v="467.76"/>
        <n v="350.82"/>
        <n v="45.3"/>
        <n v="141.04"/>
        <n v="123.0464"/>
        <n v="5793"/>
        <n v="1127.9664"/>
        <n v="4665.0336"/>
        <n v="4963"/>
        <n v="592"/>
        <n v="1201"/>
        <n v="593"/>
        <n v="457"/>
        <n v="637.28"/>
        <n v="477.96"/>
        <n v="61.58"/>
        <n v="198.96"/>
        <n v="261.1376"/>
        <n v="7890"/>
        <n v="1636.9176"/>
        <n v="6253.0824"/>
        <n v="5184"/>
        <n v="547"/>
        <n v="763"/>
        <n v="451"/>
        <n v="440"/>
        <n v="607.6"/>
        <n v="455.7"/>
        <n v="49"/>
        <n v="153.2"/>
        <n v="242.28"/>
        <n v="7544"/>
        <n v="1507.78"/>
        <n v="6036.22"/>
        <n v="3874"/>
        <n v="353"/>
        <n v="1047"/>
        <n v="336"/>
        <n v="491.92"/>
        <n v="368.94"/>
        <n v="45.5"/>
        <n v="153.76"/>
        <n v="143.4304"/>
        <n v="6103"/>
        <n v="1203.5504"/>
        <n v="4899.4496"/>
        <n v="5611"/>
        <n v="995"/>
        <n v="641.6"/>
        <n v="481.2"/>
        <n v="48.18"/>
        <n v="170.72"/>
        <n v="267.944"/>
        <n v="7941"/>
        <n v="1609.644"/>
        <n v="6331.356"/>
        <n v="5649"/>
        <n v="393"/>
        <n v="1191"/>
        <n v="328"/>
        <n v="573"/>
        <n v="661.12"/>
        <n v="495.84"/>
        <n v="53.9"/>
        <n v="186.32"/>
        <n v="274.2256"/>
        <n v="8075"/>
        <n v="1671.4056"/>
        <n v="6403.5944"/>
        <n v="5637"/>
        <n v="782"/>
        <n v="462"/>
        <n v="612.64"/>
        <n v="459.48"/>
        <n v="41.14"/>
        <n v="149.92"/>
        <n v="243.1056"/>
        <n v="7552"/>
        <n v="1506.2856"/>
        <n v="6045.7144"/>
        <n v="5174"/>
        <n v="721"/>
        <n v="223"/>
        <n v="384"/>
        <n v="572"/>
        <n v="39.52"/>
        <n v="117.2"/>
        <n v="212.4224"/>
        <n v="7063"/>
        <n v="1370.1424"/>
        <n v="5692.8576"/>
        <n v="4295"/>
        <n v="973"/>
        <n v="528"/>
        <n v="387"/>
        <n v="552.48"/>
        <n v="414.36"/>
        <n v="54.22"/>
        <n v="179.84"/>
        <n v="188.408"/>
        <n v="6806"/>
        <n v="1389.308"/>
        <n v="5416.692"/>
        <n v="6408"/>
        <n v="498"/>
        <n v="140"/>
        <n v="620"/>
        <n v="690.56"/>
        <n v="517.92"/>
        <n v="44.48"/>
        <n v="138.08"/>
        <n v="312.7968"/>
        <n v="8551"/>
        <n v="1703.8368"/>
        <n v="6847.1632"/>
        <n v="4329"/>
        <n v="275"/>
        <n v="1017"/>
        <n v="525"/>
        <n v="543.76"/>
        <n v="407.82"/>
        <n v="49.36"/>
        <n v="175.44"/>
        <n v="188.3696"/>
        <n v="6781"/>
        <n v="1364.7496"/>
        <n v="5416.2504"/>
        <n v="3892"/>
        <n v="579"/>
        <n v="722"/>
        <n v="582"/>
        <n v="494.32"/>
        <n v="370.74"/>
        <n v="141.6"/>
        <n v="145.0688"/>
        <n v="6117"/>
        <n v="1198.7088"/>
        <n v="4918.2912"/>
        <n v="5210"/>
        <n v="378"/>
        <n v="518"/>
        <n v="602.8"/>
        <n v="452.1"/>
        <n v="47.56"/>
        <n v="237.5632"/>
        <n v="7482"/>
        <n v="1500.0232"/>
        <n v="5981.9768"/>
        <n v="6335"/>
        <n v="348"/>
        <n v="922"/>
        <n v="495"/>
        <n v="696.4"/>
        <n v="522.3"/>
        <n v="47.4"/>
        <n v="161.76"/>
        <n v="319.8512"/>
        <n v="8676"/>
        <n v="1747.7112"/>
        <n v="6928.2888"/>
        <n v="746"/>
        <n v="252"/>
        <n v="608.96"/>
        <n v="456.72"/>
        <n v="40.22"/>
        <n v="135.2"/>
        <n v="239.272"/>
        <n v="1480.372"/>
        <n v="6001.628"/>
        <n v="5381"/>
        <n v="742"/>
        <n v="612.48"/>
        <n v="459.36"/>
        <n v="162.8"/>
        <n v="250.0688"/>
        <n v="7656"/>
        <n v="1530.2088"/>
        <n v="6125.7912"/>
        <n v="2583"/>
        <n v="814"/>
        <n v="589"/>
        <n v="426.56"/>
        <n v="319.92"/>
        <n v="54.98"/>
        <n v="178"/>
        <n v="83.8832"/>
        <n v="5278"/>
        <n v="1063.3432"/>
        <n v="4214.6568"/>
        <n v="5511"/>
        <n v="180"/>
        <n v="1114"/>
        <n v="566"/>
        <n v="580"/>
        <n v="662.32"/>
        <n v="496.74"/>
        <n v="56.88"/>
        <n v="201.28"/>
        <n v="282.8624"/>
        <n v="8203"/>
        <n v="1700.0824"/>
        <n v="6502.9176"/>
        <n v="483"/>
        <n v="1167"/>
        <n v="371"/>
        <n v="594.8"/>
        <n v="446.1"/>
        <n v="53.24"/>
        <n v="175.28"/>
        <n v="229.1664"/>
        <n v="7384"/>
        <n v="1498.5864"/>
        <n v="5885.4136"/>
        <n v="5401"/>
        <n v="552"/>
        <n v="70"/>
        <n v="1014"/>
        <n v="505"/>
        <n v="632.72"/>
        <n v="474.54"/>
        <n v="50.16"/>
        <n v="263.928"/>
        <n v="7863"/>
        <n v="1577.828"/>
        <n v="6285.172"/>
        <n v="5168"/>
        <n v="527"/>
        <n v="1176"/>
        <n v="433"/>
        <n v="432"/>
        <n v="639.68"/>
        <n v="479.76"/>
        <n v="56.56"/>
        <n v="190.4"/>
        <n v="264.048"/>
        <n v="7917"/>
        <n v="1630.448"/>
        <n v="6286.552"/>
        <n v="4557"/>
        <n v="428"/>
        <n v="523.68"/>
        <n v="392.76"/>
        <n v="41.38"/>
        <n v="132.4"/>
        <n v="161.3424"/>
        <n v="6357"/>
        <n v="1251.5624"/>
        <n v="5105.4376"/>
        <n v="3873"/>
        <n v="263"/>
        <n v="931"/>
        <n v="364"/>
        <n v="458.32"/>
        <n v="343.74"/>
        <n v="37.84"/>
        <n v="135.92"/>
        <n v="111.7744"/>
        <n v="5623"/>
        <n v="1087.5944"/>
        <n v="4535.4056"/>
        <n v="6508"/>
        <n v="499"/>
        <n v="909"/>
        <n v="424"/>
        <n v="705.36"/>
        <n v="529.02"/>
        <n v="46.18"/>
        <n v="151.76"/>
        <n v="323.8144"/>
        <n v="8730"/>
        <n v="1756.1344"/>
        <n v="6973.8656"/>
        <n v="4782"/>
        <n v="484"/>
        <n v="1115"/>
        <n v="514"/>
        <n v="592.96"/>
        <n v="444.72"/>
        <n v="54.6"/>
        <n v="179.68"/>
        <n v="223.2032"/>
        <n v="7312"/>
        <n v="1495.1632"/>
        <n v="5816.8368"/>
        <n v="4631"/>
        <n v="437"/>
        <n v="908"/>
        <n v="342"/>
        <n v="267"/>
        <n v="409.5"/>
        <n v="43.88"/>
        <n v="140.56"/>
        <n v="188.3248"/>
        <n v="6744"/>
        <n v="1328.2648"/>
        <n v="5415.7352"/>
        <n v="2769"/>
        <n v="215"/>
        <n v="392.08"/>
        <n v="294.06"/>
        <n v="42.64"/>
        <n v="138.16"/>
        <n v="61.4448"/>
        <n v="4885"/>
        <n v="928.3848"/>
        <n v="3956.6152"/>
        <n v="2674"/>
        <n v="409"/>
        <n v="936"/>
        <n v="269"/>
        <n v="544"/>
        <n v="408.16"/>
        <n v="306.12"/>
        <n v="49.8"/>
        <n v="166.48"/>
        <n v="68.7552000000001"/>
        <n v="5040"/>
        <n v="999.3152"/>
        <n v="4040.6848"/>
        <n v="5181"/>
        <n v="554"/>
        <n v="334"/>
        <n v="620.96"/>
        <n v="465.72"/>
        <n v="52.68"/>
        <n v="170.08"/>
        <n v="251.9648"/>
        <n v="7709"/>
        <n v="1561.4048"/>
        <n v="6147.5952"/>
        <n v="2893"/>
        <n v="745"/>
        <n v="408.32"/>
        <n v="306.24"/>
        <n v="44.22"/>
        <n v="143.6"/>
        <n v="73.8096"/>
        <n v="5075"/>
        <n v="976.1896"/>
        <n v="4098.8104"/>
        <n v="4445"/>
        <n v="557"/>
        <n v="984"/>
        <n v="205"/>
        <n v="535"/>
        <n v="550.08"/>
        <n v="412.56"/>
        <n v="49.58"/>
        <n v="158"/>
        <n v="186.0624"/>
        <n v="6746"/>
        <n v="1356.2824"/>
        <n v="5389.7176"/>
        <n v="4053"/>
        <n v="781"/>
        <n v="558"/>
        <n v="488.72"/>
        <n v="366.54"/>
        <n v="41.12"/>
        <n v="144.48"/>
        <n v="145.4512"/>
        <n v="6109"/>
        <n v="1186.3112"/>
        <n v="4922.6888"/>
        <n v="2571"/>
        <n v="571"/>
        <n v="914"/>
        <n v="375"/>
        <n v="411.44"/>
        <n v="308.58"/>
        <n v="51.44"/>
        <n v="163.2"/>
        <n v="72.3472"/>
        <n v="5089"/>
        <n v="1007.0072"/>
        <n v="4081.9928"/>
        <n v="2605"/>
        <n v="749"/>
        <n v="355"/>
        <n v="407.36"/>
        <n v="305.52"/>
        <n v="51.26"/>
        <n v="158.72"/>
        <n v="67.4512"/>
        <n v="5016"/>
        <n v="990.3112"/>
        <n v="4025.6888"/>
        <n v="4932"/>
        <n v="443"/>
        <n v="573.28"/>
        <n v="429.96"/>
        <n v="45.46"/>
        <n v="134.96"/>
        <n v="214.5072"/>
        <n v="7115"/>
        <n v="1398.1672"/>
        <n v="5716.8328"/>
        <n v="4774"/>
        <n v="919"/>
        <n v="577"/>
        <n v="487"/>
        <n v="597.6"/>
        <n v="448.2"/>
        <n v="53.92"/>
        <n v="179.44"/>
        <n v="231.5872"/>
        <n v="7424"/>
        <n v="1510.7472"/>
        <n v="5913.2528"/>
        <n v="4157"/>
        <n v="798"/>
        <n v="489"/>
        <n v="517.68"/>
        <n v="388.26"/>
        <n v="46.28"/>
        <n v="147.92"/>
        <n v="163.3488"/>
        <n v="6392"/>
        <n v="1263.4888"/>
        <n v="5128.5112"/>
        <n v="4058"/>
        <n v="503"/>
        <n v="877"/>
        <n v="258"/>
        <n v="464"/>
        <n v="507.2"/>
        <n v="380.4"/>
        <n v="47.24"/>
        <n v="150.88"/>
        <n v="145.2224"/>
        <n v="6151"/>
        <n v="1230.9424"/>
        <n v="4920.0576"/>
        <n v="5519"/>
        <n v="225"/>
        <n v="1071"/>
        <n v="352"/>
        <n v="636.64"/>
        <n v="477.48"/>
        <n v="49.5"/>
        <n v="185.6"/>
        <n v="260.2224"/>
        <n v="7852"/>
        <n v="1609.4424"/>
        <n v="6242.5576"/>
        <n v="4847"/>
        <n v="407"/>
        <n v="1016"/>
        <n v="577.36"/>
        <n v="433.02"/>
        <n v="164"/>
        <n v="212.6576"/>
        <n v="7130"/>
        <n v="1434.4376"/>
        <n v="5695.5624"/>
        <n v="5482"/>
        <n v="288"/>
        <n v="357"/>
        <n v="497"/>
        <n v="631.44"/>
        <n v="473.58"/>
        <n v="50.22"/>
        <n v="177.84"/>
        <n v="256.7936"/>
        <n v="7793"/>
        <n v="1589.8736"/>
        <n v="6203.1264"/>
        <n v="3509"/>
        <n v="236"/>
        <n v="1202"/>
        <n v="521"/>
        <n v="256"/>
        <n v="469.92"/>
        <n v="352.44"/>
        <n v="47.3"/>
        <n v="170.32"/>
        <n v="120.2416"/>
        <n v="1160.2216"/>
        <n v="4632.7784"/>
        <n v="4449"/>
        <n v="452"/>
        <n v="957"/>
        <n v="566.8"/>
        <n v="425.1"/>
        <n v="52.72"/>
        <n v="174.72"/>
        <n v="207.9728"/>
        <n v="7069"/>
        <n v="1427.3128"/>
        <n v="5641.6872"/>
        <n v="3863"/>
        <n v="486"/>
        <n v="1048"/>
        <n v="283"/>
        <n v="518.8"/>
        <n v="389.1"/>
        <n v="53.68"/>
        <n v="175.84"/>
        <n v="162.8464"/>
        <n v="6423"/>
        <n v="1300.2664"/>
        <n v="5122.7336"/>
        <n v="3600"/>
        <n v="257"/>
        <n v="1077"/>
        <n v="285"/>
        <n v="455.44"/>
        <n v="341.58"/>
        <n v="42.92"/>
        <n v="151.12"/>
        <n v="111.9152"/>
        <n v="5640"/>
        <n v="1102.9752"/>
        <n v="4537.0248"/>
        <n v="5325"/>
        <n v="583"/>
        <n v="866"/>
        <n v="635.68"/>
        <n v="476.76"/>
        <n v="52.42"/>
        <n v="163.04"/>
        <n v="267.128"/>
        <n v="1595.028"/>
        <n v="6321.972"/>
        <n v="6265"/>
        <n v="442"/>
        <n v="833"/>
        <n v="542"/>
        <n v="232"/>
        <n v="674.72"/>
        <n v="506.04"/>
        <n v="44.34"/>
        <n v="146.24"/>
        <n v="294.6128"/>
        <n v="8304"/>
        <n v="1665.9528"/>
        <n v="6638.0472"/>
        <n v="3121"/>
        <n v="536"/>
        <n v="446.24"/>
        <n v="334.68"/>
        <n v="49.14"/>
        <n v="175.76"/>
        <n v="105.7744"/>
        <n v="5578"/>
        <n v="1111.5944"/>
        <n v="4466.4056"/>
        <n v="4277"/>
        <n v="519"/>
        <n v="305"/>
        <n v="507.84"/>
        <n v="380.88"/>
        <n v="41.42"/>
        <n v="127.28"/>
        <n v="158.9264"/>
        <n v="6294"/>
        <n v="1216.3464"/>
        <n v="5077.6536"/>
        <n v="4056"/>
        <n v="523"/>
        <n v="420"/>
        <n v="418"/>
        <n v="527.36"/>
        <n v="395.52"/>
        <n v="52.24"/>
        <n v="167.12"/>
        <n v="169.9008"/>
        <n v="6516"/>
        <n v="1312.1408"/>
        <n v="5203.8592"/>
        <n v="287"/>
        <n v="1100"/>
        <n v="501.68"/>
        <n v="376.26"/>
        <n v="44.74"/>
        <n v="156.96"/>
        <n v="151.2288"/>
        <n v="6220"/>
        <n v="1230.8688"/>
        <n v="4989.1312"/>
        <n v="3656"/>
        <n v="1015"/>
        <n v="403"/>
        <n v="361"/>
        <n v="470.96"/>
        <n v="353.22"/>
        <n v="44.62"/>
        <n v="158.32"/>
        <n v="125.1104"/>
        <n v="5841"/>
        <n v="1152.2304"/>
        <n v="4688.7696"/>
        <n v="3070"/>
        <n v="394"/>
        <n v="899"/>
        <n v="326"/>
        <n v="429.6"/>
        <n v="322.2"/>
        <n v="158.8"/>
        <n v="86.752"/>
        <n v="5291"/>
        <n v="1043.352"/>
        <n v="4247.648"/>
        <n v="795"/>
        <n v="591"/>
        <n v="639.2"/>
        <n v="479.4"/>
        <n v="55.84"/>
        <n v="178.08"/>
        <n v="255.8784"/>
        <n v="7801"/>
        <n v="1608.3984"/>
        <n v="6192.6016"/>
        <n v="2795"/>
        <n v="576"/>
        <n v="1189"/>
        <n v="437.68"/>
        <n v="328.26"/>
        <n v="54.24"/>
        <n v="176.48"/>
        <n v="89.4672"/>
        <n v="5365"/>
        <n v="1086.1272"/>
        <n v="4278.8728"/>
        <n v="4763"/>
        <n v="952"/>
        <n v="404"/>
        <n v="569"/>
        <n v="562.8"/>
        <n v="422.1"/>
        <n v="45.44"/>
        <n v="170.56"/>
        <n v="199.768"/>
        <n v="6948"/>
        <n v="1400.668"/>
        <n v="5547.332"/>
      </sharedItems>
    </cacheField>
    <cacheField name="页1" numFmtId="0">
      <sharedItems count="6">
        <s v="项1"/>
        <s v="项2"/>
        <s v="项3"/>
        <s v="项4"/>
        <s v="项5"/>
        <s v="项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322.8541203704" refreshedBy="86133" recordCount="2880">
  <cacheSource type="consolidation">
    <consolidation>
      <pages count="1">
        <page count="12">
          <pageItem name="项1"/>
          <pageItem name="项2"/>
          <pageItem name="项3"/>
          <pageItem name="项4"/>
          <pageItem name="项5"/>
          <pageItem name="项6"/>
          <pageItem name="项7"/>
          <pageItem name="项8"/>
          <pageItem name="项9"/>
          <pageItem name="项10"/>
          <pageItem name="项11"/>
          <pageItem name="项12"/>
        </page>
      </pages>
      <rangeSets count="12">
        <rangeSet i1="0" ref="C1:R17" sheet="1月"/>
        <rangeSet i1="1" ref="C1:R17" sheet="2月"/>
        <rangeSet i1="2" ref="C1:R17" sheet="3月"/>
        <rangeSet i1="3" ref="C1:R17" sheet="4月"/>
        <rangeSet i1="4" ref="C1:R17" sheet="5月"/>
        <rangeSet i1="5" ref="C1:R17" sheet="6月"/>
        <rangeSet i1="6" ref="C1:R17" sheet="7月"/>
        <rangeSet i1="7" ref="C1:R17" sheet="8月"/>
        <rangeSet i1="8" ref="C1:R17" sheet="9月"/>
        <rangeSet i1="9" ref="C1:R17" sheet="10月"/>
        <rangeSet i1="10" ref="C1:R17" sheet="11月"/>
        <rangeSet i1="11" ref="C1:R17" sheet="12月"/>
      </rangeSets>
    </consolidation>
  </cacheSource>
  <cacheFields count="4">
    <cacheField name="行" numFmtId="0">
      <sharedItems count="2">
        <s v="合同工"/>
        <s v="劳务工"/>
      </sharedItems>
    </cacheField>
    <cacheField name="列" numFmtId="0">
      <sharedItems count="15">
        <s v="基本工资"/>
        <s v="岗位工资"/>
        <s v="工龄工资"/>
        <s v="补贴"/>
        <s v="医疗补助"/>
        <s v="奖金"/>
        <s v="考勤扣款"/>
        <s v="住房公积金"/>
        <s v="养老保险"/>
        <s v="医疗保险"/>
        <s v="失业保险"/>
        <s v="个人所得税"/>
        <s v="应发合计"/>
        <s v="应扣合计"/>
        <s v="实发合计"/>
      </sharedItems>
    </cacheField>
    <cacheField name="值" numFmtId="0">
      <sharedItems containsSemiMixedTypes="0" containsString="0" containsNumber="1" minValue="0" maxValue="9311" count="2170">
        <n v="2975"/>
        <n v="441"/>
        <n v="60"/>
        <n v="900"/>
        <n v="354"/>
        <n v="332"/>
        <n v="100"/>
        <n v="404.96"/>
        <n v="303.72"/>
        <n v="43.74"/>
        <n v="139.68"/>
        <n v="65.592"/>
        <n v="4962"/>
        <n v="957.692"/>
        <n v="4004.308"/>
        <n v="2637"/>
        <n v="429"/>
        <n v="110"/>
        <n v="835"/>
        <n v="594"/>
        <n v="568"/>
        <n v="81"/>
        <n v="413.84"/>
        <n v="310.38"/>
        <n v="50.72"/>
        <n v="168.56"/>
        <n v="71.88"/>
        <n v="5092"/>
        <n v="1015.38"/>
        <n v="4076.62"/>
        <n v="4691"/>
        <n v="320"/>
        <n v="210"/>
        <n v="1229"/>
        <n v="277"/>
        <n v="494"/>
        <n v="16"/>
        <n v="577.68"/>
        <n v="433.26"/>
        <n v="50.6"/>
        <n v="176.8"/>
        <n v="217.3328"/>
        <n v="7205"/>
        <n v="1455.6728"/>
        <n v="5749.3272"/>
        <n v="5282"/>
        <n v="323"/>
        <n v="270"/>
        <n v="910"/>
        <n v="492"/>
        <n v="255"/>
        <n v="62"/>
        <n v="602.56"/>
        <n v="451.92"/>
        <n v="46.24"/>
        <n v="159.12"/>
        <n v="236.8128"/>
        <n v="7470"/>
        <n v="1496.6528"/>
        <n v="5973.3472"/>
        <n v="4233"/>
        <n v="549"/>
        <n v="230"/>
        <n v="1032"/>
        <n v="248"/>
        <n v="414"/>
        <n v="53"/>
        <n v="536.48"/>
        <n v="402.36"/>
        <n v="50.52"/>
        <n v="158.16"/>
        <n v="180.4384"/>
        <n v="6653"/>
        <n v="1327.9584"/>
        <n v="5325.0416"/>
        <n v="4765"/>
        <n v="374"/>
        <n v="170"/>
        <n v="714"/>
        <n v="331"/>
        <n v="463"/>
        <n v="29"/>
        <n v="545.36"/>
        <n v="409.02"/>
        <n v="41.04"/>
        <n v="134.24"/>
        <n v="192.6672"/>
        <n v="6788"/>
        <n v="1322.3272"/>
        <n v="5465.6728"/>
        <n v="4519"/>
        <n v="534"/>
        <n v="260"/>
        <n v="1162"/>
        <n v="367"/>
        <n v="130"/>
        <n v="569.52"/>
        <n v="427.14"/>
        <n v="52.96"/>
        <n v="173.36"/>
        <n v="201.2816"/>
        <n v="6989"/>
        <n v="1424.2616"/>
        <n v="5564.7384"/>
        <n v="5688"/>
        <n v="279"/>
        <n v="290"/>
        <n v="963"/>
        <n v="493"/>
        <n v="242"/>
        <n v="0"/>
        <n v="636.4"/>
        <n v="477.3"/>
        <n v="45.34"/>
        <n v="159.04"/>
        <n v="270.9536"/>
        <n v="7955"/>
        <n v="1589.0336"/>
        <n v="6365.9664"/>
        <n v="2981"/>
        <n v="296"/>
        <n v="200"/>
        <n v="778"/>
        <n v="595"/>
        <n v="383"/>
        <n v="54"/>
        <n v="418.64"/>
        <n v="313.98"/>
        <n v="45.04"/>
        <n v="159.6"/>
        <n v="79.3392"/>
        <n v="5179"/>
        <n v="1016.5992"/>
        <n v="4162.4008"/>
        <n v="5642"/>
        <n v="1029"/>
        <n v="453"/>
        <n v="382"/>
        <n v="76"/>
        <n v="633.44"/>
        <n v="475.08"/>
        <n v="47.04"/>
        <n v="168.8"/>
        <n v="261.4112"/>
        <n v="7842"/>
        <n v="1585.7712"/>
        <n v="6256.2288"/>
        <n v="2863"/>
        <n v="220"/>
        <n v="884"/>
        <n v="201"/>
        <n v="415"/>
        <n v="51"/>
        <n v="387.44"/>
        <n v="290.58"/>
        <n v="40.38"/>
        <n v="141.68"/>
        <n v="57.9576"/>
        <n v="4792"/>
        <n v="918.0376"/>
        <n v="3873.9624"/>
        <n v="4622"/>
        <n v="444"/>
        <n v="50"/>
        <n v="1250"/>
        <n v="431"/>
        <n v="504"/>
        <n v="46"/>
        <n v="584.08"/>
        <n v="438.06"/>
        <n v="53.58"/>
        <n v="178.8"/>
        <n v="220.0384"/>
        <n v="7255"/>
        <n v="1474.5584"/>
        <n v="5780.4416"/>
        <n v="4926"/>
        <n v="301"/>
        <n v="1083"/>
        <n v="212"/>
        <n v="563"/>
        <n v="79"/>
        <n v="590"/>
        <n v="442.5"/>
        <n v="48.98"/>
        <n v="178.16"/>
        <n v="222.9088"/>
        <n v="7296"/>
        <n v="1482.5488"/>
        <n v="5813.4512"/>
        <n v="3018"/>
        <n v="190"/>
        <n v="1222"/>
        <n v="405"/>
        <n v="327"/>
        <n v="189"/>
        <n v="455.68"/>
        <n v="341.76"/>
        <n v="55.16"/>
        <n v="180.08"/>
        <n v="97.9456"/>
        <n v="5507"/>
        <n v="1130.6256"/>
        <n v="4376.3744"/>
        <n v="3141"/>
        <n v="599"/>
        <n v="1258"/>
        <n v="217"/>
        <n v="434"/>
        <n v="106"/>
        <n v="475.12"/>
        <n v="356.34"/>
        <n v="56.68"/>
        <n v="184.4"/>
        <n v="120.8368"/>
        <n v="5833"/>
        <n v="1193.3768"/>
        <n v="4639.6232"/>
        <n v="3040"/>
        <n v="543"/>
        <n v="280"/>
        <n v="1013"/>
        <n v="211"/>
        <n v="596"/>
        <n v="87"/>
        <n v="454.64"/>
        <n v="340.98"/>
        <n v="52.86"/>
        <n v="174.96"/>
        <n v="105.8048"/>
        <n v="5596"/>
        <n v="1129.2448"/>
        <n v="4466.7552"/>
        <n v="3619"/>
        <n v="330"/>
        <n v="90"/>
        <n v="1079"/>
        <n v="318"/>
        <n v="468"/>
        <n v="351"/>
        <n v="46.62"/>
        <n v="160.08"/>
        <n v="117.944"/>
        <n v="5750"/>
        <n v="1143.644"/>
        <n v="4606.356"/>
        <n v="5303"/>
        <n v="597"/>
        <n v="747"/>
        <n v="228"/>
        <n v="377"/>
        <n v="587.36"/>
        <n v="440.52"/>
        <n v="40.78"/>
        <n v="115.36"/>
        <n v="226.1584"/>
        <n v="7261"/>
        <n v="1410.1784"/>
        <n v="5850.8216"/>
        <n v="3638"/>
        <n v="312"/>
        <n v="1096"/>
        <n v="541"/>
        <n v="372"/>
        <n v="490.32"/>
        <n v="367.74"/>
        <n v="49.82"/>
        <n v="174.32"/>
        <n v="142.464"/>
        <n v="6113"/>
        <n v="1224.664"/>
        <n v="4888.336"/>
        <n v="5878"/>
        <n v="506"/>
        <n v="120"/>
        <n v="927"/>
        <n v="286"/>
        <n v="555"/>
        <n v="661.76"/>
        <n v="496.32"/>
        <n v="49.12"/>
        <n v="156"/>
        <n v="287.744"/>
        <n v="8210"/>
        <n v="1650.944"/>
        <n v="6559.056"/>
        <n v="3505"/>
        <n v="307"/>
        <n v="240"/>
        <n v="1001"/>
        <n v="234"/>
        <n v="452.72"/>
        <n v="339.54"/>
        <n v="44.14"/>
        <n v="152"/>
        <n v="109.408"/>
        <n v="5606"/>
        <n v="1097.808"/>
        <n v="4508.192"/>
        <n v="6147"/>
        <n v="250"/>
        <n v="772"/>
        <n v="389"/>
        <n v="677.28"/>
        <n v="507.96"/>
        <n v="46.38"/>
        <n v="155.6"/>
        <n v="303.9824"/>
        <n v="8437"/>
        <n v="1691.2024"/>
        <n v="6745.7976"/>
        <n v="3998"/>
        <n v="204"/>
        <n v="1209"/>
        <n v="227"/>
        <n v="600"/>
        <n v="518.24"/>
        <n v="388.68"/>
        <n v="50.56"/>
        <n v="190.16"/>
        <n v="156.0288"/>
        <n v="6348"/>
        <n v="1303.6688"/>
        <n v="5044.3312"/>
        <n v="4904"/>
        <n v="546"/>
        <n v="150"/>
        <n v="412"/>
        <n v="508"/>
        <n v="578.72"/>
        <n v="434.04"/>
        <n v="46.6"/>
        <n v="142.72"/>
        <n v="222.5536"/>
        <n v="7234"/>
        <n v="1424.6336"/>
        <n v="5809.3664"/>
        <n v="5784"/>
        <n v="380"/>
        <n v="976"/>
        <n v="366"/>
        <n v="560"/>
        <n v="654.08"/>
        <n v="490.56"/>
        <n v="47.84"/>
        <n v="164.08"/>
        <n v="281.2352"/>
        <n v="8122"/>
        <n v="1637.7952"/>
        <n v="6484.2048"/>
        <n v="4590"/>
        <n v="324"/>
        <n v="987"/>
        <n v="470"/>
        <n v="502"/>
        <n v="554.64"/>
        <n v="415.98"/>
        <n v="48.38"/>
        <n v="167.6"/>
        <n v="193.632"/>
        <n v="6857"/>
        <n v="1380.232"/>
        <n v="5476.768"/>
        <n v="2574"/>
        <n v="880"/>
        <n v="229"/>
        <n v="253"/>
        <n v="380.96"/>
        <n v="285.72"/>
        <n v="44.54"/>
        <n v="135.44"/>
        <n v="55.9302"/>
        <n v="4711"/>
        <n v="902.5902"/>
        <n v="3808.4098"/>
        <n v="2620"/>
        <n v="160"/>
        <n v="979"/>
        <n v="222"/>
        <n v="416"/>
        <n v="392.4"/>
        <n v="294.3"/>
        <n v="45.7"/>
        <n v="142.16"/>
        <n v="59.5332"/>
        <n v="4859"/>
        <n v="934.0932"/>
        <n v="3924.9068"/>
        <n v="5413"/>
        <n v="500"/>
        <n v="822"/>
        <n v="239"/>
        <n v="358"/>
        <n v="594.56"/>
        <n v="445.92"/>
        <n v="127.84"/>
        <n v="231.544"/>
        <n v="7353"/>
        <n v="1440.244"/>
        <n v="5912.756"/>
        <n v="4073"/>
        <n v="208"/>
        <n v="821"/>
        <n v="524"/>
        <n v="264"/>
        <n v="490.4"/>
        <n v="367.8"/>
        <n v="42.74"/>
        <n v="156.48"/>
        <n v="130.6864"/>
        <n v="5941"/>
        <n v="1188.1064"/>
        <n v="4752.8936"/>
        <n v="4289"/>
        <n v="373"/>
        <n v="790"/>
        <n v="515"/>
        <n v="527.92"/>
        <n v="395.94"/>
        <n v="46.92"/>
        <n v="163.44"/>
        <n v="168.7024"/>
        <n v="6493"/>
        <n v="1302.9224"/>
        <n v="5190.0776"/>
        <n v="4812"/>
        <n v="282"/>
        <n v="1062"/>
        <n v="390"/>
        <n v="460"/>
        <n v="565.28"/>
        <n v="423.96"/>
        <n v="45.08"/>
        <n v="164.72"/>
        <n v="202.3968"/>
        <n v="6979"/>
        <n v="1401.4368"/>
        <n v="5577.5632"/>
        <n v="6398"/>
        <n v="386"/>
        <n v="1069"/>
        <n v="226"/>
        <n v="448"/>
        <n v="691.76"/>
        <n v="518.82"/>
        <n v="46.98"/>
        <n v="157.04"/>
        <n v="310.592"/>
        <n v="8547"/>
        <n v="1725.192"/>
        <n v="6821.808"/>
        <n v="5950"/>
        <n v="369"/>
        <n v="733"/>
        <n v="490"/>
        <n v="410"/>
        <n v="659.36"/>
        <n v="494.52"/>
        <n v="45.84"/>
        <n v="153.84"/>
        <n v="284.5952"/>
        <n v="8161"/>
        <n v="1638.1552"/>
        <n v="6522.8448"/>
        <n v="4871"/>
        <n v="488"/>
        <n v="817"/>
        <n v="475"/>
        <n v="584"/>
        <n v="598"/>
        <n v="448.5"/>
        <n v="52.08"/>
        <n v="169.28"/>
        <n v="235.2912"/>
        <n v="7459"/>
        <n v="1503.1512"/>
        <n v="5955.8488"/>
        <n v="4495"/>
        <n v="349"/>
        <n v="788"/>
        <n v="315"/>
        <n v="545.12"/>
        <n v="408.84"/>
        <n v="47.62"/>
        <n v="162.56"/>
        <n v="187.0288"/>
        <n v="6752"/>
        <n v="1351.1688"/>
        <n v="5400.8312"/>
        <n v="5803"/>
        <n v="998"/>
        <n v="551"/>
        <n v="675.04"/>
        <n v="506.28"/>
        <n v="53.76"/>
        <n v="184.16"/>
        <n v="297.2608"/>
        <n v="8385"/>
        <n v="1716.5008"/>
        <n v="6668.4992"/>
        <n v="3537"/>
        <n v="333"/>
        <n v="1055"/>
        <n v="213"/>
        <n v="540"/>
        <n v="475.84"/>
        <n v="356.88"/>
        <n v="48.22"/>
        <n v="166.24"/>
        <n v="129.7456"/>
        <n v="5919"/>
        <n v="1176.9256"/>
        <n v="4742.0744"/>
        <n v="3696"/>
        <n v="419"/>
        <n v="875"/>
        <n v="302"/>
        <n v="219"/>
        <n v="464.08"/>
        <n v="348.06"/>
        <n v="43.06"/>
        <n v="142.96"/>
        <n v="113.8272"/>
        <n v="5671"/>
        <n v="1111.9872"/>
        <n v="4559.0128"/>
        <n v="5562"/>
        <n v="80"/>
        <n v="697"/>
        <n v="297"/>
        <n v="459"/>
        <n v="597.36"/>
        <n v="448.02"/>
        <n v="38.1"/>
        <n v="122.64"/>
        <n v="240.8704"/>
        <n v="7467"/>
        <n v="1446.9904"/>
        <n v="6020.0096"/>
        <n v="3582"/>
        <n v="825"/>
        <n v="294"/>
        <n v="467.76"/>
        <n v="350.82"/>
        <n v="45.3"/>
        <n v="141.04"/>
        <n v="123.0464"/>
        <n v="5793"/>
        <n v="1127.9664"/>
        <n v="4665.0336"/>
        <n v="4963"/>
        <n v="592"/>
        <n v="1201"/>
        <n v="593"/>
        <n v="457"/>
        <n v="637.28"/>
        <n v="477.96"/>
        <n v="61.58"/>
        <n v="198.96"/>
        <n v="261.1376"/>
        <n v="7890"/>
        <n v="1636.9176"/>
        <n v="6253.0824"/>
        <n v="5184"/>
        <n v="547"/>
        <n v="763"/>
        <n v="451"/>
        <n v="440"/>
        <n v="607.6"/>
        <n v="455.7"/>
        <n v="49"/>
        <n v="153.2"/>
        <n v="242.28"/>
        <n v="7544"/>
        <n v="1507.78"/>
        <n v="6036.22"/>
        <n v="3874"/>
        <n v="353"/>
        <n v="1047"/>
        <n v="336"/>
        <n v="491.92"/>
        <n v="368.94"/>
        <n v="45.5"/>
        <n v="153.76"/>
        <n v="143.4304"/>
        <n v="6103"/>
        <n v="1203.5504"/>
        <n v="4899.4496"/>
        <n v="5611"/>
        <n v="995"/>
        <n v="641.6"/>
        <n v="481.2"/>
        <n v="48.18"/>
        <n v="170.72"/>
        <n v="267.944"/>
        <n v="7941"/>
        <n v="1609.644"/>
        <n v="6331.356"/>
        <n v="5649"/>
        <n v="393"/>
        <n v="1191"/>
        <n v="328"/>
        <n v="573"/>
        <n v="661.12"/>
        <n v="495.84"/>
        <n v="53.9"/>
        <n v="186.32"/>
        <n v="274.2256"/>
        <n v="8075"/>
        <n v="1671.4056"/>
        <n v="6403.5944"/>
        <n v="5637"/>
        <n v="782"/>
        <n v="462"/>
        <n v="612.64"/>
        <n v="459.48"/>
        <n v="41.14"/>
        <n v="149.92"/>
        <n v="243.1056"/>
        <n v="7552"/>
        <n v="1506.2856"/>
        <n v="6045.7144"/>
        <n v="5174"/>
        <n v="721"/>
        <n v="223"/>
        <n v="384"/>
        <n v="572"/>
        <n v="39.52"/>
        <n v="117.2"/>
        <n v="212.4224"/>
        <n v="7063"/>
        <n v="1370.1424"/>
        <n v="5692.8576"/>
        <n v="4295"/>
        <n v="973"/>
        <n v="528"/>
        <n v="387"/>
        <n v="552.48"/>
        <n v="414.36"/>
        <n v="54.22"/>
        <n v="179.84"/>
        <n v="188.408"/>
        <n v="6806"/>
        <n v="1389.308"/>
        <n v="5416.692"/>
        <n v="6408"/>
        <n v="498"/>
        <n v="140"/>
        <n v="620"/>
        <n v="690.56"/>
        <n v="517.92"/>
        <n v="44.48"/>
        <n v="138.08"/>
        <n v="312.7968"/>
        <n v="8551"/>
        <n v="1703.8368"/>
        <n v="6847.1632"/>
        <n v="4329"/>
        <n v="275"/>
        <n v="1017"/>
        <n v="525"/>
        <n v="543.76"/>
        <n v="407.82"/>
        <n v="49.36"/>
        <n v="175.44"/>
        <n v="188.3696"/>
        <n v="6781"/>
        <n v="1364.7496"/>
        <n v="5416.2504"/>
        <n v="3892"/>
        <n v="579"/>
        <n v="722"/>
        <n v="582"/>
        <n v="494.32"/>
        <n v="370.74"/>
        <n v="141.6"/>
        <n v="145.0688"/>
        <n v="6117"/>
        <n v="1198.7088"/>
        <n v="4918.2912"/>
        <n v="5210"/>
        <n v="378"/>
        <n v="518"/>
        <n v="602.8"/>
        <n v="452.1"/>
        <n v="47.56"/>
        <n v="237.5632"/>
        <n v="7482"/>
        <n v="1500.0232"/>
        <n v="5981.9768"/>
        <n v="6335"/>
        <n v="348"/>
        <n v="922"/>
        <n v="495"/>
        <n v="696.4"/>
        <n v="522.3"/>
        <n v="47.4"/>
        <n v="161.76"/>
        <n v="319.8512"/>
        <n v="8676"/>
        <n v="1747.7112"/>
        <n v="6928.2888"/>
        <n v="746"/>
        <n v="252"/>
        <n v="608.96"/>
        <n v="456.72"/>
        <n v="40.22"/>
        <n v="135.2"/>
        <n v="239.272"/>
        <n v="1480.372"/>
        <n v="6001.628"/>
        <n v="5381"/>
        <n v="742"/>
        <n v="612.48"/>
        <n v="459.36"/>
        <n v="162.8"/>
        <n v="250.0688"/>
        <n v="7656"/>
        <n v="1530.2088"/>
        <n v="6125.7912"/>
        <n v="2583"/>
        <n v="814"/>
        <n v="589"/>
        <n v="426.56"/>
        <n v="319.92"/>
        <n v="54.98"/>
        <n v="178"/>
        <n v="83.8832"/>
        <n v="5278"/>
        <n v="1063.3432"/>
        <n v="4214.6568"/>
        <n v="5511"/>
        <n v="180"/>
        <n v="1114"/>
        <n v="566"/>
        <n v="580"/>
        <n v="662.32"/>
        <n v="496.74"/>
        <n v="56.88"/>
        <n v="201.28"/>
        <n v="282.8624"/>
        <n v="8203"/>
        <n v="1700.0824"/>
        <n v="6502.9176"/>
        <n v="483"/>
        <n v="1167"/>
        <n v="371"/>
        <n v="594.8"/>
        <n v="446.1"/>
        <n v="53.24"/>
        <n v="175.28"/>
        <n v="229.1664"/>
        <n v="7384"/>
        <n v="1498.5864"/>
        <n v="5885.4136"/>
        <n v="5401"/>
        <n v="552"/>
        <n v="70"/>
        <n v="1014"/>
        <n v="505"/>
        <n v="632.72"/>
        <n v="474.54"/>
        <n v="50.16"/>
        <n v="263.928"/>
        <n v="7863"/>
        <n v="1577.828"/>
        <n v="6285.172"/>
        <n v="5168"/>
        <n v="527"/>
        <n v="1176"/>
        <n v="433"/>
        <n v="432"/>
        <n v="639.68"/>
        <n v="479.76"/>
        <n v="56.56"/>
        <n v="190.4"/>
        <n v="264.048"/>
        <n v="7917"/>
        <n v="1630.448"/>
        <n v="6286.552"/>
        <n v="4557"/>
        <n v="428"/>
        <n v="523.68"/>
        <n v="392.76"/>
        <n v="41.38"/>
        <n v="132.4"/>
        <n v="161.3424"/>
        <n v="6357"/>
        <n v="1251.5624"/>
        <n v="5105.4376"/>
        <n v="3873"/>
        <n v="263"/>
        <n v="931"/>
        <n v="364"/>
        <n v="458.32"/>
        <n v="343.74"/>
        <n v="37.84"/>
        <n v="135.92"/>
        <n v="111.7744"/>
        <n v="5623"/>
        <n v="1087.5944"/>
        <n v="4535.4056"/>
        <n v="6508"/>
        <n v="499"/>
        <n v="909"/>
        <n v="424"/>
        <n v="705.36"/>
        <n v="529.02"/>
        <n v="46.18"/>
        <n v="151.76"/>
        <n v="323.8144"/>
        <n v="8730"/>
        <n v="1756.1344"/>
        <n v="6973.8656"/>
        <n v="4782"/>
        <n v="484"/>
        <n v="1115"/>
        <n v="514"/>
        <n v="592.96"/>
        <n v="444.72"/>
        <n v="54.6"/>
        <n v="179.68"/>
        <n v="223.2032"/>
        <n v="7312"/>
        <n v="1495.1632"/>
        <n v="5816.8368"/>
        <n v="4631"/>
        <n v="437"/>
        <n v="908"/>
        <n v="342"/>
        <n v="267"/>
        <n v="409.5"/>
        <n v="43.88"/>
        <n v="140.56"/>
        <n v="188.3248"/>
        <n v="6744"/>
        <n v="1328.2648"/>
        <n v="5415.7352"/>
        <n v="2769"/>
        <n v="215"/>
        <n v="392.08"/>
        <n v="294.06"/>
        <n v="42.64"/>
        <n v="138.16"/>
        <n v="61.4448"/>
        <n v="4885"/>
        <n v="928.3848"/>
        <n v="3956.6152"/>
        <n v="2674"/>
        <n v="409"/>
        <n v="936"/>
        <n v="269"/>
        <n v="544"/>
        <n v="408.16"/>
        <n v="306.12"/>
        <n v="49.8"/>
        <n v="166.48"/>
        <n v="68.7552000000001"/>
        <n v="5040"/>
        <n v="999.3152"/>
        <n v="4040.6848"/>
        <n v="5181"/>
        <n v="554"/>
        <n v="334"/>
        <n v="620.96"/>
        <n v="465.72"/>
        <n v="52.68"/>
        <n v="170.08"/>
        <n v="251.9648"/>
        <n v="7709"/>
        <n v="1561.4048"/>
        <n v="6147.5952"/>
        <n v="2893"/>
        <n v="745"/>
        <n v="408.32"/>
        <n v="306.24"/>
        <n v="44.22"/>
        <n v="143.6"/>
        <n v="73.8096"/>
        <n v="5075"/>
        <n v="976.1896"/>
        <n v="4098.8104"/>
        <n v="4445"/>
        <n v="557"/>
        <n v="984"/>
        <n v="205"/>
        <n v="535"/>
        <n v="550.08"/>
        <n v="412.56"/>
        <n v="49.58"/>
        <n v="158"/>
        <n v="186.0624"/>
        <n v="6746"/>
        <n v="1356.2824"/>
        <n v="5389.7176"/>
        <n v="4053"/>
        <n v="781"/>
        <n v="558"/>
        <n v="488.72"/>
        <n v="366.54"/>
        <n v="41.12"/>
        <n v="144.48"/>
        <n v="145.4512"/>
        <n v="6109"/>
        <n v="1186.3112"/>
        <n v="4922.6888"/>
        <n v="2571"/>
        <n v="571"/>
        <n v="914"/>
        <n v="375"/>
        <n v="411.44"/>
        <n v="308.58"/>
        <n v="51.44"/>
        <n v="163.2"/>
        <n v="72.3472"/>
        <n v="5089"/>
        <n v="1007.0072"/>
        <n v="4081.9928"/>
        <n v="2605"/>
        <n v="749"/>
        <n v="355"/>
        <n v="407.36"/>
        <n v="305.52"/>
        <n v="51.26"/>
        <n v="158.72"/>
        <n v="67.4512"/>
        <n v="5016"/>
        <n v="990.3112"/>
        <n v="4025.6888"/>
        <n v="4932"/>
        <n v="443"/>
        <n v="573.28"/>
        <n v="429.96"/>
        <n v="45.46"/>
        <n v="134.96"/>
        <n v="214.5072"/>
        <n v="7115"/>
        <n v="1398.1672"/>
        <n v="5716.8328"/>
        <n v="4774"/>
        <n v="919"/>
        <n v="577"/>
        <n v="487"/>
        <n v="597.6"/>
        <n v="448.2"/>
        <n v="53.92"/>
        <n v="179.44"/>
        <n v="231.5872"/>
        <n v="7424"/>
        <n v="1510.7472"/>
        <n v="5913.2528"/>
        <n v="4157"/>
        <n v="798"/>
        <n v="489"/>
        <n v="517.68"/>
        <n v="388.26"/>
        <n v="46.28"/>
        <n v="147.92"/>
        <n v="163.3488"/>
        <n v="6392"/>
        <n v="1263.4888"/>
        <n v="5128.5112"/>
        <n v="4058"/>
        <n v="503"/>
        <n v="877"/>
        <n v="258"/>
        <n v="464"/>
        <n v="507.2"/>
        <n v="380.4"/>
        <n v="47.24"/>
        <n v="150.88"/>
        <n v="145.2224"/>
        <n v="6151"/>
        <n v="1230.9424"/>
        <n v="4920.0576"/>
        <n v="5519"/>
        <n v="225"/>
        <n v="1071"/>
        <n v="352"/>
        <n v="636.64"/>
        <n v="477.48"/>
        <n v="49.5"/>
        <n v="185.6"/>
        <n v="260.2224"/>
        <n v="7852"/>
        <n v="1609.4424"/>
        <n v="6242.5576"/>
        <n v="4847"/>
        <n v="407"/>
        <n v="1016"/>
        <n v="577.36"/>
        <n v="433.02"/>
        <n v="164"/>
        <n v="212.6576"/>
        <n v="7130"/>
        <n v="1434.4376"/>
        <n v="5695.5624"/>
        <n v="5482"/>
        <n v="288"/>
        <n v="357"/>
        <n v="497"/>
        <n v="631.44"/>
        <n v="473.58"/>
        <n v="50.22"/>
        <n v="177.84"/>
        <n v="256.7936"/>
        <n v="7793"/>
        <n v="1589.8736"/>
        <n v="6203.1264"/>
        <n v="3509"/>
        <n v="236"/>
        <n v="1202"/>
        <n v="521"/>
        <n v="256"/>
        <n v="469.92"/>
        <n v="352.44"/>
        <n v="47.3"/>
        <n v="170.32"/>
        <n v="120.2416"/>
        <n v="1160.2216"/>
        <n v="4632.7784"/>
        <n v="4449"/>
        <n v="452"/>
        <n v="957"/>
        <n v="566.8"/>
        <n v="425.1"/>
        <n v="52.72"/>
        <n v="174.72"/>
        <n v="207.9728"/>
        <n v="7069"/>
        <n v="1427.3128"/>
        <n v="5641.6872"/>
        <n v="3863"/>
        <n v="486"/>
        <n v="1048"/>
        <n v="283"/>
        <n v="518.8"/>
        <n v="389.1"/>
        <n v="53.68"/>
        <n v="175.84"/>
        <n v="162.8464"/>
        <n v="6423"/>
        <n v="1300.2664"/>
        <n v="5122.7336"/>
        <n v="3600"/>
        <n v="257"/>
        <n v="1077"/>
        <n v="285"/>
        <n v="455.44"/>
        <n v="341.58"/>
        <n v="42.92"/>
        <n v="151.12"/>
        <n v="111.9152"/>
        <n v="5640"/>
        <n v="1102.9752"/>
        <n v="4537.0248"/>
        <n v="5325"/>
        <n v="583"/>
        <n v="866"/>
        <n v="635.68"/>
        <n v="476.76"/>
        <n v="52.42"/>
        <n v="163.04"/>
        <n v="267.128"/>
        <n v="1595.028"/>
        <n v="6321.972"/>
        <n v="6265"/>
        <n v="442"/>
        <n v="833"/>
        <n v="542"/>
        <n v="232"/>
        <n v="674.72"/>
        <n v="506.04"/>
        <n v="44.34"/>
        <n v="146.24"/>
        <n v="294.6128"/>
        <n v="8304"/>
        <n v="1665.9528"/>
        <n v="6638.0472"/>
        <n v="3121"/>
        <n v="536"/>
        <n v="446.24"/>
        <n v="334.68"/>
        <n v="49.14"/>
        <n v="175.76"/>
        <n v="105.7744"/>
        <n v="5578"/>
        <n v="1111.5944"/>
        <n v="4466.4056"/>
        <n v="4277"/>
        <n v="519"/>
        <n v="305"/>
        <n v="507.84"/>
        <n v="380.88"/>
        <n v="41.42"/>
        <n v="127.28"/>
        <n v="158.9264"/>
        <n v="6294"/>
        <n v="1216.3464"/>
        <n v="5077.6536"/>
        <n v="4056"/>
        <n v="523"/>
        <n v="420"/>
        <n v="418"/>
        <n v="527.36"/>
        <n v="395.52"/>
        <n v="52.24"/>
        <n v="167.12"/>
        <n v="169.9008"/>
        <n v="6516"/>
        <n v="1312.1408"/>
        <n v="5203.8592"/>
        <n v="287"/>
        <n v="1100"/>
        <n v="501.68"/>
        <n v="376.26"/>
        <n v="44.74"/>
        <n v="156.96"/>
        <n v="151.2288"/>
        <n v="6220"/>
        <n v="1230.8688"/>
        <n v="4989.1312"/>
        <n v="3656"/>
        <n v="1015"/>
        <n v="403"/>
        <n v="361"/>
        <n v="470.96"/>
        <n v="353.22"/>
        <n v="44.62"/>
        <n v="158.32"/>
        <n v="125.1104"/>
        <n v="5841"/>
        <n v="1152.2304"/>
        <n v="4688.7696"/>
        <n v="3070"/>
        <n v="394"/>
        <n v="899"/>
        <n v="326"/>
        <n v="429.6"/>
        <n v="322.2"/>
        <n v="158.8"/>
        <n v="86.752"/>
        <n v="5291"/>
        <n v="1043.352"/>
        <n v="4247.648"/>
        <n v="795"/>
        <n v="591"/>
        <n v="639.2"/>
        <n v="479.4"/>
        <n v="55.84"/>
        <n v="178.08"/>
        <n v="255.8784"/>
        <n v="7801"/>
        <n v="1608.3984"/>
        <n v="6192.6016"/>
        <n v="2795"/>
        <n v="576"/>
        <n v="1189"/>
        <n v="437.68"/>
        <n v="328.26"/>
        <n v="54.24"/>
        <n v="176.48"/>
        <n v="89.4672"/>
        <n v="5365"/>
        <n v="1086.1272"/>
        <n v="4278.8728"/>
        <n v="4763"/>
        <n v="952"/>
        <n v="404"/>
        <n v="569"/>
        <n v="562.8"/>
        <n v="422.1"/>
        <n v="45.44"/>
        <n v="170.56"/>
        <n v="199.768"/>
        <n v="6948"/>
        <n v="1400.668"/>
        <n v="5547.332"/>
        <n v="2779"/>
        <n v="531"/>
        <n v="847"/>
        <n v="376"/>
        <n v="409.6"/>
        <n v="307.2"/>
        <n v="48.82"/>
        <n v="152.8"/>
        <n v="68.1264"/>
        <n v="5020"/>
        <n v="986.5464"/>
        <n v="4033.4536"/>
        <n v="950"/>
        <n v="642.08"/>
        <n v="481.56"/>
        <n v="44.66"/>
        <n v="150.32"/>
        <n v="270.1104"/>
        <n v="7945"/>
        <n v="1588.7304"/>
        <n v="6356.2696"/>
        <n v="2598"/>
        <n v="1105"/>
        <n v="306"/>
        <n v="426.16"/>
        <n v="319.62"/>
        <n v="54.58"/>
        <n v="171.6"/>
        <n v="87.1232"/>
        <n v="5311"/>
        <n v="1059.0832"/>
        <n v="4251.9168"/>
        <n v="3976"/>
        <n v="458"/>
        <n v="828"/>
        <n v="245"/>
        <n v="485.6"/>
        <n v="364.2"/>
        <n v="43.12"/>
        <n v="135.84"/>
        <n v="138.3392"/>
        <n v="6008"/>
        <n v="1167.0992"/>
        <n v="4840.9008"/>
        <n v="2720"/>
        <n v="581"/>
        <n v="445"/>
        <n v="434.64"/>
        <n v="325.98"/>
        <n v="55.32"/>
        <n v="174.8"/>
        <n v="91.1408"/>
        <n v="5380"/>
        <n v="1081.8808"/>
        <n v="4298.1192"/>
        <n v="6537"/>
        <n v="1130"/>
        <n v="501"/>
        <n v="717.36"/>
        <n v="538.02"/>
        <n v="48.6"/>
        <n v="167.04"/>
        <n v="337.3584"/>
        <n v="8938"/>
        <n v="1808.3784"/>
        <n v="7129.6216"/>
        <n v="3031"/>
        <n v="478"/>
        <n v="807"/>
        <n v="425"/>
        <n v="45"/>
        <n v="146"/>
        <n v="74.3504"/>
        <n v="5103"/>
        <n v="997.9704"/>
        <n v="4105.0296"/>
        <n v="5152"/>
        <n v="753"/>
        <n v="224"/>
        <n v="552.88"/>
        <n v="414.66"/>
        <n v="35.18"/>
        <n v="110.64"/>
        <n v="203.8112"/>
        <n v="6911"/>
        <n v="1317.1712"/>
        <n v="5593.8288"/>
        <n v="6347"/>
        <n v="206"/>
        <n v="668"/>
        <n v="661.92"/>
        <n v="496.44"/>
        <n v="38.54"/>
        <n v="140.8"/>
        <n v="290.584"/>
        <n v="8220"/>
        <n v="1628.284"/>
        <n v="6591.716"/>
        <n v="5775"/>
        <n v="309"/>
        <n v="465"/>
        <n v="631.04"/>
        <n v="473.28"/>
        <n v="43.78"/>
        <n v="150.4"/>
        <n v="261.08"/>
        <n v="7812"/>
        <n v="1559.58"/>
        <n v="6252.42"/>
        <n v="6554"/>
        <n v="986"/>
        <n v="550"/>
        <n v="732.32"/>
        <n v="549.24"/>
        <n v="52.78"/>
        <n v="347.9888"/>
        <n v="9103"/>
        <n v="1851.1288"/>
        <n v="7251.8712"/>
        <n v="3180"/>
        <n v="759"/>
        <n v="562"/>
        <n v="422.32"/>
        <n v="316.74"/>
        <n v="41.98"/>
        <n v="145.04"/>
        <n v="84.5536"/>
        <n v="5233"/>
        <n v="1010.6336"/>
        <n v="4222.3664"/>
        <n v="5319"/>
        <n v="261"/>
        <n v="586.72"/>
        <n v="440.04"/>
        <n v="40.3"/>
        <n v="146.64"/>
        <n v="223.304"/>
        <n v="1437.004"/>
        <n v="5817.996"/>
        <n v="4523"/>
        <n v="385"/>
        <n v="715"/>
        <n v="517"/>
        <n v="545.68"/>
        <n v="409.26"/>
        <n v="161.6"/>
        <n v="177.432"/>
        <n v="6632"/>
        <n v="1341.532"/>
        <n v="5290.468"/>
        <n v="4547"/>
        <n v="438"/>
        <n v="840"/>
        <n v="388"/>
        <n v="447"/>
        <n v="538.4"/>
        <n v="403.8"/>
        <n v="44.38"/>
        <n v="148.08"/>
        <n v="179.1472"/>
        <n v="6624"/>
        <n v="1313.8072"/>
        <n v="5310.1928"/>
        <n v="3570"/>
        <n v="311"/>
        <n v="1194"/>
        <n v="284"/>
        <n v="484.08"/>
        <n v="363.06"/>
        <n v="49.62"/>
        <n v="180.56"/>
        <n v="130.9344"/>
        <n v="5964"/>
        <n v="1208.2544"/>
        <n v="4755.7456"/>
        <n v="3350"/>
        <n v="452.4"/>
        <n v="339.3"/>
        <n v="48.1"/>
        <n v="173.52"/>
        <n v="103.3344"/>
        <n v="5555"/>
        <n v="1116.6544"/>
        <n v="4438.3456"/>
        <n v="6585"/>
        <n v="578"/>
        <n v="855"/>
        <n v="474"/>
        <n v="721.2"/>
        <n v="540.9"/>
        <n v="148.16"/>
        <n v="338.0112"/>
        <n v="8934"/>
        <n v="1796.8712"/>
        <n v="7137.1288"/>
        <n v="5516"/>
        <n v="278"/>
        <n v="1113"/>
        <n v="233"/>
        <n v="622"/>
        <n v="466.5"/>
        <n v="45.18"/>
        <n v="158.48"/>
        <n v="257.3472"/>
        <n v="7759"/>
        <n v="1549.5072"/>
        <n v="6209.4928"/>
        <n v="3348"/>
        <n v="422"/>
        <n v="764"/>
        <n v="370"/>
        <n v="472"/>
        <n v="441.28"/>
        <n v="330.96"/>
        <n v="44.6"/>
        <n v="144.64"/>
        <n v="99.4016"/>
        <n v="5454"/>
        <n v="1060.8816"/>
        <n v="4393.1184"/>
        <n v="6426"/>
        <n v="1131"/>
        <n v="317"/>
        <n v="705.28"/>
        <n v="528.96"/>
        <n v="48.86"/>
        <n v="326.2512"/>
        <n v="8763"/>
        <n v="1761.1112"/>
        <n v="7001.8888"/>
        <n v="2991"/>
        <n v="1148"/>
        <n v="398"/>
        <n v="298.5"/>
        <n v="39.68"/>
        <n v="138.56"/>
        <n v="65.7008"/>
        <n v="4946"/>
        <n v="940.4408"/>
        <n v="4005.5592"/>
        <n v="3886"/>
        <n v="907"/>
        <n v="510.72"/>
        <n v="383.04"/>
        <n v="50.92"/>
        <n v="173.6"/>
        <n v="150.8576"/>
        <n v="6254"/>
        <n v="1269.1376"/>
        <n v="4984.8624"/>
        <n v="6551"/>
        <n v="532"/>
        <n v="1063"/>
        <n v="319"/>
        <n v="734.32"/>
        <n v="550.74"/>
        <n v="52.56"/>
        <n v="167.68"/>
        <n v="353.896"/>
        <n v="9179"/>
        <n v="1859.196"/>
        <n v="7319.804"/>
        <n v="2755"/>
        <n v="313"/>
        <n v="265"/>
        <n v="410.4"/>
        <n v="307.8"/>
        <n v="47.5"/>
        <n v="159.84"/>
        <n v="72.0368"/>
        <n v="5076"/>
        <n v="997.5768"/>
        <n v="4078.4232"/>
        <n v="5865"/>
        <n v="300"/>
        <n v="1151"/>
        <n v="469"/>
        <n v="663.36"/>
        <n v="497.52"/>
        <n v="50.06"/>
        <n v="183.76"/>
        <n v="285.704"/>
        <n v="8216"/>
        <n v="1680.404"/>
        <n v="6535.596"/>
        <n v="5338"/>
        <n v="771"/>
        <n v="485"/>
        <n v="526"/>
        <n v="627.92"/>
        <n v="470.94"/>
        <n v="159.44"/>
        <n v="259.096"/>
        <n v="7798"/>
        <n v="1568.396"/>
        <n v="6229.604"/>
        <n v="6428"/>
        <n v="561"/>
        <n v="1264"/>
        <n v="335"/>
        <n v="748.48"/>
        <n v="561.36"/>
        <n v="58.56"/>
        <n v="189.36"/>
        <n v="360.1792"/>
        <n v="9310"/>
        <n v="1917.9392"/>
        <n v="7392.0608"/>
        <n v="3963"/>
        <n v="446"/>
        <n v="359"/>
        <n v="496.96"/>
        <n v="372.72"/>
        <n v="44.98"/>
        <n v="146.1392"/>
        <n v="6133"/>
        <n v="1202.3992"/>
        <n v="4930.6008"/>
        <n v="6059"/>
        <n v="209"/>
        <n v="657.28"/>
        <n v="492.96"/>
        <n v="164.4"/>
        <n v="273.4096"/>
        <n v="8027"/>
        <n v="1632.7896"/>
        <n v="6394.2104"/>
        <n v="3914"/>
        <n v="392"/>
        <n v="1168"/>
        <n v="516.16"/>
        <n v="387.12"/>
        <n v="51.48"/>
        <n v="180.16"/>
        <n v="156.8864"/>
        <n v="6346"/>
        <n v="1291.8064"/>
        <n v="5054.1936"/>
        <n v="1278"/>
        <n v="614.56"/>
        <n v="460.92"/>
        <n v="61.02"/>
        <n v="203.28"/>
        <n v="240.4176"/>
        <n v="7595"/>
        <n v="1580.1976"/>
        <n v="6014.8024"/>
        <n v="221"/>
        <n v="622.16"/>
        <n v="466.62"/>
        <n v="45.62"/>
        <n v="157.28"/>
        <n v="250.8256"/>
        <n v="7677"/>
        <n v="1542.5056"/>
        <n v="6134.4944"/>
        <n v="2980"/>
        <n v="955"/>
        <n v="397"/>
        <n v="439.68"/>
        <n v="329.76"/>
        <n v="50.32"/>
        <n v="155.04"/>
        <n v="95.216"/>
        <n v="5415"/>
        <n v="1070.016"/>
        <n v="4344.984"/>
        <n v="2812"/>
        <n v="456"/>
        <n v="398.16"/>
        <n v="298.62"/>
        <n v="43.3"/>
        <n v="136.72"/>
        <n v="68.016"/>
        <n v="4977"/>
        <n v="944.816"/>
        <n v="4032.184"/>
        <n v="4146"/>
        <n v="1169"/>
        <n v="527.84"/>
        <n v="395.88"/>
        <n v="49.04"/>
        <n v="171.44"/>
        <n v="171.984"/>
        <n v="6544"/>
        <n v="1316.184"/>
        <n v="5227.816"/>
        <n v="5370"/>
        <n v="1196"/>
        <n v="608.56"/>
        <n v="456.42"/>
        <n v="156.72"/>
        <n v="245.9648"/>
        <n v="7591"/>
        <n v="1512.4048"/>
        <n v="6078.5952"/>
        <n v="2530"/>
        <n v="237"/>
        <n v="477"/>
        <n v="388.72"/>
        <n v="291.54"/>
        <n v="47.82"/>
        <n v="148.48"/>
        <n v="57.6132"/>
        <n v="4797"/>
        <n v="934.1732"/>
        <n v="3862.8268"/>
        <n v="6140"/>
        <n v="1087"/>
        <n v="273"/>
        <n v="710.16"/>
        <n v="532.62"/>
        <n v="56.26"/>
        <n v="178.32"/>
        <n v="325.8912"/>
        <n v="8801"/>
        <n v="1803.2512"/>
        <n v="6997.7488"/>
        <n v="4644"/>
        <n v="530.08"/>
        <n v="397.56"/>
        <n v="40.7"/>
        <n v="143.84"/>
        <n v="176.8656"/>
        <n v="6573"/>
        <n v="1289.0456"/>
        <n v="5283.9544"/>
        <n v="5156"/>
        <n v="1172"/>
        <n v="610.16"/>
        <n v="457.62"/>
        <n v="50.2"/>
        <n v="243.5216"/>
        <n v="7576"/>
        <n v="1525.5016"/>
        <n v="6050.4984"/>
        <n v="6040"/>
        <n v="857"/>
        <n v="687.12"/>
        <n v="515.34"/>
        <n v="50.98"/>
        <n v="161.04"/>
        <n v="311.6416"/>
        <n v="8560"/>
        <n v="1726.1216"/>
        <n v="6833.8784"/>
        <n v="5921"/>
        <n v="978"/>
        <n v="638.8"/>
        <n v="479.1"/>
        <n v="41.28"/>
        <n v="139.92"/>
        <n v="271.192"/>
        <n v="7939"/>
        <n v="1570.292"/>
        <n v="6368.708"/>
        <n v="6201"/>
        <n v="396"/>
        <n v="1022"/>
        <n v="491"/>
        <n v="692.96"/>
        <n v="519.72"/>
        <n v="49.22"/>
        <n v="171.52"/>
        <n v="311.9664"/>
        <n v="8583"/>
        <n v="1745.3864"/>
        <n v="6837.6136"/>
        <n v="6309"/>
        <n v="709"/>
        <n v="674.48"/>
        <n v="505.86"/>
        <n v="44.04"/>
        <n v="150.48"/>
        <n v="289.3712"/>
        <n v="8242"/>
        <n v="1664.2312"/>
        <n v="6577.7688"/>
        <n v="4094"/>
        <n v="864"/>
        <n v="565"/>
        <n v="535.28"/>
        <n v="401.46"/>
        <n v="52.66"/>
        <n v="181.52"/>
        <n v="173.1264"/>
        <n v="1344.0464"/>
        <n v="5240.9536"/>
        <n v="4664"/>
        <n v="1033"/>
        <n v="570.72"/>
        <n v="428.04"/>
        <n v="49.4"/>
        <n v="157.2"/>
        <n v="207.3312"/>
        <n v="7047"/>
        <n v="1412.6912"/>
        <n v="5634.3088"/>
        <n v="5636"/>
        <n v="1011"/>
        <n v="649.76"/>
        <n v="487.32"/>
        <n v="50.68"/>
        <n v="270.7392"/>
        <n v="7992"/>
        <n v="1628.4992"/>
        <n v="6363.5008"/>
        <n v="3066"/>
        <n v="537"/>
        <n v="1199"/>
        <n v="470.56"/>
        <n v="352.92"/>
        <n v="56.32"/>
        <n v="182.32"/>
        <n v="119.1104"/>
        <n v="5801"/>
        <n v="1181.2304"/>
        <n v="4619.7696"/>
        <n v="6420"/>
        <n v="587"/>
        <n v="1053"/>
        <n v="746.16"/>
        <n v="559.62"/>
        <n v="58.14"/>
        <n v="360.9184"/>
        <n v="9311"/>
        <n v="1910.4384"/>
        <n v="7400.5616"/>
        <n v="3725"/>
        <n v="988"/>
        <n v="473.52"/>
        <n v="355.14"/>
        <n v="45.12"/>
        <n v="154.4"/>
        <n v="126.3056"/>
        <n v="5857"/>
        <n v="1154.4856"/>
        <n v="4702.5144"/>
        <n v="3331"/>
        <n v="678"/>
        <n v="449"/>
        <n v="433.2"/>
        <n v="324.9"/>
        <n v="139.44"/>
        <n v="93.7376"/>
        <n v="5362"/>
        <n v="1034.0176"/>
        <n v="4327.9824"/>
        <n v="3750"/>
        <n v="698"/>
        <n v="470.72"/>
        <n v="353.04"/>
        <n v="42.68"/>
        <n v="139.36"/>
        <n v="127.936"/>
        <n v="5855"/>
        <n v="1133.736"/>
        <n v="4721.264"/>
        <n v="3641"/>
        <n v="1129"/>
        <n v="483.36"/>
        <n v="362.52"/>
        <n v="182.56"/>
        <n v="126.7664"/>
        <n v="5912"/>
        <n v="1204.1864"/>
        <n v="4707.8136"/>
        <n v="3577"/>
        <n v="272"/>
        <n v="869"/>
        <n v="553"/>
        <n v="465.28"/>
        <n v="348.96"/>
        <n v="44.78"/>
        <n v="160.48"/>
        <n v="119.4"/>
        <n v="5762"/>
        <n v="1138.9"/>
        <n v="4623.1"/>
        <n v="4751"/>
        <n v="421"/>
        <n v="975"/>
        <n v="251"/>
        <n v="543.52"/>
        <n v="407.64"/>
        <n v="42.38"/>
        <n v="187.0896"/>
        <n v="6718"/>
        <n v="1316.4696"/>
        <n v="5401.5304"/>
        <n v="728"/>
        <n v="586.16"/>
        <n v="439.62"/>
        <n v="39.3"/>
        <n v="115.84"/>
        <n v="228.0064"/>
        <n v="7281"/>
        <n v="1408.9264"/>
        <n v="5872.0736"/>
        <n v="5298"/>
        <n v="510"/>
        <n v="608.24"/>
        <n v="456.18"/>
        <n v="46.1"/>
        <n v="241.0848"/>
        <n v="7524"/>
        <n v="1501.5248"/>
        <n v="6022.4752"/>
        <n v="5766"/>
        <n v="235"/>
        <n v="1106"/>
        <n v="556"/>
        <n v="51.76"/>
        <n v="274.7584"/>
        <n v="8085"/>
        <n v="1675.2784"/>
        <n v="6409.7216"/>
        <n v="4114"/>
        <n v="861"/>
        <n v="203"/>
        <n v="502.16"/>
        <n v="376.62"/>
        <n v="43.98"/>
        <n v="145.84"/>
        <n v="148.192"/>
        <n v="6171"/>
        <n v="1216.792"/>
        <n v="4954.208"/>
        <n v="796"/>
        <n v="391"/>
        <n v="563.44"/>
        <n v="422.58"/>
        <n v="43.92"/>
        <n v="151.68"/>
        <n v="201.9504"/>
        <n v="6956"/>
        <n v="1383.5704"/>
        <n v="5572.4296"/>
        <n v="5972"/>
        <n v="262"/>
        <n v="663.6"/>
        <n v="497.7"/>
        <n v="46.46"/>
        <n v="146.48"/>
        <n v="288.3008"/>
        <n v="8208"/>
        <n v="1642.5408"/>
        <n v="6565.4592"/>
        <n v="4775"/>
        <n v="917"/>
        <n v="555.92"/>
        <n v="416.94"/>
        <n v="43.48"/>
        <n v="150.24"/>
        <n v="195.6336"/>
        <n v="6862"/>
        <n v="1362.2136"/>
        <n v="5499.7864"/>
        <n v="4042"/>
        <n v="630"/>
        <n v="246"/>
        <n v="441.36"/>
        <n v="331.02"/>
        <n v="29.5"/>
        <n v="108.88"/>
        <n v="101.5392"/>
        <n v="5430"/>
        <n v="1012.2992"/>
        <n v="4417.7008"/>
        <n v="5500"/>
        <n v="1116"/>
        <n v="337"/>
        <n v="626"/>
        <n v="469.5"/>
        <n v="46.5"/>
        <n v="164.16"/>
        <n v="255.0272"/>
        <n v="7744"/>
        <n v="1561.1872"/>
        <n v="6182.8128"/>
        <n v="4842"/>
        <n v="694"/>
        <n v="216"/>
        <n v="339"/>
        <n v="549.84"/>
        <n v="412.38"/>
        <n v="40.62"/>
        <n v="122.32"/>
        <n v="198.5472"/>
        <n v="1323.7072"/>
        <n v="5533.2928"/>
        <n v="5434"/>
        <n v="699"/>
        <n v="345"/>
        <n v="411"/>
        <n v="586.8"/>
        <n v="440.1"/>
        <n v="39.26"/>
        <n v="133.36"/>
        <n v="225.8784"/>
        <n v="7273"/>
        <n v="1425.3984"/>
        <n v="5847.6016"/>
        <n v="5443"/>
        <n v="379"/>
        <n v="980"/>
        <n v="259"/>
        <n v="417"/>
        <n v="602.24"/>
        <n v="451.68"/>
        <n v="42.76"/>
        <n v="140.72"/>
        <n v="239.008"/>
        <n v="7475"/>
        <n v="1476.408"/>
        <n v="5998.592"/>
        <n v="3530"/>
        <n v="427"/>
        <n v="496"/>
        <n v="473.6"/>
        <n v="355.2"/>
        <n v="47.8"/>
        <n v="128.5888"/>
        <n v="5891"/>
        <n v="1162.2288"/>
        <n v="4728.7712"/>
        <n v="2977"/>
        <n v="281"/>
        <n v="1244"/>
        <n v="511"/>
        <n v="459.04"/>
        <n v="344.28"/>
        <n v="56.18"/>
        <n v="206.48"/>
        <n v="103.3616"/>
        <n v="5608"/>
        <n v="1169.3416"/>
        <n v="4438.6584"/>
        <n v="3028"/>
        <n v="905"/>
        <n v="292"/>
        <n v="423.6"/>
        <n v="317.7"/>
        <n v="161.28"/>
        <n v="83.4464"/>
        <n v="5241"/>
        <n v="1031.3664"/>
        <n v="4209.6336"/>
        <n v="4587"/>
        <n v="1041"/>
        <n v="529"/>
        <n v="53.78"/>
        <n v="210.6032"/>
        <n v="7124"/>
        <n v="1452.0632"/>
        <n v="5671.9368"/>
        <n v="4956"/>
        <n v="231.8432"/>
        <n v="7389"/>
        <n v="1472.8032"/>
        <n v="5916.1968"/>
        <n v="6142"/>
        <n v="314"/>
        <n v="716"/>
        <n v="321"/>
        <n v="645.36"/>
        <n v="484.02"/>
        <n v="38.5"/>
        <n v="274.7936"/>
        <n v="7988"/>
        <n v="1577.8736"/>
        <n v="6410.1264"/>
        <n v="3101"/>
        <n v="437.12"/>
        <n v="327.84"/>
        <n v="164.8"/>
        <n v="83.7104"/>
        <n v="5275"/>
        <n v="1062.3304"/>
        <n v="4212.6696"/>
        <n v="2698"/>
        <n v="1104"/>
        <n v="479"/>
        <n v="417.92"/>
        <n v="313.44"/>
        <n v="51.24"/>
        <n v="177.28"/>
        <n v="72.6496"/>
        <n v="5118"/>
        <n v="1032.5296"/>
        <n v="4085.4704"/>
        <n v="6583"/>
        <n v="750"/>
        <n v="362"/>
        <n v="715.68"/>
        <n v="536.76"/>
        <n v="47.26"/>
        <n v="155.84"/>
        <n v="332.2768"/>
        <n v="8859"/>
        <n v="1787.8168"/>
        <n v="7071.1832"/>
        <n v="5725"/>
        <n v="471"/>
        <n v="322"/>
        <n v="340"/>
        <n v="628.48"/>
        <n v="471.36"/>
        <n v="42.62"/>
        <n v="139.76"/>
        <n v="258.9424"/>
        <n v="7769"/>
        <n v="1541.1624"/>
        <n v="6227.8376"/>
        <n v="4366"/>
        <n v="837"/>
        <n v="486.16"/>
        <n v="364.62"/>
        <n v="34.22"/>
        <n v="123.84"/>
        <n v="138.4928"/>
        <n v="5990"/>
        <n v="1147.3328"/>
        <n v="4842.6672"/>
        <n v="4737"/>
        <n v="585"/>
        <n v="584.56"/>
        <n v="438.42"/>
        <n v="51.4"/>
        <n v="171.36"/>
        <n v="217.9408"/>
        <n v="7220"/>
        <n v="1463.6808"/>
        <n v="5756.3192"/>
        <n v="5230"/>
        <n v="615.68"/>
        <n v="461.76"/>
        <n v="49.32"/>
        <n v="161.92"/>
        <n v="246.1056"/>
        <n v="7615"/>
        <n v="1534.7856"/>
        <n v="6080.2144"/>
        <n v="6258"/>
        <n v="639"/>
        <n v="673.2"/>
        <n v="504.9"/>
        <n v="43.14"/>
        <n v="133.6"/>
        <n v="303.5328"/>
        <n v="8399"/>
        <n v="1658.3728"/>
        <n v="6740.6272"/>
        <n v="5740"/>
        <n v="1002"/>
        <n v="636.48"/>
        <n v="477.36"/>
        <n v="45.56"/>
        <n v="156.32"/>
        <n v="266.2624"/>
        <n v="7894"/>
        <n v="1581.9824"/>
        <n v="6312.0176"/>
        <n v="5093"/>
        <n v="268"/>
        <n v="962"/>
        <n v="596.8"/>
        <n v="447.6"/>
        <n v="48.4"/>
        <n v="172.16"/>
        <n v="231.3632"/>
        <n v="7407"/>
        <n v="1496.3232"/>
        <n v="5910.6768"/>
        <n v="4355"/>
        <n v="304"/>
        <n v="1049"/>
        <n v="523.28"/>
        <n v="392.46"/>
        <n v="43.72"/>
        <n v="150.56"/>
        <n v="172.1584"/>
        <n v="6512"/>
        <n v="1282.1784"/>
        <n v="5229.8216"/>
        <n v="2839"/>
        <n v="512"/>
        <n v="548"/>
        <n v="442.8"/>
        <n v="332.1"/>
        <n v="54.88"/>
        <n v="182.8"/>
        <n v="91.3936"/>
        <n v="5405"/>
        <n v="1103.9736"/>
        <n v="4301.0264"/>
        <n v="3201"/>
        <n v="1120"/>
        <n v="479.44"/>
        <n v="359.58"/>
        <n v="188.56"/>
        <n v="128.4464"/>
        <n v="5939"/>
        <n v="1211.8664"/>
        <n v="4727.1336"/>
        <n v="5760"/>
        <n v="1043"/>
        <n v="651.12"/>
        <n v="488.34"/>
        <n v="49.1"/>
        <n v="172.32"/>
        <n v="276.1696"/>
        <n v="8063"/>
        <n v="1637.0496"/>
        <n v="6425.9504"/>
        <n v="4729"/>
        <n v="692"/>
        <n v="241"/>
        <n v="561.76"/>
        <n v="421.32"/>
        <n v="45.86"/>
        <n v="136.8"/>
        <n v="204.8208"/>
        <n v="6976"/>
        <n v="1370.5608"/>
        <n v="5605.4392"/>
        <n v="3218"/>
        <n v="334.44"/>
        <n v="47.12"/>
        <n v="169.68"/>
        <n v="99.8272"/>
        <n v="5495"/>
        <n v="1096.9872"/>
        <n v="4398.0128"/>
        <n v="2638"/>
        <n v="904"/>
        <n v="403.36"/>
        <n v="302.52"/>
        <n v="49.68"/>
        <n v="165.04"/>
        <n v="57.972"/>
        <n v="4853"/>
        <n v="978.572"/>
        <n v="3874.428"/>
        <n v="5528"/>
        <n v="202"/>
        <n v="45.4"/>
        <n v="170.24"/>
        <n v="248.2944"/>
        <n v="1550.6144"/>
        <n v="6105.3856"/>
        <n v="4548"/>
        <n v="935"/>
        <n v="401"/>
        <n v="524.64"/>
        <n v="393.48"/>
        <n v="40.2"/>
        <n v="145.36"/>
        <n v="169.3856"/>
        <n v="6471"/>
        <n v="1273.0656"/>
        <n v="5197.9344"/>
        <n v="5373"/>
        <n v="996"/>
        <n v="310"/>
        <n v="623.92"/>
        <n v="467.94"/>
        <n v="48.52"/>
        <n v="166.8"/>
        <n v="252.3856"/>
        <n v="7712"/>
        <n v="1559.5656"/>
        <n v="6152.4344"/>
        <n v="6082"/>
        <n v="688.32"/>
        <n v="516.24"/>
        <n v="50.44"/>
        <n v="171.28"/>
        <n v="307.2576"/>
        <n v="8517"/>
        <n v="1733.5376"/>
        <n v="6783.4624"/>
        <n v="6589"/>
        <n v="901"/>
        <n v="710.72"/>
        <n v="533.04"/>
        <n v="45.9"/>
        <n v="142.88"/>
        <n v="329.1568"/>
        <n v="8797"/>
        <n v="1761.6968"/>
        <n v="7035.3032"/>
      </sharedItems>
    </cacheField>
    <cacheField name="页1" numFmtId="0">
      <sharedItems count="12">
        <s v="项1"/>
        <s v="项2"/>
        <s v="项3"/>
        <s v="项4"/>
        <s v="项5"/>
        <s v="项6"/>
        <s v="项7"/>
        <s v="项8"/>
        <s v="项9"/>
        <s v="项10"/>
        <s v="项11"/>
        <s v="项1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64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6"/>
    <x v="0"/>
  </r>
  <r>
    <x v="0"/>
    <x v="7"/>
    <x v="7"/>
    <x v="0"/>
  </r>
  <r>
    <x v="0"/>
    <x v="8"/>
    <x v="8"/>
    <x v="0"/>
  </r>
  <r>
    <x v="0"/>
    <x v="9"/>
    <x v="9"/>
    <x v="0"/>
  </r>
  <r>
    <x v="0"/>
    <x v="10"/>
    <x v="10"/>
    <x v="0"/>
  </r>
  <r>
    <x v="0"/>
    <x v="11"/>
    <x v="11"/>
    <x v="0"/>
  </r>
  <r>
    <x v="0"/>
    <x v="12"/>
    <x v="12"/>
    <x v="0"/>
  </r>
  <r>
    <x v="0"/>
    <x v="13"/>
    <x v="13"/>
    <x v="0"/>
  </r>
  <r>
    <x v="0"/>
    <x v="14"/>
    <x v="14"/>
    <x v="0"/>
  </r>
  <r>
    <x v="0"/>
    <x v="15"/>
    <x v="15"/>
    <x v="0"/>
  </r>
  <r>
    <x v="0"/>
    <x v="16"/>
    <x v="16"/>
    <x v="0"/>
  </r>
  <r>
    <x v="1"/>
    <x v="0"/>
    <x v="0"/>
    <x v="0"/>
  </r>
  <r>
    <x v="1"/>
    <x v="1"/>
    <x v="1"/>
    <x v="0"/>
  </r>
  <r>
    <x v="1"/>
    <x v="2"/>
    <x v="17"/>
    <x v="0"/>
  </r>
  <r>
    <x v="1"/>
    <x v="3"/>
    <x v="18"/>
    <x v="0"/>
  </r>
  <r>
    <x v="1"/>
    <x v="4"/>
    <x v="19"/>
    <x v="0"/>
  </r>
  <r>
    <x v="1"/>
    <x v="5"/>
    <x v="20"/>
    <x v="0"/>
  </r>
  <r>
    <x v="1"/>
    <x v="6"/>
    <x v="21"/>
    <x v="0"/>
  </r>
  <r>
    <x v="1"/>
    <x v="7"/>
    <x v="22"/>
    <x v="0"/>
  </r>
  <r>
    <x v="1"/>
    <x v="8"/>
    <x v="23"/>
    <x v="0"/>
  </r>
  <r>
    <x v="1"/>
    <x v="9"/>
    <x v="24"/>
    <x v="0"/>
  </r>
  <r>
    <x v="1"/>
    <x v="10"/>
    <x v="25"/>
    <x v="0"/>
  </r>
  <r>
    <x v="1"/>
    <x v="11"/>
    <x v="26"/>
    <x v="0"/>
  </r>
  <r>
    <x v="1"/>
    <x v="12"/>
    <x v="27"/>
    <x v="0"/>
  </r>
  <r>
    <x v="1"/>
    <x v="13"/>
    <x v="28"/>
    <x v="0"/>
  </r>
  <r>
    <x v="1"/>
    <x v="14"/>
    <x v="29"/>
    <x v="0"/>
  </r>
  <r>
    <x v="1"/>
    <x v="15"/>
    <x v="30"/>
    <x v="0"/>
  </r>
  <r>
    <x v="1"/>
    <x v="16"/>
    <x v="31"/>
    <x v="0"/>
  </r>
  <r>
    <x v="2"/>
    <x v="0"/>
    <x v="32"/>
    <x v="0"/>
  </r>
  <r>
    <x v="2"/>
    <x v="1"/>
    <x v="1"/>
    <x v="0"/>
  </r>
  <r>
    <x v="2"/>
    <x v="2"/>
    <x v="33"/>
    <x v="0"/>
  </r>
  <r>
    <x v="2"/>
    <x v="3"/>
    <x v="34"/>
    <x v="0"/>
  </r>
  <r>
    <x v="2"/>
    <x v="4"/>
    <x v="35"/>
    <x v="0"/>
  </r>
  <r>
    <x v="2"/>
    <x v="5"/>
    <x v="36"/>
    <x v="0"/>
  </r>
  <r>
    <x v="2"/>
    <x v="6"/>
    <x v="37"/>
    <x v="0"/>
  </r>
  <r>
    <x v="2"/>
    <x v="7"/>
    <x v="38"/>
    <x v="0"/>
  </r>
  <r>
    <x v="2"/>
    <x v="8"/>
    <x v="39"/>
    <x v="0"/>
  </r>
  <r>
    <x v="2"/>
    <x v="9"/>
    <x v="40"/>
    <x v="0"/>
  </r>
  <r>
    <x v="2"/>
    <x v="10"/>
    <x v="41"/>
    <x v="0"/>
  </r>
  <r>
    <x v="2"/>
    <x v="11"/>
    <x v="42"/>
    <x v="0"/>
  </r>
  <r>
    <x v="2"/>
    <x v="12"/>
    <x v="43"/>
    <x v="0"/>
  </r>
  <r>
    <x v="2"/>
    <x v="13"/>
    <x v="44"/>
    <x v="0"/>
  </r>
  <r>
    <x v="2"/>
    <x v="14"/>
    <x v="45"/>
    <x v="0"/>
  </r>
  <r>
    <x v="2"/>
    <x v="15"/>
    <x v="46"/>
    <x v="0"/>
  </r>
  <r>
    <x v="2"/>
    <x v="16"/>
    <x v="47"/>
    <x v="0"/>
  </r>
  <r>
    <x v="3"/>
    <x v="0"/>
    <x v="32"/>
    <x v="0"/>
  </r>
  <r>
    <x v="3"/>
    <x v="1"/>
    <x v="1"/>
    <x v="0"/>
  </r>
  <r>
    <x v="3"/>
    <x v="2"/>
    <x v="48"/>
    <x v="0"/>
  </r>
  <r>
    <x v="3"/>
    <x v="3"/>
    <x v="49"/>
    <x v="0"/>
  </r>
  <r>
    <x v="3"/>
    <x v="4"/>
    <x v="50"/>
    <x v="0"/>
  </r>
  <r>
    <x v="3"/>
    <x v="5"/>
    <x v="51"/>
    <x v="0"/>
  </r>
  <r>
    <x v="3"/>
    <x v="6"/>
    <x v="52"/>
    <x v="0"/>
  </r>
  <r>
    <x v="3"/>
    <x v="7"/>
    <x v="53"/>
    <x v="0"/>
  </r>
  <r>
    <x v="3"/>
    <x v="8"/>
    <x v="54"/>
    <x v="0"/>
  </r>
  <r>
    <x v="3"/>
    <x v="9"/>
    <x v="55"/>
    <x v="0"/>
  </r>
  <r>
    <x v="3"/>
    <x v="10"/>
    <x v="56"/>
    <x v="0"/>
  </r>
  <r>
    <x v="3"/>
    <x v="11"/>
    <x v="57"/>
    <x v="0"/>
  </r>
  <r>
    <x v="3"/>
    <x v="12"/>
    <x v="58"/>
    <x v="0"/>
  </r>
  <r>
    <x v="3"/>
    <x v="13"/>
    <x v="59"/>
    <x v="0"/>
  </r>
  <r>
    <x v="3"/>
    <x v="14"/>
    <x v="60"/>
    <x v="0"/>
  </r>
  <r>
    <x v="3"/>
    <x v="15"/>
    <x v="61"/>
    <x v="0"/>
  </r>
  <r>
    <x v="3"/>
    <x v="16"/>
    <x v="62"/>
    <x v="0"/>
  </r>
  <r>
    <x v="4"/>
    <x v="0"/>
    <x v="0"/>
    <x v="0"/>
  </r>
  <r>
    <x v="4"/>
    <x v="1"/>
    <x v="1"/>
    <x v="0"/>
  </r>
  <r>
    <x v="4"/>
    <x v="2"/>
    <x v="63"/>
    <x v="0"/>
  </r>
  <r>
    <x v="4"/>
    <x v="3"/>
    <x v="64"/>
    <x v="0"/>
  </r>
  <r>
    <x v="4"/>
    <x v="4"/>
    <x v="65"/>
    <x v="0"/>
  </r>
  <r>
    <x v="4"/>
    <x v="5"/>
    <x v="66"/>
    <x v="0"/>
  </r>
  <r>
    <x v="4"/>
    <x v="6"/>
    <x v="67"/>
    <x v="0"/>
  </r>
  <r>
    <x v="4"/>
    <x v="7"/>
    <x v="68"/>
    <x v="0"/>
  </r>
  <r>
    <x v="4"/>
    <x v="8"/>
    <x v="69"/>
    <x v="0"/>
  </r>
  <r>
    <x v="4"/>
    <x v="9"/>
    <x v="70"/>
    <x v="0"/>
  </r>
  <r>
    <x v="4"/>
    <x v="10"/>
    <x v="71"/>
    <x v="0"/>
  </r>
  <r>
    <x v="4"/>
    <x v="11"/>
    <x v="72"/>
    <x v="0"/>
  </r>
  <r>
    <x v="4"/>
    <x v="12"/>
    <x v="73"/>
    <x v="0"/>
  </r>
  <r>
    <x v="4"/>
    <x v="13"/>
    <x v="74"/>
    <x v="0"/>
  </r>
  <r>
    <x v="4"/>
    <x v="14"/>
    <x v="75"/>
    <x v="0"/>
  </r>
  <r>
    <x v="4"/>
    <x v="15"/>
    <x v="76"/>
    <x v="0"/>
  </r>
  <r>
    <x v="4"/>
    <x v="16"/>
    <x v="77"/>
    <x v="0"/>
  </r>
  <r>
    <x v="5"/>
    <x v="0"/>
    <x v="0"/>
    <x v="0"/>
  </r>
  <r>
    <x v="5"/>
    <x v="1"/>
    <x v="1"/>
    <x v="0"/>
  </r>
  <r>
    <x v="5"/>
    <x v="2"/>
    <x v="78"/>
    <x v="0"/>
  </r>
  <r>
    <x v="5"/>
    <x v="3"/>
    <x v="79"/>
    <x v="0"/>
  </r>
  <r>
    <x v="5"/>
    <x v="4"/>
    <x v="80"/>
    <x v="0"/>
  </r>
  <r>
    <x v="5"/>
    <x v="5"/>
    <x v="81"/>
    <x v="0"/>
  </r>
  <r>
    <x v="5"/>
    <x v="6"/>
    <x v="82"/>
    <x v="0"/>
  </r>
  <r>
    <x v="5"/>
    <x v="7"/>
    <x v="83"/>
    <x v="0"/>
  </r>
  <r>
    <x v="5"/>
    <x v="8"/>
    <x v="84"/>
    <x v="0"/>
  </r>
  <r>
    <x v="5"/>
    <x v="9"/>
    <x v="85"/>
    <x v="0"/>
  </r>
  <r>
    <x v="5"/>
    <x v="10"/>
    <x v="86"/>
    <x v="0"/>
  </r>
  <r>
    <x v="5"/>
    <x v="11"/>
    <x v="87"/>
    <x v="0"/>
  </r>
  <r>
    <x v="5"/>
    <x v="12"/>
    <x v="88"/>
    <x v="0"/>
  </r>
  <r>
    <x v="5"/>
    <x v="13"/>
    <x v="89"/>
    <x v="0"/>
  </r>
  <r>
    <x v="5"/>
    <x v="14"/>
    <x v="90"/>
    <x v="0"/>
  </r>
  <r>
    <x v="5"/>
    <x v="15"/>
    <x v="91"/>
    <x v="0"/>
  </r>
  <r>
    <x v="5"/>
    <x v="16"/>
    <x v="92"/>
    <x v="0"/>
  </r>
  <r>
    <x v="6"/>
    <x v="0"/>
    <x v="32"/>
    <x v="0"/>
  </r>
  <r>
    <x v="6"/>
    <x v="1"/>
    <x v="1"/>
    <x v="0"/>
  </r>
  <r>
    <x v="6"/>
    <x v="2"/>
    <x v="93"/>
    <x v="0"/>
  </r>
  <r>
    <x v="6"/>
    <x v="3"/>
    <x v="94"/>
    <x v="0"/>
  </r>
  <r>
    <x v="6"/>
    <x v="4"/>
    <x v="95"/>
    <x v="0"/>
  </r>
  <r>
    <x v="6"/>
    <x v="5"/>
    <x v="96"/>
    <x v="0"/>
  </r>
  <r>
    <x v="6"/>
    <x v="6"/>
    <x v="37"/>
    <x v="0"/>
  </r>
  <r>
    <x v="6"/>
    <x v="7"/>
    <x v="97"/>
    <x v="0"/>
  </r>
  <r>
    <x v="6"/>
    <x v="8"/>
    <x v="98"/>
    <x v="0"/>
  </r>
  <r>
    <x v="6"/>
    <x v="9"/>
    <x v="99"/>
    <x v="0"/>
  </r>
  <r>
    <x v="6"/>
    <x v="10"/>
    <x v="100"/>
    <x v="0"/>
  </r>
  <r>
    <x v="6"/>
    <x v="11"/>
    <x v="101"/>
    <x v="0"/>
  </r>
  <r>
    <x v="6"/>
    <x v="12"/>
    <x v="102"/>
    <x v="0"/>
  </r>
  <r>
    <x v="6"/>
    <x v="13"/>
    <x v="103"/>
    <x v="0"/>
  </r>
  <r>
    <x v="6"/>
    <x v="14"/>
    <x v="104"/>
    <x v="0"/>
  </r>
  <r>
    <x v="6"/>
    <x v="15"/>
    <x v="105"/>
    <x v="0"/>
  </r>
  <r>
    <x v="6"/>
    <x v="16"/>
    <x v="106"/>
    <x v="0"/>
  </r>
  <r>
    <x v="7"/>
    <x v="0"/>
    <x v="32"/>
    <x v="0"/>
  </r>
  <r>
    <x v="7"/>
    <x v="1"/>
    <x v="107"/>
    <x v="0"/>
  </r>
  <r>
    <x v="7"/>
    <x v="2"/>
    <x v="108"/>
    <x v="0"/>
  </r>
  <r>
    <x v="7"/>
    <x v="3"/>
    <x v="109"/>
    <x v="0"/>
  </r>
  <r>
    <x v="7"/>
    <x v="4"/>
    <x v="110"/>
    <x v="0"/>
  </r>
  <r>
    <x v="7"/>
    <x v="5"/>
    <x v="111"/>
    <x v="0"/>
  </r>
  <r>
    <x v="7"/>
    <x v="6"/>
    <x v="112"/>
    <x v="0"/>
  </r>
  <r>
    <x v="7"/>
    <x v="7"/>
    <x v="113"/>
    <x v="0"/>
  </r>
  <r>
    <x v="7"/>
    <x v="8"/>
    <x v="114"/>
    <x v="0"/>
  </r>
  <r>
    <x v="7"/>
    <x v="9"/>
    <x v="115"/>
    <x v="0"/>
  </r>
  <r>
    <x v="7"/>
    <x v="10"/>
    <x v="116"/>
    <x v="0"/>
  </r>
  <r>
    <x v="7"/>
    <x v="11"/>
    <x v="117"/>
    <x v="0"/>
  </r>
  <r>
    <x v="7"/>
    <x v="12"/>
    <x v="118"/>
    <x v="0"/>
  </r>
  <r>
    <x v="7"/>
    <x v="13"/>
    <x v="119"/>
    <x v="0"/>
  </r>
  <r>
    <x v="7"/>
    <x v="14"/>
    <x v="120"/>
    <x v="0"/>
  </r>
  <r>
    <x v="7"/>
    <x v="15"/>
    <x v="121"/>
    <x v="0"/>
  </r>
  <r>
    <x v="7"/>
    <x v="16"/>
    <x v="122"/>
    <x v="0"/>
  </r>
  <r>
    <x v="8"/>
    <x v="0"/>
    <x v="0"/>
    <x v="0"/>
  </r>
  <r>
    <x v="8"/>
    <x v="1"/>
    <x v="107"/>
    <x v="0"/>
  </r>
  <r>
    <x v="8"/>
    <x v="2"/>
    <x v="123"/>
    <x v="0"/>
  </r>
  <r>
    <x v="8"/>
    <x v="3"/>
    <x v="124"/>
    <x v="0"/>
  </r>
  <r>
    <x v="8"/>
    <x v="4"/>
    <x v="125"/>
    <x v="0"/>
  </r>
  <r>
    <x v="8"/>
    <x v="5"/>
    <x v="126"/>
    <x v="0"/>
  </r>
  <r>
    <x v="8"/>
    <x v="6"/>
    <x v="127"/>
    <x v="0"/>
  </r>
  <r>
    <x v="8"/>
    <x v="7"/>
    <x v="128"/>
    <x v="0"/>
  </r>
  <r>
    <x v="8"/>
    <x v="8"/>
    <x v="129"/>
    <x v="0"/>
  </r>
  <r>
    <x v="8"/>
    <x v="9"/>
    <x v="130"/>
    <x v="0"/>
  </r>
  <r>
    <x v="8"/>
    <x v="10"/>
    <x v="131"/>
    <x v="0"/>
  </r>
  <r>
    <x v="8"/>
    <x v="11"/>
    <x v="132"/>
    <x v="0"/>
  </r>
  <r>
    <x v="8"/>
    <x v="12"/>
    <x v="133"/>
    <x v="0"/>
  </r>
  <r>
    <x v="8"/>
    <x v="13"/>
    <x v="134"/>
    <x v="0"/>
  </r>
  <r>
    <x v="8"/>
    <x v="14"/>
    <x v="135"/>
    <x v="0"/>
  </r>
  <r>
    <x v="8"/>
    <x v="15"/>
    <x v="136"/>
    <x v="0"/>
  </r>
  <r>
    <x v="8"/>
    <x v="16"/>
    <x v="137"/>
    <x v="0"/>
  </r>
  <r>
    <x v="9"/>
    <x v="0"/>
    <x v="0"/>
    <x v="0"/>
  </r>
  <r>
    <x v="9"/>
    <x v="1"/>
    <x v="107"/>
    <x v="0"/>
  </r>
  <r>
    <x v="9"/>
    <x v="2"/>
    <x v="138"/>
    <x v="0"/>
  </r>
  <r>
    <x v="9"/>
    <x v="3"/>
    <x v="113"/>
    <x v="0"/>
  </r>
  <r>
    <x v="9"/>
    <x v="4"/>
    <x v="80"/>
    <x v="0"/>
  </r>
  <r>
    <x v="9"/>
    <x v="5"/>
    <x v="139"/>
    <x v="0"/>
  </r>
  <r>
    <x v="9"/>
    <x v="6"/>
    <x v="140"/>
    <x v="0"/>
  </r>
  <r>
    <x v="9"/>
    <x v="7"/>
    <x v="141"/>
    <x v="0"/>
  </r>
  <r>
    <x v="9"/>
    <x v="8"/>
    <x v="142"/>
    <x v="0"/>
  </r>
  <r>
    <x v="9"/>
    <x v="9"/>
    <x v="143"/>
    <x v="0"/>
  </r>
  <r>
    <x v="9"/>
    <x v="10"/>
    <x v="144"/>
    <x v="0"/>
  </r>
  <r>
    <x v="9"/>
    <x v="11"/>
    <x v="145"/>
    <x v="0"/>
  </r>
  <r>
    <x v="9"/>
    <x v="12"/>
    <x v="146"/>
    <x v="0"/>
  </r>
  <r>
    <x v="9"/>
    <x v="13"/>
    <x v="147"/>
    <x v="0"/>
  </r>
  <r>
    <x v="9"/>
    <x v="14"/>
    <x v="148"/>
    <x v="0"/>
  </r>
  <r>
    <x v="9"/>
    <x v="15"/>
    <x v="149"/>
    <x v="0"/>
  </r>
  <r>
    <x v="9"/>
    <x v="16"/>
    <x v="150"/>
    <x v="0"/>
  </r>
  <r>
    <x v="10"/>
    <x v="0"/>
    <x v="0"/>
    <x v="0"/>
  </r>
  <r>
    <x v="10"/>
    <x v="1"/>
    <x v="107"/>
    <x v="0"/>
  </r>
  <r>
    <x v="10"/>
    <x v="2"/>
    <x v="151"/>
    <x v="0"/>
  </r>
  <r>
    <x v="10"/>
    <x v="3"/>
    <x v="95"/>
    <x v="0"/>
  </r>
  <r>
    <x v="10"/>
    <x v="4"/>
    <x v="152"/>
    <x v="0"/>
  </r>
  <r>
    <x v="10"/>
    <x v="5"/>
    <x v="153"/>
    <x v="0"/>
  </r>
  <r>
    <x v="10"/>
    <x v="6"/>
    <x v="154"/>
    <x v="0"/>
  </r>
  <r>
    <x v="10"/>
    <x v="7"/>
    <x v="155"/>
    <x v="0"/>
  </r>
  <r>
    <x v="10"/>
    <x v="8"/>
    <x v="156"/>
    <x v="0"/>
  </r>
  <r>
    <x v="10"/>
    <x v="9"/>
    <x v="157"/>
    <x v="0"/>
  </r>
  <r>
    <x v="10"/>
    <x v="10"/>
    <x v="158"/>
    <x v="0"/>
  </r>
  <r>
    <x v="10"/>
    <x v="11"/>
    <x v="159"/>
    <x v="0"/>
  </r>
  <r>
    <x v="10"/>
    <x v="12"/>
    <x v="160"/>
    <x v="0"/>
  </r>
  <r>
    <x v="10"/>
    <x v="13"/>
    <x v="161"/>
    <x v="0"/>
  </r>
  <r>
    <x v="10"/>
    <x v="14"/>
    <x v="162"/>
    <x v="0"/>
  </r>
  <r>
    <x v="10"/>
    <x v="15"/>
    <x v="163"/>
    <x v="0"/>
  </r>
  <r>
    <x v="10"/>
    <x v="16"/>
    <x v="164"/>
    <x v="0"/>
  </r>
  <r>
    <x v="11"/>
    <x v="0"/>
    <x v="32"/>
    <x v="0"/>
  </r>
  <r>
    <x v="11"/>
    <x v="1"/>
    <x v="107"/>
    <x v="0"/>
  </r>
  <r>
    <x v="11"/>
    <x v="2"/>
    <x v="165"/>
    <x v="0"/>
  </r>
  <r>
    <x v="11"/>
    <x v="3"/>
    <x v="166"/>
    <x v="0"/>
  </r>
  <r>
    <x v="11"/>
    <x v="4"/>
    <x v="167"/>
    <x v="0"/>
  </r>
  <r>
    <x v="11"/>
    <x v="5"/>
    <x v="168"/>
    <x v="0"/>
  </r>
  <r>
    <x v="11"/>
    <x v="6"/>
    <x v="169"/>
    <x v="0"/>
  </r>
  <r>
    <x v="11"/>
    <x v="7"/>
    <x v="170"/>
    <x v="0"/>
  </r>
  <r>
    <x v="11"/>
    <x v="8"/>
    <x v="171"/>
    <x v="0"/>
  </r>
  <r>
    <x v="11"/>
    <x v="9"/>
    <x v="172"/>
    <x v="0"/>
  </r>
  <r>
    <x v="11"/>
    <x v="10"/>
    <x v="173"/>
    <x v="0"/>
  </r>
  <r>
    <x v="11"/>
    <x v="11"/>
    <x v="174"/>
    <x v="0"/>
  </r>
  <r>
    <x v="11"/>
    <x v="12"/>
    <x v="175"/>
    <x v="0"/>
  </r>
  <r>
    <x v="11"/>
    <x v="13"/>
    <x v="176"/>
    <x v="0"/>
  </r>
  <r>
    <x v="11"/>
    <x v="14"/>
    <x v="177"/>
    <x v="0"/>
  </r>
  <r>
    <x v="11"/>
    <x v="15"/>
    <x v="178"/>
    <x v="0"/>
  </r>
  <r>
    <x v="11"/>
    <x v="16"/>
    <x v="179"/>
    <x v="0"/>
  </r>
  <r>
    <x v="12"/>
    <x v="0"/>
    <x v="32"/>
    <x v="0"/>
  </r>
  <r>
    <x v="12"/>
    <x v="1"/>
    <x v="107"/>
    <x v="0"/>
  </r>
  <r>
    <x v="12"/>
    <x v="2"/>
    <x v="180"/>
    <x v="0"/>
  </r>
  <r>
    <x v="12"/>
    <x v="3"/>
    <x v="181"/>
    <x v="0"/>
  </r>
  <r>
    <x v="12"/>
    <x v="4"/>
    <x v="110"/>
    <x v="0"/>
  </r>
  <r>
    <x v="12"/>
    <x v="5"/>
    <x v="182"/>
    <x v="0"/>
  </r>
  <r>
    <x v="12"/>
    <x v="6"/>
    <x v="183"/>
    <x v="0"/>
  </r>
  <r>
    <x v="12"/>
    <x v="7"/>
    <x v="184"/>
    <x v="0"/>
  </r>
  <r>
    <x v="12"/>
    <x v="8"/>
    <x v="185"/>
    <x v="0"/>
  </r>
  <r>
    <x v="12"/>
    <x v="9"/>
    <x v="186"/>
    <x v="0"/>
  </r>
  <r>
    <x v="12"/>
    <x v="10"/>
    <x v="187"/>
    <x v="0"/>
  </r>
  <r>
    <x v="12"/>
    <x v="11"/>
    <x v="188"/>
    <x v="0"/>
  </r>
  <r>
    <x v="12"/>
    <x v="12"/>
    <x v="189"/>
    <x v="0"/>
  </r>
  <r>
    <x v="12"/>
    <x v="13"/>
    <x v="190"/>
    <x v="0"/>
  </r>
  <r>
    <x v="12"/>
    <x v="14"/>
    <x v="191"/>
    <x v="0"/>
  </r>
  <r>
    <x v="12"/>
    <x v="15"/>
    <x v="192"/>
    <x v="0"/>
  </r>
  <r>
    <x v="12"/>
    <x v="16"/>
    <x v="193"/>
    <x v="0"/>
  </r>
  <r>
    <x v="13"/>
    <x v="0"/>
    <x v="0"/>
    <x v="0"/>
  </r>
  <r>
    <x v="13"/>
    <x v="1"/>
    <x v="107"/>
    <x v="0"/>
  </r>
  <r>
    <x v="13"/>
    <x v="2"/>
    <x v="194"/>
    <x v="0"/>
  </r>
  <r>
    <x v="13"/>
    <x v="3"/>
    <x v="94"/>
    <x v="0"/>
  </r>
  <r>
    <x v="13"/>
    <x v="4"/>
    <x v="195"/>
    <x v="0"/>
  </r>
  <r>
    <x v="13"/>
    <x v="5"/>
    <x v="196"/>
    <x v="0"/>
  </r>
  <r>
    <x v="13"/>
    <x v="6"/>
    <x v="197"/>
    <x v="0"/>
  </r>
  <r>
    <x v="13"/>
    <x v="7"/>
    <x v="198"/>
    <x v="0"/>
  </r>
  <r>
    <x v="13"/>
    <x v="8"/>
    <x v="199"/>
    <x v="0"/>
  </r>
  <r>
    <x v="13"/>
    <x v="9"/>
    <x v="200"/>
    <x v="0"/>
  </r>
  <r>
    <x v="13"/>
    <x v="10"/>
    <x v="201"/>
    <x v="0"/>
  </r>
  <r>
    <x v="13"/>
    <x v="11"/>
    <x v="202"/>
    <x v="0"/>
  </r>
  <r>
    <x v="13"/>
    <x v="12"/>
    <x v="203"/>
    <x v="0"/>
  </r>
  <r>
    <x v="13"/>
    <x v="13"/>
    <x v="204"/>
    <x v="0"/>
  </r>
  <r>
    <x v="13"/>
    <x v="14"/>
    <x v="205"/>
    <x v="0"/>
  </r>
  <r>
    <x v="13"/>
    <x v="15"/>
    <x v="206"/>
    <x v="0"/>
  </r>
  <r>
    <x v="13"/>
    <x v="16"/>
    <x v="207"/>
    <x v="0"/>
  </r>
  <r>
    <x v="14"/>
    <x v="0"/>
    <x v="32"/>
    <x v="0"/>
  </r>
  <r>
    <x v="14"/>
    <x v="1"/>
    <x v="107"/>
    <x v="0"/>
  </r>
  <r>
    <x v="14"/>
    <x v="2"/>
    <x v="208"/>
    <x v="0"/>
  </r>
  <r>
    <x v="14"/>
    <x v="3"/>
    <x v="209"/>
    <x v="0"/>
  </r>
  <r>
    <x v="14"/>
    <x v="4"/>
    <x v="110"/>
    <x v="0"/>
  </r>
  <r>
    <x v="14"/>
    <x v="5"/>
    <x v="210"/>
    <x v="0"/>
  </r>
  <r>
    <x v="14"/>
    <x v="6"/>
    <x v="211"/>
    <x v="0"/>
  </r>
  <r>
    <x v="14"/>
    <x v="7"/>
    <x v="212"/>
    <x v="0"/>
  </r>
  <r>
    <x v="14"/>
    <x v="8"/>
    <x v="213"/>
    <x v="0"/>
  </r>
  <r>
    <x v="14"/>
    <x v="9"/>
    <x v="214"/>
    <x v="0"/>
  </r>
  <r>
    <x v="14"/>
    <x v="10"/>
    <x v="215"/>
    <x v="0"/>
  </r>
  <r>
    <x v="14"/>
    <x v="11"/>
    <x v="216"/>
    <x v="0"/>
  </r>
  <r>
    <x v="14"/>
    <x v="12"/>
    <x v="217"/>
    <x v="0"/>
  </r>
  <r>
    <x v="14"/>
    <x v="13"/>
    <x v="218"/>
    <x v="0"/>
  </r>
  <r>
    <x v="14"/>
    <x v="14"/>
    <x v="219"/>
    <x v="0"/>
  </r>
  <r>
    <x v="14"/>
    <x v="15"/>
    <x v="220"/>
    <x v="0"/>
  </r>
  <r>
    <x v="14"/>
    <x v="16"/>
    <x v="221"/>
    <x v="0"/>
  </r>
  <r>
    <x v="15"/>
    <x v="0"/>
    <x v="0"/>
    <x v="0"/>
  </r>
  <r>
    <x v="15"/>
    <x v="1"/>
    <x v="107"/>
    <x v="0"/>
  </r>
  <r>
    <x v="15"/>
    <x v="2"/>
    <x v="222"/>
    <x v="0"/>
  </r>
  <r>
    <x v="15"/>
    <x v="3"/>
    <x v="223"/>
    <x v="0"/>
  </r>
  <r>
    <x v="15"/>
    <x v="4"/>
    <x v="224"/>
    <x v="0"/>
  </r>
  <r>
    <x v="15"/>
    <x v="5"/>
    <x v="225"/>
    <x v="0"/>
  </r>
  <r>
    <x v="15"/>
    <x v="6"/>
    <x v="226"/>
    <x v="0"/>
  </r>
  <r>
    <x v="15"/>
    <x v="7"/>
    <x v="227"/>
    <x v="0"/>
  </r>
  <r>
    <x v="15"/>
    <x v="8"/>
    <x v="228"/>
    <x v="0"/>
  </r>
  <r>
    <x v="15"/>
    <x v="9"/>
    <x v="229"/>
    <x v="0"/>
  </r>
  <r>
    <x v="15"/>
    <x v="10"/>
    <x v="230"/>
    <x v="0"/>
  </r>
  <r>
    <x v="15"/>
    <x v="11"/>
    <x v="231"/>
    <x v="0"/>
  </r>
  <r>
    <x v="15"/>
    <x v="12"/>
    <x v="232"/>
    <x v="0"/>
  </r>
  <r>
    <x v="15"/>
    <x v="13"/>
    <x v="233"/>
    <x v="0"/>
  </r>
  <r>
    <x v="15"/>
    <x v="14"/>
    <x v="234"/>
    <x v="0"/>
  </r>
  <r>
    <x v="15"/>
    <x v="15"/>
    <x v="235"/>
    <x v="0"/>
  </r>
  <r>
    <x v="15"/>
    <x v="16"/>
    <x v="236"/>
    <x v="0"/>
  </r>
  <r>
    <x v="0"/>
    <x v="0"/>
    <x v="0"/>
    <x v="1"/>
  </r>
  <r>
    <x v="0"/>
    <x v="1"/>
    <x v="1"/>
    <x v="1"/>
  </r>
  <r>
    <x v="0"/>
    <x v="2"/>
    <x v="237"/>
    <x v="1"/>
  </r>
  <r>
    <x v="0"/>
    <x v="3"/>
    <x v="238"/>
    <x v="1"/>
  </r>
  <r>
    <x v="0"/>
    <x v="4"/>
    <x v="239"/>
    <x v="1"/>
  </r>
  <r>
    <x v="0"/>
    <x v="5"/>
    <x v="240"/>
    <x v="1"/>
  </r>
  <r>
    <x v="0"/>
    <x v="6"/>
    <x v="68"/>
    <x v="1"/>
  </r>
  <r>
    <x v="0"/>
    <x v="7"/>
    <x v="241"/>
    <x v="1"/>
  </r>
  <r>
    <x v="0"/>
    <x v="8"/>
    <x v="8"/>
    <x v="1"/>
  </r>
  <r>
    <x v="0"/>
    <x v="9"/>
    <x v="242"/>
    <x v="1"/>
  </r>
  <r>
    <x v="0"/>
    <x v="10"/>
    <x v="243"/>
    <x v="1"/>
  </r>
  <r>
    <x v="0"/>
    <x v="11"/>
    <x v="244"/>
    <x v="1"/>
  </r>
  <r>
    <x v="0"/>
    <x v="12"/>
    <x v="245"/>
    <x v="1"/>
  </r>
  <r>
    <x v="0"/>
    <x v="13"/>
    <x v="246"/>
    <x v="1"/>
  </r>
  <r>
    <x v="0"/>
    <x v="14"/>
    <x v="247"/>
    <x v="1"/>
  </r>
  <r>
    <x v="0"/>
    <x v="15"/>
    <x v="248"/>
    <x v="1"/>
  </r>
  <r>
    <x v="0"/>
    <x v="16"/>
    <x v="249"/>
    <x v="1"/>
  </r>
  <r>
    <x v="1"/>
    <x v="0"/>
    <x v="0"/>
    <x v="1"/>
  </r>
  <r>
    <x v="1"/>
    <x v="1"/>
    <x v="1"/>
    <x v="1"/>
  </r>
  <r>
    <x v="1"/>
    <x v="2"/>
    <x v="250"/>
    <x v="1"/>
  </r>
  <r>
    <x v="1"/>
    <x v="3"/>
    <x v="251"/>
    <x v="1"/>
  </r>
  <r>
    <x v="1"/>
    <x v="4"/>
    <x v="239"/>
    <x v="1"/>
  </r>
  <r>
    <x v="1"/>
    <x v="5"/>
    <x v="252"/>
    <x v="1"/>
  </r>
  <r>
    <x v="1"/>
    <x v="6"/>
    <x v="253"/>
    <x v="1"/>
  </r>
  <r>
    <x v="1"/>
    <x v="7"/>
    <x v="254"/>
    <x v="1"/>
  </r>
  <r>
    <x v="1"/>
    <x v="8"/>
    <x v="23"/>
    <x v="1"/>
  </r>
  <r>
    <x v="1"/>
    <x v="9"/>
    <x v="255"/>
    <x v="1"/>
  </r>
  <r>
    <x v="1"/>
    <x v="10"/>
    <x v="256"/>
    <x v="1"/>
  </r>
  <r>
    <x v="1"/>
    <x v="11"/>
    <x v="257"/>
    <x v="1"/>
  </r>
  <r>
    <x v="1"/>
    <x v="12"/>
    <x v="258"/>
    <x v="1"/>
  </r>
  <r>
    <x v="1"/>
    <x v="13"/>
    <x v="259"/>
    <x v="1"/>
  </r>
  <r>
    <x v="1"/>
    <x v="14"/>
    <x v="260"/>
    <x v="1"/>
  </r>
  <r>
    <x v="1"/>
    <x v="15"/>
    <x v="261"/>
    <x v="1"/>
  </r>
  <r>
    <x v="1"/>
    <x v="16"/>
    <x v="262"/>
    <x v="1"/>
  </r>
  <r>
    <x v="2"/>
    <x v="0"/>
    <x v="32"/>
    <x v="1"/>
  </r>
  <r>
    <x v="2"/>
    <x v="1"/>
    <x v="1"/>
    <x v="1"/>
  </r>
  <r>
    <x v="2"/>
    <x v="2"/>
    <x v="263"/>
    <x v="1"/>
  </r>
  <r>
    <x v="2"/>
    <x v="3"/>
    <x v="264"/>
    <x v="1"/>
  </r>
  <r>
    <x v="2"/>
    <x v="4"/>
    <x v="80"/>
    <x v="1"/>
  </r>
  <r>
    <x v="2"/>
    <x v="5"/>
    <x v="265"/>
    <x v="1"/>
  </r>
  <r>
    <x v="2"/>
    <x v="6"/>
    <x v="266"/>
    <x v="1"/>
  </r>
  <r>
    <x v="2"/>
    <x v="7"/>
    <x v="267"/>
    <x v="1"/>
  </r>
  <r>
    <x v="2"/>
    <x v="8"/>
    <x v="39"/>
    <x v="1"/>
  </r>
  <r>
    <x v="2"/>
    <x v="9"/>
    <x v="268"/>
    <x v="1"/>
  </r>
  <r>
    <x v="2"/>
    <x v="10"/>
    <x v="269"/>
    <x v="1"/>
  </r>
  <r>
    <x v="2"/>
    <x v="11"/>
    <x v="270"/>
    <x v="1"/>
  </r>
  <r>
    <x v="2"/>
    <x v="12"/>
    <x v="271"/>
    <x v="1"/>
  </r>
  <r>
    <x v="2"/>
    <x v="13"/>
    <x v="272"/>
    <x v="1"/>
  </r>
  <r>
    <x v="2"/>
    <x v="14"/>
    <x v="273"/>
    <x v="1"/>
  </r>
  <r>
    <x v="2"/>
    <x v="15"/>
    <x v="274"/>
    <x v="1"/>
  </r>
  <r>
    <x v="2"/>
    <x v="16"/>
    <x v="275"/>
    <x v="1"/>
  </r>
  <r>
    <x v="3"/>
    <x v="0"/>
    <x v="32"/>
    <x v="1"/>
  </r>
  <r>
    <x v="3"/>
    <x v="1"/>
    <x v="1"/>
    <x v="1"/>
  </r>
  <r>
    <x v="3"/>
    <x v="2"/>
    <x v="276"/>
    <x v="1"/>
  </r>
  <r>
    <x v="3"/>
    <x v="3"/>
    <x v="277"/>
    <x v="1"/>
  </r>
  <r>
    <x v="3"/>
    <x v="4"/>
    <x v="278"/>
    <x v="1"/>
  </r>
  <r>
    <x v="3"/>
    <x v="5"/>
    <x v="279"/>
    <x v="1"/>
  </r>
  <r>
    <x v="3"/>
    <x v="6"/>
    <x v="280"/>
    <x v="1"/>
  </r>
  <r>
    <x v="3"/>
    <x v="7"/>
    <x v="281"/>
    <x v="1"/>
  </r>
  <r>
    <x v="3"/>
    <x v="8"/>
    <x v="54"/>
    <x v="1"/>
  </r>
  <r>
    <x v="3"/>
    <x v="9"/>
    <x v="282"/>
    <x v="1"/>
  </r>
  <r>
    <x v="3"/>
    <x v="10"/>
    <x v="283"/>
    <x v="1"/>
  </r>
  <r>
    <x v="3"/>
    <x v="11"/>
    <x v="284"/>
    <x v="1"/>
  </r>
  <r>
    <x v="3"/>
    <x v="12"/>
    <x v="285"/>
    <x v="1"/>
  </r>
  <r>
    <x v="3"/>
    <x v="13"/>
    <x v="286"/>
    <x v="1"/>
  </r>
  <r>
    <x v="3"/>
    <x v="14"/>
    <x v="287"/>
    <x v="1"/>
  </r>
  <r>
    <x v="3"/>
    <x v="15"/>
    <x v="288"/>
    <x v="1"/>
  </r>
  <r>
    <x v="3"/>
    <x v="16"/>
    <x v="289"/>
    <x v="1"/>
  </r>
  <r>
    <x v="4"/>
    <x v="0"/>
    <x v="0"/>
    <x v="1"/>
  </r>
  <r>
    <x v="4"/>
    <x v="1"/>
    <x v="1"/>
    <x v="1"/>
  </r>
  <r>
    <x v="4"/>
    <x v="2"/>
    <x v="290"/>
    <x v="1"/>
  </r>
  <r>
    <x v="4"/>
    <x v="3"/>
    <x v="291"/>
    <x v="1"/>
  </r>
  <r>
    <x v="4"/>
    <x v="4"/>
    <x v="292"/>
    <x v="1"/>
  </r>
  <r>
    <x v="4"/>
    <x v="5"/>
    <x v="293"/>
    <x v="1"/>
  </r>
  <r>
    <x v="4"/>
    <x v="6"/>
    <x v="267"/>
    <x v="1"/>
  </r>
  <r>
    <x v="4"/>
    <x v="7"/>
    <x v="294"/>
    <x v="1"/>
  </r>
  <r>
    <x v="4"/>
    <x v="8"/>
    <x v="69"/>
    <x v="1"/>
  </r>
  <r>
    <x v="4"/>
    <x v="9"/>
    <x v="295"/>
    <x v="1"/>
  </r>
  <r>
    <x v="4"/>
    <x v="10"/>
    <x v="296"/>
    <x v="1"/>
  </r>
  <r>
    <x v="4"/>
    <x v="11"/>
    <x v="297"/>
    <x v="1"/>
  </r>
  <r>
    <x v="4"/>
    <x v="12"/>
    <x v="298"/>
    <x v="1"/>
  </r>
  <r>
    <x v="4"/>
    <x v="13"/>
    <x v="299"/>
    <x v="1"/>
  </r>
  <r>
    <x v="4"/>
    <x v="14"/>
    <x v="300"/>
    <x v="1"/>
  </r>
  <r>
    <x v="4"/>
    <x v="15"/>
    <x v="301"/>
    <x v="1"/>
  </r>
  <r>
    <x v="4"/>
    <x v="16"/>
    <x v="302"/>
    <x v="1"/>
  </r>
  <r>
    <x v="5"/>
    <x v="0"/>
    <x v="0"/>
    <x v="1"/>
  </r>
  <r>
    <x v="5"/>
    <x v="1"/>
    <x v="1"/>
    <x v="1"/>
  </r>
  <r>
    <x v="5"/>
    <x v="2"/>
    <x v="303"/>
    <x v="1"/>
  </r>
  <r>
    <x v="5"/>
    <x v="3"/>
    <x v="79"/>
    <x v="1"/>
  </r>
  <r>
    <x v="5"/>
    <x v="4"/>
    <x v="304"/>
    <x v="1"/>
  </r>
  <r>
    <x v="5"/>
    <x v="5"/>
    <x v="305"/>
    <x v="1"/>
  </r>
  <r>
    <x v="5"/>
    <x v="6"/>
    <x v="306"/>
    <x v="1"/>
  </r>
  <r>
    <x v="5"/>
    <x v="7"/>
    <x v="94"/>
    <x v="1"/>
  </r>
  <r>
    <x v="5"/>
    <x v="8"/>
    <x v="84"/>
    <x v="1"/>
  </r>
  <r>
    <x v="5"/>
    <x v="9"/>
    <x v="307"/>
    <x v="1"/>
  </r>
  <r>
    <x v="5"/>
    <x v="10"/>
    <x v="308"/>
    <x v="1"/>
  </r>
  <r>
    <x v="5"/>
    <x v="11"/>
    <x v="309"/>
    <x v="1"/>
  </r>
  <r>
    <x v="5"/>
    <x v="12"/>
    <x v="310"/>
    <x v="1"/>
  </r>
  <r>
    <x v="5"/>
    <x v="13"/>
    <x v="311"/>
    <x v="1"/>
  </r>
  <r>
    <x v="5"/>
    <x v="14"/>
    <x v="312"/>
    <x v="1"/>
  </r>
  <r>
    <x v="5"/>
    <x v="15"/>
    <x v="313"/>
    <x v="1"/>
  </r>
  <r>
    <x v="5"/>
    <x v="16"/>
    <x v="314"/>
    <x v="1"/>
  </r>
  <r>
    <x v="6"/>
    <x v="0"/>
    <x v="32"/>
    <x v="1"/>
  </r>
  <r>
    <x v="6"/>
    <x v="1"/>
    <x v="1"/>
    <x v="1"/>
  </r>
  <r>
    <x v="6"/>
    <x v="2"/>
    <x v="315"/>
    <x v="1"/>
  </r>
  <r>
    <x v="6"/>
    <x v="3"/>
    <x v="316"/>
    <x v="1"/>
  </r>
  <r>
    <x v="6"/>
    <x v="4"/>
    <x v="292"/>
    <x v="1"/>
  </r>
  <r>
    <x v="6"/>
    <x v="5"/>
    <x v="317"/>
    <x v="1"/>
  </r>
  <r>
    <x v="6"/>
    <x v="6"/>
    <x v="318"/>
    <x v="1"/>
  </r>
  <r>
    <x v="6"/>
    <x v="7"/>
    <x v="319"/>
    <x v="1"/>
  </r>
  <r>
    <x v="6"/>
    <x v="8"/>
    <x v="98"/>
    <x v="1"/>
  </r>
  <r>
    <x v="6"/>
    <x v="9"/>
    <x v="320"/>
    <x v="1"/>
  </r>
  <r>
    <x v="6"/>
    <x v="10"/>
    <x v="321"/>
    <x v="1"/>
  </r>
  <r>
    <x v="6"/>
    <x v="11"/>
    <x v="322"/>
    <x v="1"/>
  </r>
  <r>
    <x v="6"/>
    <x v="12"/>
    <x v="323"/>
    <x v="1"/>
  </r>
  <r>
    <x v="6"/>
    <x v="13"/>
    <x v="324"/>
    <x v="1"/>
  </r>
  <r>
    <x v="6"/>
    <x v="14"/>
    <x v="325"/>
    <x v="1"/>
  </r>
  <r>
    <x v="6"/>
    <x v="15"/>
    <x v="326"/>
    <x v="1"/>
  </r>
  <r>
    <x v="6"/>
    <x v="16"/>
    <x v="327"/>
    <x v="1"/>
  </r>
  <r>
    <x v="7"/>
    <x v="0"/>
    <x v="32"/>
    <x v="1"/>
  </r>
  <r>
    <x v="7"/>
    <x v="1"/>
    <x v="107"/>
    <x v="1"/>
  </r>
  <r>
    <x v="7"/>
    <x v="2"/>
    <x v="328"/>
    <x v="1"/>
  </r>
  <r>
    <x v="7"/>
    <x v="3"/>
    <x v="329"/>
    <x v="1"/>
  </r>
  <r>
    <x v="7"/>
    <x v="4"/>
    <x v="330"/>
    <x v="1"/>
  </r>
  <r>
    <x v="7"/>
    <x v="5"/>
    <x v="81"/>
    <x v="1"/>
  </r>
  <r>
    <x v="7"/>
    <x v="6"/>
    <x v="331"/>
    <x v="1"/>
  </r>
  <r>
    <x v="7"/>
    <x v="7"/>
    <x v="332"/>
    <x v="1"/>
  </r>
  <r>
    <x v="7"/>
    <x v="8"/>
    <x v="114"/>
    <x v="1"/>
  </r>
  <r>
    <x v="7"/>
    <x v="9"/>
    <x v="333"/>
    <x v="1"/>
  </r>
  <r>
    <x v="7"/>
    <x v="10"/>
    <x v="334"/>
    <x v="1"/>
  </r>
  <r>
    <x v="7"/>
    <x v="11"/>
    <x v="335"/>
    <x v="1"/>
  </r>
  <r>
    <x v="7"/>
    <x v="12"/>
    <x v="336"/>
    <x v="1"/>
  </r>
  <r>
    <x v="7"/>
    <x v="13"/>
    <x v="337"/>
    <x v="1"/>
  </r>
  <r>
    <x v="7"/>
    <x v="14"/>
    <x v="338"/>
    <x v="1"/>
  </r>
  <r>
    <x v="7"/>
    <x v="15"/>
    <x v="339"/>
    <x v="1"/>
  </r>
  <r>
    <x v="7"/>
    <x v="16"/>
    <x v="340"/>
    <x v="1"/>
  </r>
  <r>
    <x v="8"/>
    <x v="0"/>
    <x v="0"/>
    <x v="1"/>
  </r>
  <r>
    <x v="8"/>
    <x v="1"/>
    <x v="107"/>
    <x v="1"/>
  </r>
  <r>
    <x v="8"/>
    <x v="2"/>
    <x v="341"/>
    <x v="1"/>
  </r>
  <r>
    <x v="8"/>
    <x v="3"/>
    <x v="342"/>
    <x v="1"/>
  </r>
  <r>
    <x v="8"/>
    <x v="4"/>
    <x v="19"/>
    <x v="1"/>
  </r>
  <r>
    <x v="8"/>
    <x v="5"/>
    <x v="343"/>
    <x v="1"/>
  </r>
  <r>
    <x v="8"/>
    <x v="6"/>
    <x v="344"/>
    <x v="1"/>
  </r>
  <r>
    <x v="8"/>
    <x v="7"/>
    <x v="345"/>
    <x v="1"/>
  </r>
  <r>
    <x v="8"/>
    <x v="8"/>
    <x v="129"/>
    <x v="1"/>
  </r>
  <r>
    <x v="8"/>
    <x v="9"/>
    <x v="346"/>
    <x v="1"/>
  </r>
  <r>
    <x v="8"/>
    <x v="10"/>
    <x v="347"/>
    <x v="1"/>
  </r>
  <r>
    <x v="8"/>
    <x v="11"/>
    <x v="348"/>
    <x v="1"/>
  </r>
  <r>
    <x v="8"/>
    <x v="12"/>
    <x v="349"/>
    <x v="1"/>
  </r>
  <r>
    <x v="8"/>
    <x v="13"/>
    <x v="350"/>
    <x v="1"/>
  </r>
  <r>
    <x v="8"/>
    <x v="14"/>
    <x v="351"/>
    <x v="1"/>
  </r>
  <r>
    <x v="8"/>
    <x v="15"/>
    <x v="352"/>
    <x v="1"/>
  </r>
  <r>
    <x v="8"/>
    <x v="16"/>
    <x v="353"/>
    <x v="1"/>
  </r>
  <r>
    <x v="9"/>
    <x v="0"/>
    <x v="0"/>
    <x v="1"/>
  </r>
  <r>
    <x v="9"/>
    <x v="1"/>
    <x v="107"/>
    <x v="1"/>
  </r>
  <r>
    <x v="9"/>
    <x v="2"/>
    <x v="354"/>
    <x v="1"/>
  </r>
  <r>
    <x v="9"/>
    <x v="3"/>
    <x v="355"/>
    <x v="1"/>
  </r>
  <r>
    <x v="9"/>
    <x v="4"/>
    <x v="4"/>
    <x v="1"/>
  </r>
  <r>
    <x v="9"/>
    <x v="5"/>
    <x v="356"/>
    <x v="1"/>
  </r>
  <r>
    <x v="9"/>
    <x v="6"/>
    <x v="357"/>
    <x v="1"/>
  </r>
  <r>
    <x v="9"/>
    <x v="7"/>
    <x v="358"/>
    <x v="1"/>
  </r>
  <r>
    <x v="9"/>
    <x v="8"/>
    <x v="142"/>
    <x v="1"/>
  </r>
  <r>
    <x v="9"/>
    <x v="9"/>
    <x v="359"/>
    <x v="1"/>
  </r>
  <r>
    <x v="9"/>
    <x v="10"/>
    <x v="360"/>
    <x v="1"/>
  </r>
  <r>
    <x v="9"/>
    <x v="11"/>
    <x v="361"/>
    <x v="1"/>
  </r>
  <r>
    <x v="9"/>
    <x v="12"/>
    <x v="362"/>
    <x v="1"/>
  </r>
  <r>
    <x v="9"/>
    <x v="13"/>
    <x v="363"/>
    <x v="1"/>
  </r>
  <r>
    <x v="9"/>
    <x v="14"/>
    <x v="364"/>
    <x v="1"/>
  </r>
  <r>
    <x v="9"/>
    <x v="15"/>
    <x v="365"/>
    <x v="1"/>
  </r>
  <r>
    <x v="9"/>
    <x v="16"/>
    <x v="366"/>
    <x v="1"/>
  </r>
  <r>
    <x v="10"/>
    <x v="0"/>
    <x v="0"/>
    <x v="1"/>
  </r>
  <r>
    <x v="10"/>
    <x v="1"/>
    <x v="107"/>
    <x v="1"/>
  </r>
  <r>
    <x v="10"/>
    <x v="2"/>
    <x v="367"/>
    <x v="1"/>
  </r>
  <r>
    <x v="10"/>
    <x v="3"/>
    <x v="329"/>
    <x v="1"/>
  </r>
  <r>
    <x v="10"/>
    <x v="4"/>
    <x v="224"/>
    <x v="1"/>
  </r>
  <r>
    <x v="10"/>
    <x v="5"/>
    <x v="368"/>
    <x v="1"/>
  </r>
  <r>
    <x v="10"/>
    <x v="6"/>
    <x v="369"/>
    <x v="1"/>
  </r>
  <r>
    <x v="10"/>
    <x v="7"/>
    <x v="370"/>
    <x v="1"/>
  </r>
  <r>
    <x v="10"/>
    <x v="8"/>
    <x v="156"/>
    <x v="1"/>
  </r>
  <r>
    <x v="10"/>
    <x v="9"/>
    <x v="371"/>
    <x v="1"/>
  </r>
  <r>
    <x v="10"/>
    <x v="10"/>
    <x v="372"/>
    <x v="1"/>
  </r>
  <r>
    <x v="10"/>
    <x v="11"/>
    <x v="373"/>
    <x v="1"/>
  </r>
  <r>
    <x v="10"/>
    <x v="12"/>
    <x v="374"/>
    <x v="1"/>
  </r>
  <r>
    <x v="10"/>
    <x v="13"/>
    <x v="375"/>
    <x v="1"/>
  </r>
  <r>
    <x v="10"/>
    <x v="14"/>
    <x v="376"/>
    <x v="1"/>
  </r>
  <r>
    <x v="10"/>
    <x v="15"/>
    <x v="377"/>
    <x v="1"/>
  </r>
  <r>
    <x v="10"/>
    <x v="16"/>
    <x v="378"/>
    <x v="1"/>
  </r>
  <r>
    <x v="11"/>
    <x v="0"/>
    <x v="32"/>
    <x v="1"/>
  </r>
  <r>
    <x v="11"/>
    <x v="1"/>
    <x v="107"/>
    <x v="1"/>
  </r>
  <r>
    <x v="11"/>
    <x v="2"/>
    <x v="379"/>
    <x v="1"/>
  </r>
  <r>
    <x v="11"/>
    <x v="3"/>
    <x v="332"/>
    <x v="1"/>
  </r>
  <r>
    <x v="11"/>
    <x v="4"/>
    <x v="380"/>
    <x v="1"/>
  </r>
  <r>
    <x v="11"/>
    <x v="5"/>
    <x v="381"/>
    <x v="1"/>
  </r>
  <r>
    <x v="11"/>
    <x v="6"/>
    <x v="382"/>
    <x v="1"/>
  </r>
  <r>
    <x v="11"/>
    <x v="7"/>
    <x v="383"/>
    <x v="1"/>
  </r>
  <r>
    <x v="11"/>
    <x v="8"/>
    <x v="171"/>
    <x v="1"/>
  </r>
  <r>
    <x v="11"/>
    <x v="9"/>
    <x v="384"/>
    <x v="1"/>
  </r>
  <r>
    <x v="11"/>
    <x v="10"/>
    <x v="385"/>
    <x v="1"/>
  </r>
  <r>
    <x v="11"/>
    <x v="11"/>
    <x v="386"/>
    <x v="1"/>
  </r>
  <r>
    <x v="11"/>
    <x v="12"/>
    <x v="387"/>
    <x v="1"/>
  </r>
  <r>
    <x v="11"/>
    <x v="13"/>
    <x v="388"/>
    <x v="1"/>
  </r>
  <r>
    <x v="11"/>
    <x v="14"/>
    <x v="389"/>
    <x v="1"/>
  </r>
  <r>
    <x v="11"/>
    <x v="15"/>
    <x v="390"/>
    <x v="1"/>
  </r>
  <r>
    <x v="11"/>
    <x v="16"/>
    <x v="391"/>
    <x v="1"/>
  </r>
  <r>
    <x v="12"/>
    <x v="0"/>
    <x v="32"/>
    <x v="1"/>
  </r>
  <r>
    <x v="12"/>
    <x v="1"/>
    <x v="107"/>
    <x v="1"/>
  </r>
  <r>
    <x v="12"/>
    <x v="2"/>
    <x v="392"/>
    <x v="1"/>
  </r>
  <r>
    <x v="12"/>
    <x v="3"/>
    <x v="393"/>
    <x v="1"/>
  </r>
  <r>
    <x v="12"/>
    <x v="4"/>
    <x v="8"/>
    <x v="1"/>
  </r>
  <r>
    <x v="12"/>
    <x v="5"/>
    <x v="394"/>
    <x v="1"/>
  </r>
  <r>
    <x v="12"/>
    <x v="6"/>
    <x v="395"/>
    <x v="1"/>
  </r>
  <r>
    <x v="12"/>
    <x v="7"/>
    <x v="396"/>
    <x v="1"/>
  </r>
  <r>
    <x v="12"/>
    <x v="8"/>
    <x v="185"/>
    <x v="1"/>
  </r>
  <r>
    <x v="12"/>
    <x v="9"/>
    <x v="397"/>
    <x v="1"/>
  </r>
  <r>
    <x v="12"/>
    <x v="10"/>
    <x v="398"/>
    <x v="1"/>
  </r>
  <r>
    <x v="12"/>
    <x v="11"/>
    <x v="159"/>
    <x v="1"/>
  </r>
  <r>
    <x v="12"/>
    <x v="12"/>
    <x v="399"/>
    <x v="1"/>
  </r>
  <r>
    <x v="12"/>
    <x v="13"/>
    <x v="400"/>
    <x v="1"/>
  </r>
  <r>
    <x v="12"/>
    <x v="14"/>
    <x v="401"/>
    <x v="1"/>
  </r>
  <r>
    <x v="12"/>
    <x v="15"/>
    <x v="402"/>
    <x v="1"/>
  </r>
  <r>
    <x v="12"/>
    <x v="16"/>
    <x v="403"/>
    <x v="1"/>
  </r>
  <r>
    <x v="13"/>
    <x v="0"/>
    <x v="0"/>
    <x v="1"/>
  </r>
  <r>
    <x v="13"/>
    <x v="1"/>
    <x v="107"/>
    <x v="1"/>
  </r>
  <r>
    <x v="13"/>
    <x v="2"/>
    <x v="404"/>
    <x v="1"/>
  </r>
  <r>
    <x v="13"/>
    <x v="3"/>
    <x v="405"/>
    <x v="1"/>
  </r>
  <r>
    <x v="13"/>
    <x v="4"/>
    <x v="292"/>
    <x v="1"/>
  </r>
  <r>
    <x v="13"/>
    <x v="5"/>
    <x v="406"/>
    <x v="1"/>
  </r>
  <r>
    <x v="13"/>
    <x v="6"/>
    <x v="407"/>
    <x v="1"/>
  </r>
  <r>
    <x v="13"/>
    <x v="7"/>
    <x v="408"/>
    <x v="1"/>
  </r>
  <r>
    <x v="13"/>
    <x v="8"/>
    <x v="199"/>
    <x v="1"/>
  </r>
  <r>
    <x v="13"/>
    <x v="9"/>
    <x v="409"/>
    <x v="1"/>
  </r>
  <r>
    <x v="13"/>
    <x v="10"/>
    <x v="410"/>
    <x v="1"/>
  </r>
  <r>
    <x v="13"/>
    <x v="11"/>
    <x v="411"/>
    <x v="1"/>
  </r>
  <r>
    <x v="13"/>
    <x v="12"/>
    <x v="412"/>
    <x v="1"/>
  </r>
  <r>
    <x v="13"/>
    <x v="13"/>
    <x v="413"/>
    <x v="1"/>
  </r>
  <r>
    <x v="13"/>
    <x v="14"/>
    <x v="414"/>
    <x v="1"/>
  </r>
  <r>
    <x v="13"/>
    <x v="15"/>
    <x v="415"/>
    <x v="1"/>
  </r>
  <r>
    <x v="13"/>
    <x v="16"/>
    <x v="416"/>
    <x v="1"/>
  </r>
  <r>
    <x v="14"/>
    <x v="0"/>
    <x v="32"/>
    <x v="1"/>
  </r>
  <r>
    <x v="14"/>
    <x v="1"/>
    <x v="107"/>
    <x v="1"/>
  </r>
  <r>
    <x v="14"/>
    <x v="2"/>
    <x v="417"/>
    <x v="1"/>
  </r>
  <r>
    <x v="14"/>
    <x v="3"/>
    <x v="418"/>
    <x v="1"/>
  </r>
  <r>
    <x v="14"/>
    <x v="4"/>
    <x v="98"/>
    <x v="1"/>
  </r>
  <r>
    <x v="14"/>
    <x v="5"/>
    <x v="419"/>
    <x v="1"/>
  </r>
  <r>
    <x v="14"/>
    <x v="6"/>
    <x v="420"/>
    <x v="1"/>
  </r>
  <r>
    <x v="14"/>
    <x v="7"/>
    <x v="358"/>
    <x v="1"/>
  </r>
  <r>
    <x v="14"/>
    <x v="8"/>
    <x v="213"/>
    <x v="1"/>
  </r>
  <r>
    <x v="14"/>
    <x v="9"/>
    <x v="421"/>
    <x v="1"/>
  </r>
  <r>
    <x v="14"/>
    <x v="10"/>
    <x v="422"/>
    <x v="1"/>
  </r>
  <r>
    <x v="14"/>
    <x v="11"/>
    <x v="423"/>
    <x v="1"/>
  </r>
  <r>
    <x v="14"/>
    <x v="12"/>
    <x v="424"/>
    <x v="1"/>
  </r>
  <r>
    <x v="14"/>
    <x v="13"/>
    <x v="425"/>
    <x v="1"/>
  </r>
  <r>
    <x v="14"/>
    <x v="14"/>
    <x v="426"/>
    <x v="1"/>
  </r>
  <r>
    <x v="14"/>
    <x v="15"/>
    <x v="427"/>
    <x v="1"/>
  </r>
  <r>
    <x v="14"/>
    <x v="16"/>
    <x v="428"/>
    <x v="1"/>
  </r>
  <r>
    <x v="15"/>
    <x v="0"/>
    <x v="0"/>
    <x v="1"/>
  </r>
  <r>
    <x v="15"/>
    <x v="1"/>
    <x v="107"/>
    <x v="1"/>
  </r>
  <r>
    <x v="15"/>
    <x v="2"/>
    <x v="429"/>
    <x v="1"/>
  </r>
  <r>
    <x v="15"/>
    <x v="3"/>
    <x v="430"/>
    <x v="1"/>
  </r>
  <r>
    <x v="15"/>
    <x v="4"/>
    <x v="4"/>
    <x v="1"/>
  </r>
  <r>
    <x v="15"/>
    <x v="5"/>
    <x v="431"/>
    <x v="1"/>
  </r>
  <r>
    <x v="15"/>
    <x v="6"/>
    <x v="432"/>
    <x v="1"/>
  </r>
  <r>
    <x v="15"/>
    <x v="7"/>
    <x v="433"/>
    <x v="1"/>
  </r>
  <r>
    <x v="15"/>
    <x v="8"/>
    <x v="228"/>
    <x v="1"/>
  </r>
  <r>
    <x v="15"/>
    <x v="9"/>
    <x v="434"/>
    <x v="1"/>
  </r>
  <r>
    <x v="15"/>
    <x v="10"/>
    <x v="435"/>
    <x v="1"/>
  </r>
  <r>
    <x v="15"/>
    <x v="11"/>
    <x v="436"/>
    <x v="1"/>
  </r>
  <r>
    <x v="15"/>
    <x v="12"/>
    <x v="437"/>
    <x v="1"/>
  </r>
  <r>
    <x v="15"/>
    <x v="13"/>
    <x v="438"/>
    <x v="1"/>
  </r>
  <r>
    <x v="15"/>
    <x v="14"/>
    <x v="439"/>
    <x v="1"/>
  </r>
  <r>
    <x v="15"/>
    <x v="15"/>
    <x v="440"/>
    <x v="1"/>
  </r>
  <r>
    <x v="15"/>
    <x v="16"/>
    <x v="441"/>
    <x v="1"/>
  </r>
  <r>
    <x v="0"/>
    <x v="0"/>
    <x v="0"/>
    <x v="2"/>
  </r>
  <r>
    <x v="0"/>
    <x v="1"/>
    <x v="1"/>
    <x v="2"/>
  </r>
  <r>
    <x v="0"/>
    <x v="2"/>
    <x v="442"/>
    <x v="2"/>
  </r>
  <r>
    <x v="0"/>
    <x v="3"/>
    <x v="443"/>
    <x v="2"/>
  </r>
  <r>
    <x v="0"/>
    <x v="4"/>
    <x v="278"/>
    <x v="2"/>
  </r>
  <r>
    <x v="0"/>
    <x v="5"/>
    <x v="444"/>
    <x v="2"/>
  </r>
  <r>
    <x v="0"/>
    <x v="6"/>
    <x v="445"/>
    <x v="2"/>
  </r>
  <r>
    <x v="0"/>
    <x v="7"/>
    <x v="446"/>
    <x v="2"/>
  </r>
  <r>
    <x v="0"/>
    <x v="8"/>
    <x v="8"/>
    <x v="2"/>
  </r>
  <r>
    <x v="0"/>
    <x v="9"/>
    <x v="447"/>
    <x v="2"/>
  </r>
  <r>
    <x v="0"/>
    <x v="10"/>
    <x v="448"/>
    <x v="2"/>
  </r>
  <r>
    <x v="0"/>
    <x v="11"/>
    <x v="449"/>
    <x v="2"/>
  </r>
  <r>
    <x v="0"/>
    <x v="12"/>
    <x v="450"/>
    <x v="2"/>
  </r>
  <r>
    <x v="0"/>
    <x v="13"/>
    <x v="451"/>
    <x v="2"/>
  </r>
  <r>
    <x v="0"/>
    <x v="14"/>
    <x v="452"/>
    <x v="2"/>
  </r>
  <r>
    <x v="0"/>
    <x v="15"/>
    <x v="453"/>
    <x v="2"/>
  </r>
  <r>
    <x v="0"/>
    <x v="16"/>
    <x v="454"/>
    <x v="2"/>
  </r>
  <r>
    <x v="1"/>
    <x v="0"/>
    <x v="0"/>
    <x v="2"/>
  </r>
  <r>
    <x v="1"/>
    <x v="1"/>
    <x v="1"/>
    <x v="2"/>
  </r>
  <r>
    <x v="1"/>
    <x v="2"/>
    <x v="455"/>
    <x v="2"/>
  </r>
  <r>
    <x v="1"/>
    <x v="3"/>
    <x v="456"/>
    <x v="2"/>
  </r>
  <r>
    <x v="1"/>
    <x v="4"/>
    <x v="110"/>
    <x v="2"/>
  </r>
  <r>
    <x v="1"/>
    <x v="5"/>
    <x v="457"/>
    <x v="2"/>
  </r>
  <r>
    <x v="1"/>
    <x v="6"/>
    <x v="458"/>
    <x v="2"/>
  </r>
  <r>
    <x v="1"/>
    <x v="7"/>
    <x v="459"/>
    <x v="2"/>
  </r>
  <r>
    <x v="1"/>
    <x v="8"/>
    <x v="23"/>
    <x v="2"/>
  </r>
  <r>
    <x v="1"/>
    <x v="9"/>
    <x v="460"/>
    <x v="2"/>
  </r>
  <r>
    <x v="1"/>
    <x v="10"/>
    <x v="461"/>
    <x v="2"/>
  </r>
  <r>
    <x v="1"/>
    <x v="11"/>
    <x v="462"/>
    <x v="2"/>
  </r>
  <r>
    <x v="1"/>
    <x v="12"/>
    <x v="463"/>
    <x v="2"/>
  </r>
  <r>
    <x v="1"/>
    <x v="13"/>
    <x v="464"/>
    <x v="2"/>
  </r>
  <r>
    <x v="1"/>
    <x v="14"/>
    <x v="465"/>
    <x v="2"/>
  </r>
  <r>
    <x v="1"/>
    <x v="15"/>
    <x v="466"/>
    <x v="2"/>
  </r>
  <r>
    <x v="1"/>
    <x v="16"/>
    <x v="467"/>
    <x v="2"/>
  </r>
  <r>
    <x v="2"/>
    <x v="0"/>
    <x v="32"/>
    <x v="2"/>
  </r>
  <r>
    <x v="2"/>
    <x v="1"/>
    <x v="1"/>
    <x v="2"/>
  </r>
  <r>
    <x v="2"/>
    <x v="2"/>
    <x v="468"/>
    <x v="2"/>
  </r>
  <r>
    <x v="2"/>
    <x v="3"/>
    <x v="469"/>
    <x v="2"/>
  </r>
  <r>
    <x v="2"/>
    <x v="4"/>
    <x v="292"/>
    <x v="2"/>
  </r>
  <r>
    <x v="2"/>
    <x v="5"/>
    <x v="470"/>
    <x v="2"/>
  </r>
  <r>
    <x v="2"/>
    <x v="6"/>
    <x v="471"/>
    <x v="2"/>
  </r>
  <r>
    <x v="2"/>
    <x v="7"/>
    <x v="472"/>
    <x v="2"/>
  </r>
  <r>
    <x v="2"/>
    <x v="8"/>
    <x v="39"/>
    <x v="2"/>
  </r>
  <r>
    <x v="2"/>
    <x v="9"/>
    <x v="473"/>
    <x v="2"/>
  </r>
  <r>
    <x v="2"/>
    <x v="10"/>
    <x v="474"/>
    <x v="2"/>
  </r>
  <r>
    <x v="2"/>
    <x v="11"/>
    <x v="475"/>
    <x v="2"/>
  </r>
  <r>
    <x v="2"/>
    <x v="12"/>
    <x v="476"/>
    <x v="2"/>
  </r>
  <r>
    <x v="2"/>
    <x v="13"/>
    <x v="477"/>
    <x v="2"/>
  </r>
  <r>
    <x v="2"/>
    <x v="14"/>
    <x v="478"/>
    <x v="2"/>
  </r>
  <r>
    <x v="2"/>
    <x v="15"/>
    <x v="479"/>
    <x v="2"/>
  </r>
  <r>
    <x v="2"/>
    <x v="16"/>
    <x v="480"/>
    <x v="2"/>
  </r>
  <r>
    <x v="3"/>
    <x v="0"/>
    <x v="32"/>
    <x v="2"/>
  </r>
  <r>
    <x v="3"/>
    <x v="1"/>
    <x v="1"/>
    <x v="2"/>
  </r>
  <r>
    <x v="3"/>
    <x v="2"/>
    <x v="481"/>
    <x v="2"/>
  </r>
  <r>
    <x v="3"/>
    <x v="3"/>
    <x v="482"/>
    <x v="2"/>
  </r>
  <r>
    <x v="3"/>
    <x v="4"/>
    <x v="50"/>
    <x v="2"/>
  </r>
  <r>
    <x v="3"/>
    <x v="5"/>
    <x v="483"/>
    <x v="2"/>
  </r>
  <r>
    <x v="3"/>
    <x v="6"/>
    <x v="251"/>
    <x v="2"/>
  </r>
  <r>
    <x v="3"/>
    <x v="7"/>
    <x v="484"/>
    <x v="2"/>
  </r>
  <r>
    <x v="3"/>
    <x v="8"/>
    <x v="54"/>
    <x v="2"/>
  </r>
  <r>
    <x v="3"/>
    <x v="9"/>
    <x v="485"/>
    <x v="2"/>
  </r>
  <r>
    <x v="3"/>
    <x v="10"/>
    <x v="486"/>
    <x v="2"/>
  </r>
  <r>
    <x v="3"/>
    <x v="11"/>
    <x v="487"/>
    <x v="2"/>
  </r>
  <r>
    <x v="3"/>
    <x v="12"/>
    <x v="488"/>
    <x v="2"/>
  </r>
  <r>
    <x v="3"/>
    <x v="13"/>
    <x v="489"/>
    <x v="2"/>
  </r>
  <r>
    <x v="3"/>
    <x v="14"/>
    <x v="490"/>
    <x v="2"/>
  </r>
  <r>
    <x v="3"/>
    <x v="15"/>
    <x v="491"/>
    <x v="2"/>
  </r>
  <r>
    <x v="3"/>
    <x v="16"/>
    <x v="492"/>
    <x v="2"/>
  </r>
  <r>
    <x v="4"/>
    <x v="0"/>
    <x v="0"/>
    <x v="2"/>
  </r>
  <r>
    <x v="4"/>
    <x v="1"/>
    <x v="1"/>
    <x v="2"/>
  </r>
  <r>
    <x v="4"/>
    <x v="2"/>
    <x v="493"/>
    <x v="2"/>
  </r>
  <r>
    <x v="4"/>
    <x v="3"/>
    <x v="443"/>
    <x v="2"/>
  </r>
  <r>
    <x v="4"/>
    <x v="4"/>
    <x v="110"/>
    <x v="2"/>
  </r>
  <r>
    <x v="4"/>
    <x v="5"/>
    <x v="494"/>
    <x v="2"/>
  </r>
  <r>
    <x v="4"/>
    <x v="6"/>
    <x v="495"/>
    <x v="2"/>
  </r>
  <r>
    <x v="4"/>
    <x v="7"/>
    <x v="459"/>
    <x v="2"/>
  </r>
  <r>
    <x v="4"/>
    <x v="8"/>
    <x v="69"/>
    <x v="2"/>
  </r>
  <r>
    <x v="4"/>
    <x v="9"/>
    <x v="496"/>
    <x v="2"/>
  </r>
  <r>
    <x v="4"/>
    <x v="10"/>
    <x v="497"/>
    <x v="2"/>
  </r>
  <r>
    <x v="4"/>
    <x v="11"/>
    <x v="498"/>
    <x v="2"/>
  </r>
  <r>
    <x v="4"/>
    <x v="12"/>
    <x v="499"/>
    <x v="2"/>
  </r>
  <r>
    <x v="4"/>
    <x v="13"/>
    <x v="500"/>
    <x v="2"/>
  </r>
  <r>
    <x v="4"/>
    <x v="14"/>
    <x v="501"/>
    <x v="2"/>
  </r>
  <r>
    <x v="4"/>
    <x v="15"/>
    <x v="502"/>
    <x v="2"/>
  </r>
  <r>
    <x v="4"/>
    <x v="16"/>
    <x v="503"/>
    <x v="2"/>
  </r>
  <r>
    <x v="5"/>
    <x v="0"/>
    <x v="0"/>
    <x v="2"/>
  </r>
  <r>
    <x v="5"/>
    <x v="1"/>
    <x v="1"/>
    <x v="2"/>
  </r>
  <r>
    <x v="5"/>
    <x v="2"/>
    <x v="504"/>
    <x v="2"/>
  </r>
  <r>
    <x v="5"/>
    <x v="3"/>
    <x v="505"/>
    <x v="2"/>
  </r>
  <r>
    <x v="5"/>
    <x v="4"/>
    <x v="50"/>
    <x v="2"/>
  </r>
  <r>
    <x v="5"/>
    <x v="5"/>
    <x v="506"/>
    <x v="2"/>
  </r>
  <r>
    <x v="5"/>
    <x v="6"/>
    <x v="507"/>
    <x v="2"/>
  </r>
  <r>
    <x v="5"/>
    <x v="7"/>
    <x v="508"/>
    <x v="2"/>
  </r>
  <r>
    <x v="5"/>
    <x v="8"/>
    <x v="84"/>
    <x v="2"/>
  </r>
  <r>
    <x v="5"/>
    <x v="9"/>
    <x v="509"/>
    <x v="2"/>
  </r>
  <r>
    <x v="5"/>
    <x v="10"/>
    <x v="510"/>
    <x v="2"/>
  </r>
  <r>
    <x v="5"/>
    <x v="11"/>
    <x v="511"/>
    <x v="2"/>
  </r>
  <r>
    <x v="5"/>
    <x v="12"/>
    <x v="512"/>
    <x v="2"/>
  </r>
  <r>
    <x v="5"/>
    <x v="13"/>
    <x v="513"/>
    <x v="2"/>
  </r>
  <r>
    <x v="5"/>
    <x v="14"/>
    <x v="514"/>
    <x v="2"/>
  </r>
  <r>
    <x v="5"/>
    <x v="15"/>
    <x v="515"/>
    <x v="2"/>
  </r>
  <r>
    <x v="5"/>
    <x v="16"/>
    <x v="516"/>
    <x v="2"/>
  </r>
  <r>
    <x v="6"/>
    <x v="0"/>
    <x v="32"/>
    <x v="2"/>
  </r>
  <r>
    <x v="6"/>
    <x v="1"/>
    <x v="1"/>
    <x v="2"/>
  </r>
  <r>
    <x v="6"/>
    <x v="2"/>
    <x v="517"/>
    <x v="2"/>
  </r>
  <r>
    <x v="6"/>
    <x v="3"/>
    <x v="518"/>
    <x v="2"/>
  </r>
  <r>
    <x v="6"/>
    <x v="4"/>
    <x v="110"/>
    <x v="2"/>
  </r>
  <r>
    <x v="6"/>
    <x v="5"/>
    <x v="519"/>
    <x v="2"/>
  </r>
  <r>
    <x v="6"/>
    <x v="6"/>
    <x v="520"/>
    <x v="2"/>
  </r>
  <r>
    <x v="6"/>
    <x v="7"/>
    <x v="521"/>
    <x v="2"/>
  </r>
  <r>
    <x v="6"/>
    <x v="8"/>
    <x v="98"/>
    <x v="2"/>
  </r>
  <r>
    <x v="6"/>
    <x v="9"/>
    <x v="522"/>
    <x v="2"/>
  </r>
  <r>
    <x v="6"/>
    <x v="10"/>
    <x v="523"/>
    <x v="2"/>
  </r>
  <r>
    <x v="6"/>
    <x v="11"/>
    <x v="524"/>
    <x v="2"/>
  </r>
  <r>
    <x v="6"/>
    <x v="12"/>
    <x v="525"/>
    <x v="2"/>
  </r>
  <r>
    <x v="6"/>
    <x v="13"/>
    <x v="526"/>
    <x v="2"/>
  </r>
  <r>
    <x v="6"/>
    <x v="14"/>
    <x v="527"/>
    <x v="2"/>
  </r>
  <r>
    <x v="6"/>
    <x v="15"/>
    <x v="528"/>
    <x v="2"/>
  </r>
  <r>
    <x v="6"/>
    <x v="16"/>
    <x v="529"/>
    <x v="2"/>
  </r>
  <r>
    <x v="7"/>
    <x v="0"/>
    <x v="32"/>
    <x v="2"/>
  </r>
  <r>
    <x v="7"/>
    <x v="1"/>
    <x v="107"/>
    <x v="2"/>
  </r>
  <r>
    <x v="7"/>
    <x v="2"/>
    <x v="530"/>
    <x v="2"/>
  </r>
  <r>
    <x v="7"/>
    <x v="3"/>
    <x v="267"/>
    <x v="2"/>
  </r>
  <r>
    <x v="7"/>
    <x v="4"/>
    <x v="531"/>
    <x v="2"/>
  </r>
  <r>
    <x v="7"/>
    <x v="5"/>
    <x v="532"/>
    <x v="2"/>
  </r>
  <r>
    <x v="7"/>
    <x v="6"/>
    <x v="533"/>
    <x v="2"/>
  </r>
  <r>
    <x v="7"/>
    <x v="7"/>
    <x v="534"/>
    <x v="2"/>
  </r>
  <r>
    <x v="7"/>
    <x v="8"/>
    <x v="114"/>
    <x v="2"/>
  </r>
  <r>
    <x v="7"/>
    <x v="9"/>
    <x v="535"/>
    <x v="2"/>
  </r>
  <r>
    <x v="7"/>
    <x v="10"/>
    <x v="536"/>
    <x v="2"/>
  </r>
  <r>
    <x v="7"/>
    <x v="11"/>
    <x v="537"/>
    <x v="2"/>
  </r>
  <r>
    <x v="7"/>
    <x v="12"/>
    <x v="538"/>
    <x v="2"/>
  </r>
  <r>
    <x v="7"/>
    <x v="13"/>
    <x v="539"/>
    <x v="2"/>
  </r>
  <r>
    <x v="7"/>
    <x v="14"/>
    <x v="540"/>
    <x v="2"/>
  </r>
  <r>
    <x v="7"/>
    <x v="15"/>
    <x v="541"/>
    <x v="2"/>
  </r>
  <r>
    <x v="7"/>
    <x v="16"/>
    <x v="542"/>
    <x v="2"/>
  </r>
  <r>
    <x v="8"/>
    <x v="0"/>
    <x v="0"/>
    <x v="2"/>
  </r>
  <r>
    <x v="8"/>
    <x v="1"/>
    <x v="107"/>
    <x v="2"/>
  </r>
  <r>
    <x v="8"/>
    <x v="2"/>
    <x v="543"/>
    <x v="2"/>
  </r>
  <r>
    <x v="8"/>
    <x v="3"/>
    <x v="266"/>
    <x v="2"/>
  </r>
  <r>
    <x v="8"/>
    <x v="4"/>
    <x v="195"/>
    <x v="2"/>
  </r>
  <r>
    <x v="8"/>
    <x v="5"/>
    <x v="544"/>
    <x v="2"/>
  </r>
  <r>
    <x v="8"/>
    <x v="6"/>
    <x v="545"/>
    <x v="2"/>
  </r>
  <r>
    <x v="8"/>
    <x v="7"/>
    <x v="155"/>
    <x v="2"/>
  </r>
  <r>
    <x v="8"/>
    <x v="8"/>
    <x v="129"/>
    <x v="2"/>
  </r>
  <r>
    <x v="8"/>
    <x v="9"/>
    <x v="546"/>
    <x v="2"/>
  </r>
  <r>
    <x v="8"/>
    <x v="10"/>
    <x v="547"/>
    <x v="2"/>
  </r>
  <r>
    <x v="8"/>
    <x v="11"/>
    <x v="548"/>
    <x v="2"/>
  </r>
  <r>
    <x v="8"/>
    <x v="12"/>
    <x v="549"/>
    <x v="2"/>
  </r>
  <r>
    <x v="8"/>
    <x v="13"/>
    <x v="550"/>
    <x v="2"/>
  </r>
  <r>
    <x v="8"/>
    <x v="14"/>
    <x v="551"/>
    <x v="2"/>
  </r>
  <r>
    <x v="8"/>
    <x v="15"/>
    <x v="552"/>
    <x v="2"/>
  </r>
  <r>
    <x v="8"/>
    <x v="16"/>
    <x v="553"/>
    <x v="2"/>
  </r>
  <r>
    <x v="9"/>
    <x v="0"/>
    <x v="0"/>
    <x v="2"/>
  </r>
  <r>
    <x v="9"/>
    <x v="1"/>
    <x v="107"/>
    <x v="2"/>
  </r>
  <r>
    <x v="9"/>
    <x v="2"/>
    <x v="554"/>
    <x v="2"/>
  </r>
  <r>
    <x v="9"/>
    <x v="3"/>
    <x v="555"/>
    <x v="2"/>
  </r>
  <r>
    <x v="9"/>
    <x v="4"/>
    <x v="380"/>
    <x v="2"/>
  </r>
  <r>
    <x v="9"/>
    <x v="5"/>
    <x v="556"/>
    <x v="2"/>
  </r>
  <r>
    <x v="9"/>
    <x v="6"/>
    <x v="557"/>
    <x v="2"/>
  </r>
  <r>
    <x v="9"/>
    <x v="7"/>
    <x v="558"/>
    <x v="2"/>
  </r>
  <r>
    <x v="9"/>
    <x v="8"/>
    <x v="142"/>
    <x v="2"/>
  </r>
  <r>
    <x v="9"/>
    <x v="9"/>
    <x v="559"/>
    <x v="2"/>
  </r>
  <r>
    <x v="9"/>
    <x v="10"/>
    <x v="560"/>
    <x v="2"/>
  </r>
  <r>
    <x v="9"/>
    <x v="11"/>
    <x v="561"/>
    <x v="2"/>
  </r>
  <r>
    <x v="9"/>
    <x v="12"/>
    <x v="562"/>
    <x v="2"/>
  </r>
  <r>
    <x v="9"/>
    <x v="13"/>
    <x v="563"/>
    <x v="2"/>
  </r>
  <r>
    <x v="9"/>
    <x v="14"/>
    <x v="564"/>
    <x v="2"/>
  </r>
  <r>
    <x v="9"/>
    <x v="15"/>
    <x v="565"/>
    <x v="2"/>
  </r>
  <r>
    <x v="9"/>
    <x v="16"/>
    <x v="566"/>
    <x v="2"/>
  </r>
  <r>
    <x v="10"/>
    <x v="0"/>
    <x v="0"/>
    <x v="2"/>
  </r>
  <r>
    <x v="10"/>
    <x v="1"/>
    <x v="107"/>
    <x v="2"/>
  </r>
  <r>
    <x v="10"/>
    <x v="2"/>
    <x v="567"/>
    <x v="2"/>
  </r>
  <r>
    <x v="10"/>
    <x v="3"/>
    <x v="568"/>
    <x v="2"/>
  </r>
  <r>
    <x v="10"/>
    <x v="4"/>
    <x v="35"/>
    <x v="2"/>
  </r>
  <r>
    <x v="10"/>
    <x v="5"/>
    <x v="569"/>
    <x v="2"/>
  </r>
  <r>
    <x v="10"/>
    <x v="6"/>
    <x v="570"/>
    <x v="2"/>
  </r>
  <r>
    <x v="10"/>
    <x v="7"/>
    <x v="571"/>
    <x v="2"/>
  </r>
  <r>
    <x v="10"/>
    <x v="8"/>
    <x v="156"/>
    <x v="2"/>
  </r>
  <r>
    <x v="10"/>
    <x v="9"/>
    <x v="572"/>
    <x v="2"/>
  </r>
  <r>
    <x v="10"/>
    <x v="10"/>
    <x v="573"/>
    <x v="2"/>
  </r>
  <r>
    <x v="10"/>
    <x v="11"/>
    <x v="574"/>
    <x v="2"/>
  </r>
  <r>
    <x v="10"/>
    <x v="12"/>
    <x v="575"/>
    <x v="2"/>
  </r>
  <r>
    <x v="10"/>
    <x v="13"/>
    <x v="576"/>
    <x v="2"/>
  </r>
  <r>
    <x v="10"/>
    <x v="14"/>
    <x v="577"/>
    <x v="2"/>
  </r>
  <r>
    <x v="10"/>
    <x v="15"/>
    <x v="578"/>
    <x v="2"/>
  </r>
  <r>
    <x v="10"/>
    <x v="16"/>
    <x v="579"/>
    <x v="2"/>
  </r>
  <r>
    <x v="11"/>
    <x v="0"/>
    <x v="32"/>
    <x v="2"/>
  </r>
  <r>
    <x v="11"/>
    <x v="1"/>
    <x v="107"/>
    <x v="2"/>
  </r>
  <r>
    <x v="11"/>
    <x v="2"/>
    <x v="580"/>
    <x v="2"/>
  </r>
  <r>
    <x v="11"/>
    <x v="3"/>
    <x v="581"/>
    <x v="2"/>
  </r>
  <r>
    <x v="11"/>
    <x v="4"/>
    <x v="330"/>
    <x v="2"/>
  </r>
  <r>
    <x v="11"/>
    <x v="5"/>
    <x v="582"/>
    <x v="2"/>
  </r>
  <r>
    <x v="11"/>
    <x v="6"/>
    <x v="306"/>
    <x v="2"/>
  </r>
  <r>
    <x v="11"/>
    <x v="7"/>
    <x v="583"/>
    <x v="2"/>
  </r>
  <r>
    <x v="11"/>
    <x v="8"/>
    <x v="171"/>
    <x v="2"/>
  </r>
  <r>
    <x v="11"/>
    <x v="9"/>
    <x v="584"/>
    <x v="2"/>
  </r>
  <r>
    <x v="11"/>
    <x v="10"/>
    <x v="585"/>
    <x v="2"/>
  </r>
  <r>
    <x v="11"/>
    <x v="11"/>
    <x v="586"/>
    <x v="2"/>
  </r>
  <r>
    <x v="11"/>
    <x v="12"/>
    <x v="587"/>
    <x v="2"/>
  </r>
  <r>
    <x v="11"/>
    <x v="13"/>
    <x v="588"/>
    <x v="2"/>
  </r>
  <r>
    <x v="11"/>
    <x v="14"/>
    <x v="589"/>
    <x v="2"/>
  </r>
  <r>
    <x v="11"/>
    <x v="15"/>
    <x v="590"/>
    <x v="2"/>
  </r>
  <r>
    <x v="11"/>
    <x v="16"/>
    <x v="591"/>
    <x v="2"/>
  </r>
  <r>
    <x v="12"/>
    <x v="0"/>
    <x v="32"/>
    <x v="2"/>
  </r>
  <r>
    <x v="12"/>
    <x v="1"/>
    <x v="107"/>
    <x v="2"/>
  </r>
  <r>
    <x v="12"/>
    <x v="2"/>
    <x v="592"/>
    <x v="2"/>
  </r>
  <r>
    <x v="12"/>
    <x v="3"/>
    <x v="6"/>
    <x v="2"/>
  </r>
  <r>
    <x v="12"/>
    <x v="4"/>
    <x v="65"/>
    <x v="2"/>
  </r>
  <r>
    <x v="12"/>
    <x v="5"/>
    <x v="593"/>
    <x v="2"/>
  </r>
  <r>
    <x v="12"/>
    <x v="6"/>
    <x v="166"/>
    <x v="2"/>
  </r>
  <r>
    <x v="12"/>
    <x v="7"/>
    <x v="443"/>
    <x v="2"/>
  </r>
  <r>
    <x v="12"/>
    <x v="8"/>
    <x v="185"/>
    <x v="2"/>
  </r>
  <r>
    <x v="12"/>
    <x v="9"/>
    <x v="594"/>
    <x v="2"/>
  </r>
  <r>
    <x v="12"/>
    <x v="10"/>
    <x v="595"/>
    <x v="2"/>
  </r>
  <r>
    <x v="12"/>
    <x v="11"/>
    <x v="596"/>
    <x v="2"/>
  </r>
  <r>
    <x v="12"/>
    <x v="12"/>
    <x v="597"/>
    <x v="2"/>
  </r>
  <r>
    <x v="12"/>
    <x v="13"/>
    <x v="598"/>
    <x v="2"/>
  </r>
  <r>
    <x v="12"/>
    <x v="14"/>
    <x v="599"/>
    <x v="2"/>
  </r>
  <r>
    <x v="12"/>
    <x v="15"/>
    <x v="600"/>
    <x v="2"/>
  </r>
  <r>
    <x v="12"/>
    <x v="16"/>
    <x v="601"/>
    <x v="2"/>
  </r>
  <r>
    <x v="13"/>
    <x v="0"/>
    <x v="0"/>
    <x v="2"/>
  </r>
  <r>
    <x v="13"/>
    <x v="1"/>
    <x v="107"/>
    <x v="2"/>
  </r>
  <r>
    <x v="13"/>
    <x v="2"/>
    <x v="602"/>
    <x v="2"/>
  </r>
  <r>
    <x v="13"/>
    <x v="3"/>
    <x v="603"/>
    <x v="2"/>
  </r>
  <r>
    <x v="13"/>
    <x v="4"/>
    <x v="98"/>
    <x v="2"/>
  </r>
  <r>
    <x v="13"/>
    <x v="5"/>
    <x v="604"/>
    <x v="2"/>
  </r>
  <r>
    <x v="13"/>
    <x v="6"/>
    <x v="605"/>
    <x v="2"/>
  </r>
  <r>
    <x v="13"/>
    <x v="7"/>
    <x v="606"/>
    <x v="2"/>
  </r>
  <r>
    <x v="13"/>
    <x v="8"/>
    <x v="199"/>
    <x v="2"/>
  </r>
  <r>
    <x v="13"/>
    <x v="9"/>
    <x v="607"/>
    <x v="2"/>
  </r>
  <r>
    <x v="13"/>
    <x v="10"/>
    <x v="608"/>
    <x v="2"/>
  </r>
  <r>
    <x v="13"/>
    <x v="11"/>
    <x v="609"/>
    <x v="2"/>
  </r>
  <r>
    <x v="13"/>
    <x v="12"/>
    <x v="610"/>
    <x v="2"/>
  </r>
  <r>
    <x v="13"/>
    <x v="13"/>
    <x v="611"/>
    <x v="2"/>
  </r>
  <r>
    <x v="13"/>
    <x v="14"/>
    <x v="612"/>
    <x v="2"/>
  </r>
  <r>
    <x v="13"/>
    <x v="15"/>
    <x v="613"/>
    <x v="2"/>
  </r>
  <r>
    <x v="13"/>
    <x v="16"/>
    <x v="614"/>
    <x v="2"/>
  </r>
  <r>
    <x v="14"/>
    <x v="0"/>
    <x v="32"/>
    <x v="2"/>
  </r>
  <r>
    <x v="14"/>
    <x v="1"/>
    <x v="107"/>
    <x v="2"/>
  </r>
  <r>
    <x v="14"/>
    <x v="2"/>
    <x v="615"/>
    <x v="2"/>
  </r>
  <r>
    <x v="14"/>
    <x v="3"/>
    <x v="370"/>
    <x v="2"/>
  </r>
  <r>
    <x v="14"/>
    <x v="4"/>
    <x v="19"/>
    <x v="2"/>
  </r>
  <r>
    <x v="14"/>
    <x v="5"/>
    <x v="616"/>
    <x v="2"/>
  </r>
  <r>
    <x v="14"/>
    <x v="6"/>
    <x v="68"/>
    <x v="2"/>
  </r>
  <r>
    <x v="14"/>
    <x v="7"/>
    <x v="617"/>
    <x v="2"/>
  </r>
  <r>
    <x v="14"/>
    <x v="8"/>
    <x v="213"/>
    <x v="2"/>
  </r>
  <r>
    <x v="14"/>
    <x v="9"/>
    <x v="618"/>
    <x v="2"/>
  </r>
  <r>
    <x v="14"/>
    <x v="10"/>
    <x v="619"/>
    <x v="2"/>
  </r>
  <r>
    <x v="14"/>
    <x v="11"/>
    <x v="620"/>
    <x v="2"/>
  </r>
  <r>
    <x v="14"/>
    <x v="12"/>
    <x v="621"/>
    <x v="2"/>
  </r>
  <r>
    <x v="14"/>
    <x v="13"/>
    <x v="622"/>
    <x v="2"/>
  </r>
  <r>
    <x v="14"/>
    <x v="14"/>
    <x v="623"/>
    <x v="2"/>
  </r>
  <r>
    <x v="14"/>
    <x v="15"/>
    <x v="624"/>
    <x v="2"/>
  </r>
  <r>
    <x v="14"/>
    <x v="16"/>
    <x v="625"/>
    <x v="2"/>
  </r>
  <r>
    <x v="15"/>
    <x v="0"/>
    <x v="0"/>
    <x v="2"/>
  </r>
  <r>
    <x v="15"/>
    <x v="1"/>
    <x v="107"/>
    <x v="2"/>
  </r>
  <r>
    <x v="15"/>
    <x v="2"/>
    <x v="626"/>
    <x v="2"/>
  </r>
  <r>
    <x v="15"/>
    <x v="3"/>
    <x v="473"/>
    <x v="2"/>
  </r>
  <r>
    <x v="15"/>
    <x v="4"/>
    <x v="167"/>
    <x v="2"/>
  </r>
  <r>
    <x v="15"/>
    <x v="5"/>
    <x v="627"/>
    <x v="2"/>
  </r>
  <r>
    <x v="15"/>
    <x v="6"/>
    <x v="628"/>
    <x v="2"/>
  </r>
  <r>
    <x v="15"/>
    <x v="7"/>
    <x v="629"/>
    <x v="2"/>
  </r>
  <r>
    <x v="15"/>
    <x v="8"/>
    <x v="228"/>
    <x v="2"/>
  </r>
  <r>
    <x v="15"/>
    <x v="9"/>
    <x v="630"/>
    <x v="2"/>
  </r>
  <r>
    <x v="15"/>
    <x v="10"/>
    <x v="18"/>
    <x v="2"/>
  </r>
  <r>
    <x v="15"/>
    <x v="11"/>
    <x v="631"/>
    <x v="2"/>
  </r>
  <r>
    <x v="15"/>
    <x v="12"/>
    <x v="632"/>
    <x v="2"/>
  </r>
  <r>
    <x v="15"/>
    <x v="13"/>
    <x v="633"/>
    <x v="2"/>
  </r>
  <r>
    <x v="15"/>
    <x v="14"/>
    <x v="634"/>
    <x v="2"/>
  </r>
  <r>
    <x v="15"/>
    <x v="15"/>
    <x v="635"/>
    <x v="2"/>
  </r>
  <r>
    <x v="15"/>
    <x v="16"/>
    <x v="636"/>
    <x v="2"/>
  </r>
  <r>
    <x v="0"/>
    <x v="0"/>
    <x v="0"/>
    <x v="3"/>
  </r>
  <r>
    <x v="0"/>
    <x v="1"/>
    <x v="1"/>
    <x v="3"/>
  </r>
  <r>
    <x v="0"/>
    <x v="2"/>
    <x v="637"/>
    <x v="3"/>
  </r>
  <r>
    <x v="0"/>
    <x v="3"/>
    <x v="83"/>
    <x v="3"/>
  </r>
  <r>
    <x v="0"/>
    <x v="4"/>
    <x v="95"/>
    <x v="3"/>
  </r>
  <r>
    <x v="0"/>
    <x v="5"/>
    <x v="638"/>
    <x v="3"/>
  </r>
  <r>
    <x v="0"/>
    <x v="6"/>
    <x v="639"/>
    <x v="3"/>
  </r>
  <r>
    <x v="0"/>
    <x v="7"/>
    <x v="640"/>
    <x v="3"/>
  </r>
  <r>
    <x v="0"/>
    <x v="8"/>
    <x v="8"/>
    <x v="3"/>
  </r>
  <r>
    <x v="0"/>
    <x v="9"/>
    <x v="641"/>
    <x v="3"/>
  </r>
  <r>
    <x v="0"/>
    <x v="10"/>
    <x v="642"/>
    <x v="3"/>
  </r>
  <r>
    <x v="0"/>
    <x v="11"/>
    <x v="643"/>
    <x v="3"/>
  </r>
  <r>
    <x v="0"/>
    <x v="12"/>
    <x v="644"/>
    <x v="3"/>
  </r>
  <r>
    <x v="0"/>
    <x v="13"/>
    <x v="645"/>
    <x v="3"/>
  </r>
  <r>
    <x v="0"/>
    <x v="14"/>
    <x v="646"/>
    <x v="3"/>
  </r>
  <r>
    <x v="0"/>
    <x v="15"/>
    <x v="647"/>
    <x v="3"/>
  </r>
  <r>
    <x v="0"/>
    <x v="16"/>
    <x v="648"/>
    <x v="3"/>
  </r>
  <r>
    <x v="8"/>
    <x v="0"/>
    <x v="0"/>
    <x v="3"/>
  </r>
  <r>
    <x v="8"/>
    <x v="1"/>
    <x v="107"/>
    <x v="3"/>
  </r>
  <r>
    <x v="8"/>
    <x v="2"/>
    <x v="649"/>
    <x v="3"/>
  </r>
  <r>
    <x v="8"/>
    <x v="3"/>
    <x v="650"/>
    <x v="3"/>
  </r>
  <r>
    <x v="8"/>
    <x v="4"/>
    <x v="651"/>
    <x v="3"/>
  </r>
  <r>
    <x v="8"/>
    <x v="5"/>
    <x v="652"/>
    <x v="3"/>
  </r>
  <r>
    <x v="8"/>
    <x v="6"/>
    <x v="267"/>
    <x v="3"/>
  </r>
  <r>
    <x v="8"/>
    <x v="7"/>
    <x v="21"/>
    <x v="3"/>
  </r>
  <r>
    <x v="8"/>
    <x v="8"/>
    <x v="23"/>
    <x v="3"/>
  </r>
  <r>
    <x v="8"/>
    <x v="9"/>
    <x v="653"/>
    <x v="3"/>
  </r>
  <r>
    <x v="8"/>
    <x v="10"/>
    <x v="654"/>
    <x v="3"/>
  </r>
  <r>
    <x v="8"/>
    <x v="11"/>
    <x v="655"/>
    <x v="3"/>
  </r>
  <r>
    <x v="8"/>
    <x v="12"/>
    <x v="656"/>
    <x v="3"/>
  </r>
  <r>
    <x v="8"/>
    <x v="13"/>
    <x v="657"/>
    <x v="3"/>
  </r>
  <r>
    <x v="8"/>
    <x v="14"/>
    <x v="658"/>
    <x v="3"/>
  </r>
  <r>
    <x v="8"/>
    <x v="15"/>
    <x v="659"/>
    <x v="3"/>
  </r>
  <r>
    <x v="8"/>
    <x v="16"/>
    <x v="660"/>
    <x v="3"/>
  </r>
  <r>
    <x v="2"/>
    <x v="0"/>
    <x v="32"/>
    <x v="3"/>
  </r>
  <r>
    <x v="2"/>
    <x v="1"/>
    <x v="1"/>
    <x v="3"/>
  </r>
  <r>
    <x v="2"/>
    <x v="2"/>
    <x v="661"/>
    <x v="3"/>
  </r>
  <r>
    <x v="2"/>
    <x v="3"/>
    <x v="662"/>
    <x v="3"/>
  </r>
  <r>
    <x v="2"/>
    <x v="4"/>
    <x v="125"/>
    <x v="3"/>
  </r>
  <r>
    <x v="2"/>
    <x v="5"/>
    <x v="663"/>
    <x v="3"/>
  </r>
  <r>
    <x v="2"/>
    <x v="6"/>
    <x v="664"/>
    <x v="3"/>
  </r>
  <r>
    <x v="2"/>
    <x v="7"/>
    <x v="570"/>
    <x v="3"/>
  </r>
  <r>
    <x v="2"/>
    <x v="8"/>
    <x v="39"/>
    <x v="3"/>
  </r>
  <r>
    <x v="2"/>
    <x v="9"/>
    <x v="665"/>
    <x v="3"/>
  </r>
  <r>
    <x v="2"/>
    <x v="10"/>
    <x v="666"/>
    <x v="3"/>
  </r>
  <r>
    <x v="2"/>
    <x v="11"/>
    <x v="667"/>
    <x v="3"/>
  </r>
  <r>
    <x v="2"/>
    <x v="12"/>
    <x v="668"/>
    <x v="3"/>
  </r>
  <r>
    <x v="2"/>
    <x v="13"/>
    <x v="669"/>
    <x v="3"/>
  </r>
  <r>
    <x v="2"/>
    <x v="14"/>
    <x v="670"/>
    <x v="3"/>
  </r>
  <r>
    <x v="2"/>
    <x v="15"/>
    <x v="671"/>
    <x v="3"/>
  </r>
  <r>
    <x v="2"/>
    <x v="16"/>
    <x v="672"/>
    <x v="3"/>
  </r>
  <r>
    <x v="3"/>
    <x v="0"/>
    <x v="32"/>
    <x v="3"/>
  </r>
  <r>
    <x v="3"/>
    <x v="1"/>
    <x v="1"/>
    <x v="3"/>
  </r>
  <r>
    <x v="3"/>
    <x v="2"/>
    <x v="673"/>
    <x v="3"/>
  </r>
  <r>
    <x v="3"/>
    <x v="3"/>
    <x v="674"/>
    <x v="3"/>
  </r>
  <r>
    <x v="3"/>
    <x v="4"/>
    <x v="167"/>
    <x v="3"/>
  </r>
  <r>
    <x v="3"/>
    <x v="5"/>
    <x v="675"/>
    <x v="3"/>
  </r>
  <r>
    <x v="3"/>
    <x v="6"/>
    <x v="676"/>
    <x v="3"/>
  </r>
  <r>
    <x v="3"/>
    <x v="7"/>
    <x v="6"/>
    <x v="3"/>
  </r>
  <r>
    <x v="3"/>
    <x v="8"/>
    <x v="54"/>
    <x v="3"/>
  </r>
  <r>
    <x v="3"/>
    <x v="9"/>
    <x v="677"/>
    <x v="3"/>
  </r>
  <r>
    <x v="3"/>
    <x v="10"/>
    <x v="678"/>
    <x v="3"/>
  </r>
  <r>
    <x v="3"/>
    <x v="11"/>
    <x v="449"/>
    <x v="3"/>
  </r>
  <r>
    <x v="3"/>
    <x v="12"/>
    <x v="679"/>
    <x v="3"/>
  </r>
  <r>
    <x v="3"/>
    <x v="13"/>
    <x v="680"/>
    <x v="3"/>
  </r>
  <r>
    <x v="3"/>
    <x v="14"/>
    <x v="681"/>
    <x v="3"/>
  </r>
  <r>
    <x v="3"/>
    <x v="15"/>
    <x v="682"/>
    <x v="3"/>
  </r>
  <r>
    <x v="3"/>
    <x v="16"/>
    <x v="683"/>
    <x v="3"/>
  </r>
  <r>
    <x v="4"/>
    <x v="0"/>
    <x v="0"/>
    <x v="3"/>
  </r>
  <r>
    <x v="4"/>
    <x v="1"/>
    <x v="1"/>
    <x v="3"/>
  </r>
  <r>
    <x v="4"/>
    <x v="2"/>
    <x v="684"/>
    <x v="3"/>
  </r>
  <r>
    <x v="4"/>
    <x v="3"/>
    <x v="685"/>
    <x v="3"/>
  </r>
  <r>
    <x v="4"/>
    <x v="4"/>
    <x v="195"/>
    <x v="3"/>
  </r>
  <r>
    <x v="4"/>
    <x v="5"/>
    <x v="139"/>
    <x v="3"/>
  </r>
  <r>
    <x v="4"/>
    <x v="6"/>
    <x v="686"/>
    <x v="3"/>
  </r>
  <r>
    <x v="4"/>
    <x v="7"/>
    <x v="35"/>
    <x v="3"/>
  </r>
  <r>
    <x v="4"/>
    <x v="8"/>
    <x v="69"/>
    <x v="3"/>
  </r>
  <r>
    <x v="4"/>
    <x v="9"/>
    <x v="687"/>
    <x v="3"/>
  </r>
  <r>
    <x v="4"/>
    <x v="10"/>
    <x v="688"/>
    <x v="3"/>
  </r>
  <r>
    <x v="4"/>
    <x v="11"/>
    <x v="689"/>
    <x v="3"/>
  </r>
  <r>
    <x v="4"/>
    <x v="12"/>
    <x v="380"/>
    <x v="3"/>
  </r>
  <r>
    <x v="4"/>
    <x v="13"/>
    <x v="690"/>
    <x v="3"/>
  </r>
  <r>
    <x v="4"/>
    <x v="14"/>
    <x v="691"/>
    <x v="3"/>
  </r>
  <r>
    <x v="4"/>
    <x v="15"/>
    <x v="692"/>
    <x v="3"/>
  </r>
  <r>
    <x v="4"/>
    <x v="16"/>
    <x v="693"/>
    <x v="3"/>
  </r>
  <r>
    <x v="5"/>
    <x v="0"/>
    <x v="0"/>
    <x v="3"/>
  </r>
  <r>
    <x v="5"/>
    <x v="1"/>
    <x v="1"/>
    <x v="3"/>
  </r>
  <r>
    <x v="5"/>
    <x v="2"/>
    <x v="694"/>
    <x v="3"/>
  </r>
  <r>
    <x v="5"/>
    <x v="3"/>
    <x v="695"/>
    <x v="3"/>
  </r>
  <r>
    <x v="5"/>
    <x v="4"/>
    <x v="98"/>
    <x v="3"/>
  </r>
  <r>
    <x v="5"/>
    <x v="5"/>
    <x v="696"/>
    <x v="3"/>
  </r>
  <r>
    <x v="5"/>
    <x v="6"/>
    <x v="697"/>
    <x v="3"/>
  </r>
  <r>
    <x v="5"/>
    <x v="7"/>
    <x v="471"/>
    <x v="3"/>
  </r>
  <r>
    <x v="5"/>
    <x v="8"/>
    <x v="84"/>
    <x v="3"/>
  </r>
  <r>
    <x v="5"/>
    <x v="9"/>
    <x v="698"/>
    <x v="3"/>
  </r>
  <r>
    <x v="5"/>
    <x v="10"/>
    <x v="699"/>
    <x v="3"/>
  </r>
  <r>
    <x v="5"/>
    <x v="11"/>
    <x v="700"/>
    <x v="3"/>
  </r>
  <r>
    <x v="5"/>
    <x v="12"/>
    <x v="701"/>
    <x v="3"/>
  </r>
  <r>
    <x v="5"/>
    <x v="13"/>
    <x v="702"/>
    <x v="3"/>
  </r>
  <r>
    <x v="5"/>
    <x v="14"/>
    <x v="703"/>
    <x v="3"/>
  </r>
  <r>
    <x v="5"/>
    <x v="15"/>
    <x v="704"/>
    <x v="3"/>
  </r>
  <r>
    <x v="5"/>
    <x v="16"/>
    <x v="705"/>
    <x v="3"/>
  </r>
  <r>
    <x v="6"/>
    <x v="0"/>
    <x v="32"/>
    <x v="3"/>
  </r>
  <r>
    <x v="6"/>
    <x v="1"/>
    <x v="1"/>
    <x v="3"/>
  </r>
  <r>
    <x v="6"/>
    <x v="2"/>
    <x v="602"/>
    <x v="3"/>
  </r>
  <r>
    <x v="6"/>
    <x v="3"/>
    <x v="79"/>
    <x v="3"/>
  </r>
  <r>
    <x v="6"/>
    <x v="4"/>
    <x v="95"/>
    <x v="3"/>
  </r>
  <r>
    <x v="6"/>
    <x v="5"/>
    <x v="706"/>
    <x v="3"/>
  </r>
  <r>
    <x v="6"/>
    <x v="6"/>
    <x v="707"/>
    <x v="3"/>
  </r>
  <r>
    <x v="6"/>
    <x v="7"/>
    <x v="82"/>
    <x v="3"/>
  </r>
  <r>
    <x v="6"/>
    <x v="8"/>
    <x v="98"/>
    <x v="3"/>
  </r>
  <r>
    <x v="6"/>
    <x v="9"/>
    <x v="708"/>
    <x v="3"/>
  </r>
  <r>
    <x v="6"/>
    <x v="10"/>
    <x v="709"/>
    <x v="3"/>
  </r>
  <r>
    <x v="6"/>
    <x v="11"/>
    <x v="710"/>
    <x v="3"/>
  </r>
  <r>
    <x v="6"/>
    <x v="12"/>
    <x v="711"/>
    <x v="3"/>
  </r>
  <r>
    <x v="6"/>
    <x v="13"/>
    <x v="712"/>
    <x v="3"/>
  </r>
  <r>
    <x v="6"/>
    <x v="14"/>
    <x v="691"/>
    <x v="3"/>
  </r>
  <r>
    <x v="6"/>
    <x v="15"/>
    <x v="713"/>
    <x v="3"/>
  </r>
  <r>
    <x v="6"/>
    <x v="16"/>
    <x v="714"/>
    <x v="3"/>
  </r>
  <r>
    <x v="1"/>
    <x v="0"/>
    <x v="0"/>
    <x v="3"/>
  </r>
  <r>
    <x v="1"/>
    <x v="1"/>
    <x v="1"/>
    <x v="3"/>
  </r>
  <r>
    <x v="1"/>
    <x v="2"/>
    <x v="715"/>
    <x v="3"/>
  </r>
  <r>
    <x v="1"/>
    <x v="3"/>
    <x v="292"/>
    <x v="3"/>
  </r>
  <r>
    <x v="1"/>
    <x v="4"/>
    <x v="304"/>
    <x v="3"/>
  </r>
  <r>
    <x v="1"/>
    <x v="5"/>
    <x v="716"/>
    <x v="3"/>
  </r>
  <r>
    <x v="1"/>
    <x v="6"/>
    <x v="570"/>
    <x v="3"/>
  </r>
  <r>
    <x v="1"/>
    <x v="7"/>
    <x v="555"/>
    <x v="3"/>
  </r>
  <r>
    <x v="1"/>
    <x v="8"/>
    <x v="114"/>
    <x v="3"/>
  </r>
  <r>
    <x v="1"/>
    <x v="9"/>
    <x v="717"/>
    <x v="3"/>
  </r>
  <r>
    <x v="1"/>
    <x v="10"/>
    <x v="718"/>
    <x v="3"/>
  </r>
  <r>
    <x v="1"/>
    <x v="11"/>
    <x v="586"/>
    <x v="3"/>
  </r>
  <r>
    <x v="1"/>
    <x v="12"/>
    <x v="719"/>
    <x v="3"/>
  </r>
  <r>
    <x v="1"/>
    <x v="13"/>
    <x v="720"/>
    <x v="3"/>
  </r>
  <r>
    <x v="1"/>
    <x v="14"/>
    <x v="721"/>
    <x v="3"/>
  </r>
  <r>
    <x v="1"/>
    <x v="15"/>
    <x v="722"/>
    <x v="3"/>
  </r>
  <r>
    <x v="1"/>
    <x v="16"/>
    <x v="723"/>
    <x v="3"/>
  </r>
  <r>
    <x v="9"/>
    <x v="0"/>
    <x v="0"/>
    <x v="3"/>
  </r>
  <r>
    <x v="9"/>
    <x v="1"/>
    <x v="107"/>
    <x v="3"/>
  </r>
  <r>
    <x v="9"/>
    <x v="2"/>
    <x v="724"/>
    <x v="3"/>
  </r>
  <r>
    <x v="9"/>
    <x v="3"/>
    <x v="184"/>
    <x v="3"/>
  </r>
  <r>
    <x v="9"/>
    <x v="4"/>
    <x v="195"/>
    <x v="3"/>
  </r>
  <r>
    <x v="9"/>
    <x v="5"/>
    <x v="725"/>
    <x v="3"/>
  </r>
  <r>
    <x v="9"/>
    <x v="6"/>
    <x v="726"/>
    <x v="3"/>
  </r>
  <r>
    <x v="9"/>
    <x v="7"/>
    <x v="557"/>
    <x v="3"/>
  </r>
  <r>
    <x v="9"/>
    <x v="8"/>
    <x v="129"/>
    <x v="3"/>
  </r>
  <r>
    <x v="9"/>
    <x v="9"/>
    <x v="727"/>
    <x v="3"/>
  </r>
  <r>
    <x v="9"/>
    <x v="10"/>
    <x v="728"/>
    <x v="3"/>
  </r>
  <r>
    <x v="9"/>
    <x v="11"/>
    <x v="729"/>
    <x v="3"/>
  </r>
  <r>
    <x v="9"/>
    <x v="12"/>
    <x v="730"/>
    <x v="3"/>
  </r>
  <r>
    <x v="9"/>
    <x v="13"/>
    <x v="731"/>
    <x v="3"/>
  </r>
  <r>
    <x v="9"/>
    <x v="14"/>
    <x v="732"/>
    <x v="3"/>
  </r>
  <r>
    <x v="9"/>
    <x v="15"/>
    <x v="733"/>
    <x v="3"/>
  </r>
  <r>
    <x v="9"/>
    <x v="16"/>
    <x v="734"/>
    <x v="3"/>
  </r>
  <r>
    <x v="13"/>
    <x v="0"/>
    <x v="0"/>
    <x v="3"/>
  </r>
  <r>
    <x v="13"/>
    <x v="1"/>
    <x v="107"/>
    <x v="3"/>
  </r>
  <r>
    <x v="13"/>
    <x v="2"/>
    <x v="735"/>
    <x v="3"/>
  </r>
  <r>
    <x v="13"/>
    <x v="3"/>
    <x v="605"/>
    <x v="3"/>
  </r>
  <r>
    <x v="13"/>
    <x v="4"/>
    <x v="736"/>
    <x v="3"/>
  </r>
  <r>
    <x v="13"/>
    <x v="5"/>
    <x v="737"/>
    <x v="3"/>
  </r>
  <r>
    <x v="13"/>
    <x v="6"/>
    <x v="738"/>
    <x v="3"/>
  </r>
  <r>
    <x v="13"/>
    <x v="7"/>
    <x v="739"/>
    <x v="3"/>
  </r>
  <r>
    <x v="13"/>
    <x v="8"/>
    <x v="142"/>
    <x v="3"/>
  </r>
  <r>
    <x v="13"/>
    <x v="9"/>
    <x v="740"/>
    <x v="3"/>
  </r>
  <r>
    <x v="13"/>
    <x v="10"/>
    <x v="741"/>
    <x v="3"/>
  </r>
  <r>
    <x v="13"/>
    <x v="11"/>
    <x v="742"/>
    <x v="3"/>
  </r>
  <r>
    <x v="13"/>
    <x v="12"/>
    <x v="743"/>
    <x v="3"/>
  </r>
  <r>
    <x v="13"/>
    <x v="13"/>
    <x v="744"/>
    <x v="3"/>
  </r>
  <r>
    <x v="13"/>
    <x v="14"/>
    <x v="745"/>
    <x v="3"/>
  </r>
  <r>
    <x v="13"/>
    <x v="15"/>
    <x v="746"/>
    <x v="3"/>
  </r>
  <r>
    <x v="13"/>
    <x v="16"/>
    <x v="747"/>
    <x v="3"/>
  </r>
  <r>
    <x v="10"/>
    <x v="0"/>
    <x v="0"/>
    <x v="3"/>
  </r>
  <r>
    <x v="10"/>
    <x v="1"/>
    <x v="107"/>
    <x v="3"/>
  </r>
  <r>
    <x v="10"/>
    <x v="2"/>
    <x v="429"/>
    <x v="3"/>
  </r>
  <r>
    <x v="10"/>
    <x v="3"/>
    <x v="748"/>
    <x v="3"/>
  </r>
  <r>
    <x v="10"/>
    <x v="4"/>
    <x v="65"/>
    <x v="3"/>
  </r>
  <r>
    <x v="10"/>
    <x v="5"/>
    <x v="749"/>
    <x v="3"/>
  </r>
  <r>
    <x v="10"/>
    <x v="6"/>
    <x v="750"/>
    <x v="3"/>
  </r>
  <r>
    <x v="10"/>
    <x v="7"/>
    <x v="267"/>
    <x v="3"/>
  </r>
  <r>
    <x v="10"/>
    <x v="8"/>
    <x v="156"/>
    <x v="3"/>
  </r>
  <r>
    <x v="10"/>
    <x v="9"/>
    <x v="751"/>
    <x v="3"/>
  </r>
  <r>
    <x v="10"/>
    <x v="10"/>
    <x v="752"/>
    <x v="3"/>
  </r>
  <r>
    <x v="10"/>
    <x v="11"/>
    <x v="753"/>
    <x v="3"/>
  </r>
  <r>
    <x v="10"/>
    <x v="12"/>
    <x v="754"/>
    <x v="3"/>
  </r>
  <r>
    <x v="10"/>
    <x v="13"/>
    <x v="755"/>
    <x v="3"/>
  </r>
  <r>
    <x v="10"/>
    <x v="14"/>
    <x v="756"/>
    <x v="3"/>
  </r>
  <r>
    <x v="10"/>
    <x v="15"/>
    <x v="757"/>
    <x v="3"/>
  </r>
  <r>
    <x v="10"/>
    <x v="16"/>
    <x v="758"/>
    <x v="3"/>
  </r>
  <r>
    <x v="11"/>
    <x v="0"/>
    <x v="32"/>
    <x v="3"/>
  </r>
  <r>
    <x v="11"/>
    <x v="1"/>
    <x v="107"/>
    <x v="3"/>
  </r>
  <r>
    <x v="11"/>
    <x v="2"/>
    <x v="759"/>
    <x v="3"/>
  </r>
  <r>
    <x v="11"/>
    <x v="3"/>
    <x v="760"/>
    <x v="3"/>
  </r>
  <r>
    <x v="11"/>
    <x v="4"/>
    <x v="761"/>
    <x v="3"/>
  </r>
  <r>
    <x v="11"/>
    <x v="5"/>
    <x v="762"/>
    <x v="3"/>
  </r>
  <r>
    <x v="11"/>
    <x v="6"/>
    <x v="97"/>
    <x v="3"/>
  </r>
  <r>
    <x v="11"/>
    <x v="7"/>
    <x v="763"/>
    <x v="3"/>
  </r>
  <r>
    <x v="11"/>
    <x v="8"/>
    <x v="171"/>
    <x v="3"/>
  </r>
  <r>
    <x v="11"/>
    <x v="9"/>
    <x v="764"/>
    <x v="3"/>
  </r>
  <r>
    <x v="11"/>
    <x v="10"/>
    <x v="765"/>
    <x v="3"/>
  </r>
  <r>
    <x v="11"/>
    <x v="11"/>
    <x v="766"/>
    <x v="3"/>
  </r>
  <r>
    <x v="11"/>
    <x v="12"/>
    <x v="412"/>
    <x v="3"/>
  </r>
  <r>
    <x v="11"/>
    <x v="13"/>
    <x v="767"/>
    <x v="3"/>
  </r>
  <r>
    <x v="11"/>
    <x v="14"/>
    <x v="768"/>
    <x v="3"/>
  </r>
  <r>
    <x v="11"/>
    <x v="15"/>
    <x v="769"/>
    <x v="3"/>
  </r>
  <r>
    <x v="11"/>
    <x v="16"/>
    <x v="770"/>
    <x v="3"/>
  </r>
  <r>
    <x v="12"/>
    <x v="0"/>
    <x v="32"/>
    <x v="3"/>
  </r>
  <r>
    <x v="12"/>
    <x v="1"/>
    <x v="107"/>
    <x v="3"/>
  </r>
  <r>
    <x v="12"/>
    <x v="2"/>
    <x v="771"/>
    <x v="3"/>
  </r>
  <r>
    <x v="12"/>
    <x v="3"/>
    <x v="772"/>
    <x v="3"/>
  </r>
  <r>
    <x v="12"/>
    <x v="4"/>
    <x v="95"/>
    <x v="3"/>
  </r>
  <r>
    <x v="12"/>
    <x v="5"/>
    <x v="773"/>
    <x v="3"/>
  </r>
  <r>
    <x v="12"/>
    <x v="6"/>
    <x v="774"/>
    <x v="3"/>
  </r>
  <r>
    <x v="12"/>
    <x v="7"/>
    <x v="775"/>
    <x v="3"/>
  </r>
  <r>
    <x v="12"/>
    <x v="8"/>
    <x v="185"/>
    <x v="3"/>
  </r>
  <r>
    <x v="12"/>
    <x v="9"/>
    <x v="776"/>
    <x v="3"/>
  </r>
  <r>
    <x v="12"/>
    <x v="10"/>
    <x v="777"/>
    <x v="3"/>
  </r>
  <r>
    <x v="12"/>
    <x v="11"/>
    <x v="778"/>
    <x v="3"/>
  </r>
  <r>
    <x v="12"/>
    <x v="12"/>
    <x v="779"/>
    <x v="3"/>
  </r>
  <r>
    <x v="12"/>
    <x v="13"/>
    <x v="780"/>
    <x v="3"/>
  </r>
  <r>
    <x v="12"/>
    <x v="14"/>
    <x v="781"/>
    <x v="3"/>
  </r>
  <r>
    <x v="12"/>
    <x v="15"/>
    <x v="782"/>
    <x v="3"/>
  </r>
  <r>
    <x v="12"/>
    <x v="16"/>
    <x v="783"/>
    <x v="3"/>
  </r>
  <r>
    <x v="7"/>
    <x v="0"/>
    <x v="32"/>
    <x v="3"/>
  </r>
  <r>
    <x v="7"/>
    <x v="1"/>
    <x v="107"/>
    <x v="3"/>
  </r>
  <r>
    <x v="7"/>
    <x v="2"/>
    <x v="784"/>
    <x v="3"/>
  </r>
  <r>
    <x v="7"/>
    <x v="3"/>
    <x v="3"/>
    <x v="3"/>
  </r>
  <r>
    <x v="7"/>
    <x v="4"/>
    <x v="239"/>
    <x v="3"/>
  </r>
  <r>
    <x v="7"/>
    <x v="5"/>
    <x v="126"/>
    <x v="3"/>
  </r>
  <r>
    <x v="7"/>
    <x v="6"/>
    <x v="707"/>
    <x v="3"/>
  </r>
  <r>
    <x v="7"/>
    <x v="7"/>
    <x v="785"/>
    <x v="3"/>
  </r>
  <r>
    <x v="7"/>
    <x v="8"/>
    <x v="199"/>
    <x v="3"/>
  </r>
  <r>
    <x v="7"/>
    <x v="9"/>
    <x v="786"/>
    <x v="3"/>
  </r>
  <r>
    <x v="7"/>
    <x v="10"/>
    <x v="787"/>
    <x v="3"/>
  </r>
  <r>
    <x v="7"/>
    <x v="11"/>
    <x v="788"/>
    <x v="3"/>
  </r>
  <r>
    <x v="7"/>
    <x v="12"/>
    <x v="789"/>
    <x v="3"/>
  </r>
  <r>
    <x v="7"/>
    <x v="13"/>
    <x v="790"/>
    <x v="3"/>
  </r>
  <r>
    <x v="7"/>
    <x v="14"/>
    <x v="791"/>
    <x v="3"/>
  </r>
  <r>
    <x v="7"/>
    <x v="15"/>
    <x v="792"/>
    <x v="3"/>
  </r>
  <r>
    <x v="7"/>
    <x v="16"/>
    <x v="793"/>
    <x v="3"/>
  </r>
  <r>
    <x v="14"/>
    <x v="0"/>
    <x v="32"/>
    <x v="3"/>
  </r>
  <r>
    <x v="14"/>
    <x v="1"/>
    <x v="107"/>
    <x v="3"/>
  </r>
  <r>
    <x v="14"/>
    <x v="2"/>
    <x v="794"/>
    <x v="3"/>
  </r>
  <r>
    <x v="14"/>
    <x v="3"/>
    <x v="795"/>
    <x v="3"/>
  </r>
  <r>
    <x v="14"/>
    <x v="4"/>
    <x v="167"/>
    <x v="3"/>
  </r>
  <r>
    <x v="14"/>
    <x v="5"/>
    <x v="796"/>
    <x v="3"/>
  </r>
  <r>
    <x v="14"/>
    <x v="6"/>
    <x v="67"/>
    <x v="3"/>
  </r>
  <r>
    <x v="14"/>
    <x v="7"/>
    <x v="797"/>
    <x v="3"/>
  </r>
  <r>
    <x v="14"/>
    <x v="8"/>
    <x v="213"/>
    <x v="3"/>
  </r>
  <r>
    <x v="14"/>
    <x v="9"/>
    <x v="798"/>
    <x v="3"/>
  </r>
  <r>
    <x v="14"/>
    <x v="10"/>
    <x v="799"/>
    <x v="3"/>
  </r>
  <r>
    <x v="14"/>
    <x v="11"/>
    <x v="800"/>
    <x v="3"/>
  </r>
  <r>
    <x v="14"/>
    <x v="12"/>
    <x v="801"/>
    <x v="3"/>
  </r>
  <r>
    <x v="14"/>
    <x v="13"/>
    <x v="802"/>
    <x v="3"/>
  </r>
  <r>
    <x v="14"/>
    <x v="14"/>
    <x v="803"/>
    <x v="3"/>
  </r>
  <r>
    <x v="14"/>
    <x v="15"/>
    <x v="804"/>
    <x v="3"/>
  </r>
  <r>
    <x v="14"/>
    <x v="16"/>
    <x v="805"/>
    <x v="3"/>
  </r>
  <r>
    <x v="15"/>
    <x v="0"/>
    <x v="0"/>
    <x v="3"/>
  </r>
  <r>
    <x v="15"/>
    <x v="1"/>
    <x v="107"/>
    <x v="3"/>
  </r>
  <r>
    <x v="15"/>
    <x v="2"/>
    <x v="806"/>
    <x v="3"/>
  </r>
  <r>
    <x v="15"/>
    <x v="3"/>
    <x v="807"/>
    <x v="3"/>
  </r>
  <r>
    <x v="15"/>
    <x v="4"/>
    <x v="80"/>
    <x v="3"/>
  </r>
  <r>
    <x v="15"/>
    <x v="5"/>
    <x v="808"/>
    <x v="3"/>
  </r>
  <r>
    <x v="15"/>
    <x v="6"/>
    <x v="291"/>
    <x v="3"/>
  </r>
  <r>
    <x v="15"/>
    <x v="7"/>
    <x v="809"/>
    <x v="3"/>
  </r>
  <r>
    <x v="15"/>
    <x v="8"/>
    <x v="228"/>
    <x v="3"/>
  </r>
  <r>
    <x v="15"/>
    <x v="9"/>
    <x v="810"/>
    <x v="3"/>
  </r>
  <r>
    <x v="15"/>
    <x v="10"/>
    <x v="811"/>
    <x v="3"/>
  </r>
  <r>
    <x v="15"/>
    <x v="11"/>
    <x v="812"/>
    <x v="3"/>
  </r>
  <r>
    <x v="15"/>
    <x v="12"/>
    <x v="813"/>
    <x v="3"/>
  </r>
  <r>
    <x v="15"/>
    <x v="13"/>
    <x v="814"/>
    <x v="3"/>
  </r>
  <r>
    <x v="15"/>
    <x v="14"/>
    <x v="815"/>
    <x v="3"/>
  </r>
  <r>
    <x v="15"/>
    <x v="15"/>
    <x v="816"/>
    <x v="3"/>
  </r>
  <r>
    <x v="15"/>
    <x v="16"/>
    <x v="817"/>
    <x v="3"/>
  </r>
  <r>
    <x v="0"/>
    <x v="0"/>
    <x v="0"/>
    <x v="4"/>
  </r>
  <r>
    <x v="0"/>
    <x v="1"/>
    <x v="1"/>
    <x v="4"/>
  </r>
  <r>
    <x v="0"/>
    <x v="2"/>
    <x v="818"/>
    <x v="4"/>
  </r>
  <r>
    <x v="0"/>
    <x v="3"/>
    <x v="819"/>
    <x v="4"/>
  </r>
  <r>
    <x v="0"/>
    <x v="4"/>
    <x v="35"/>
    <x v="4"/>
  </r>
  <r>
    <x v="0"/>
    <x v="5"/>
    <x v="820"/>
    <x v="4"/>
  </r>
  <r>
    <x v="0"/>
    <x v="6"/>
    <x v="821"/>
    <x v="4"/>
  </r>
  <r>
    <x v="0"/>
    <x v="7"/>
    <x v="291"/>
    <x v="4"/>
  </r>
  <r>
    <x v="0"/>
    <x v="8"/>
    <x v="8"/>
    <x v="4"/>
  </r>
  <r>
    <x v="0"/>
    <x v="9"/>
    <x v="822"/>
    <x v="4"/>
  </r>
  <r>
    <x v="0"/>
    <x v="10"/>
    <x v="823"/>
    <x v="4"/>
  </r>
  <r>
    <x v="0"/>
    <x v="11"/>
    <x v="824"/>
    <x v="4"/>
  </r>
  <r>
    <x v="0"/>
    <x v="12"/>
    <x v="825"/>
    <x v="4"/>
  </r>
  <r>
    <x v="0"/>
    <x v="13"/>
    <x v="826"/>
    <x v="4"/>
  </r>
  <r>
    <x v="0"/>
    <x v="14"/>
    <x v="827"/>
    <x v="4"/>
  </r>
  <r>
    <x v="0"/>
    <x v="15"/>
    <x v="828"/>
    <x v="4"/>
  </r>
  <r>
    <x v="0"/>
    <x v="16"/>
    <x v="829"/>
    <x v="4"/>
  </r>
  <r>
    <x v="8"/>
    <x v="0"/>
    <x v="0"/>
    <x v="4"/>
  </r>
  <r>
    <x v="8"/>
    <x v="1"/>
    <x v="107"/>
    <x v="4"/>
  </r>
  <r>
    <x v="8"/>
    <x v="2"/>
    <x v="830"/>
    <x v="4"/>
  </r>
  <r>
    <x v="8"/>
    <x v="3"/>
    <x v="831"/>
    <x v="4"/>
  </r>
  <r>
    <x v="8"/>
    <x v="4"/>
    <x v="292"/>
    <x v="4"/>
  </r>
  <r>
    <x v="8"/>
    <x v="5"/>
    <x v="832"/>
    <x v="4"/>
  </r>
  <r>
    <x v="8"/>
    <x v="6"/>
    <x v="833"/>
    <x v="4"/>
  </r>
  <r>
    <x v="8"/>
    <x v="7"/>
    <x v="834"/>
    <x v="4"/>
  </r>
  <r>
    <x v="8"/>
    <x v="8"/>
    <x v="23"/>
    <x v="4"/>
  </r>
  <r>
    <x v="8"/>
    <x v="9"/>
    <x v="329"/>
    <x v="4"/>
  </r>
  <r>
    <x v="8"/>
    <x v="10"/>
    <x v="835"/>
    <x v="4"/>
  </r>
  <r>
    <x v="8"/>
    <x v="11"/>
    <x v="836"/>
    <x v="4"/>
  </r>
  <r>
    <x v="8"/>
    <x v="12"/>
    <x v="837"/>
    <x v="4"/>
  </r>
  <r>
    <x v="8"/>
    <x v="13"/>
    <x v="838"/>
    <x v="4"/>
  </r>
  <r>
    <x v="8"/>
    <x v="14"/>
    <x v="839"/>
    <x v="4"/>
  </r>
  <r>
    <x v="8"/>
    <x v="15"/>
    <x v="840"/>
    <x v="4"/>
  </r>
  <r>
    <x v="8"/>
    <x v="16"/>
    <x v="841"/>
    <x v="4"/>
  </r>
  <r>
    <x v="2"/>
    <x v="0"/>
    <x v="32"/>
    <x v="4"/>
  </r>
  <r>
    <x v="2"/>
    <x v="1"/>
    <x v="1"/>
    <x v="4"/>
  </r>
  <r>
    <x v="2"/>
    <x v="2"/>
    <x v="842"/>
    <x v="4"/>
  </r>
  <r>
    <x v="2"/>
    <x v="3"/>
    <x v="197"/>
    <x v="4"/>
  </r>
  <r>
    <x v="2"/>
    <x v="4"/>
    <x v="19"/>
    <x v="4"/>
  </r>
  <r>
    <x v="2"/>
    <x v="5"/>
    <x v="153"/>
    <x v="4"/>
  </r>
  <r>
    <x v="2"/>
    <x v="6"/>
    <x v="843"/>
    <x v="4"/>
  </r>
  <r>
    <x v="2"/>
    <x v="7"/>
    <x v="686"/>
    <x v="4"/>
  </r>
  <r>
    <x v="2"/>
    <x v="8"/>
    <x v="39"/>
    <x v="4"/>
  </r>
  <r>
    <x v="2"/>
    <x v="9"/>
    <x v="844"/>
    <x v="4"/>
  </r>
  <r>
    <x v="2"/>
    <x v="10"/>
    <x v="845"/>
    <x v="4"/>
  </r>
  <r>
    <x v="2"/>
    <x v="11"/>
    <x v="846"/>
    <x v="4"/>
  </r>
  <r>
    <x v="2"/>
    <x v="12"/>
    <x v="847"/>
    <x v="4"/>
  </r>
  <r>
    <x v="2"/>
    <x v="13"/>
    <x v="848"/>
    <x v="4"/>
  </r>
  <r>
    <x v="2"/>
    <x v="14"/>
    <x v="849"/>
    <x v="4"/>
  </r>
  <r>
    <x v="2"/>
    <x v="15"/>
    <x v="850"/>
    <x v="4"/>
  </r>
  <r>
    <x v="2"/>
    <x v="16"/>
    <x v="851"/>
    <x v="4"/>
  </r>
  <r>
    <x v="3"/>
    <x v="0"/>
    <x v="32"/>
    <x v="4"/>
  </r>
  <r>
    <x v="3"/>
    <x v="1"/>
    <x v="1"/>
    <x v="4"/>
  </r>
  <r>
    <x v="3"/>
    <x v="2"/>
    <x v="852"/>
    <x v="4"/>
  </r>
  <r>
    <x v="3"/>
    <x v="3"/>
    <x v="853"/>
    <x v="4"/>
  </r>
  <r>
    <x v="3"/>
    <x v="4"/>
    <x v="50"/>
    <x v="4"/>
  </r>
  <r>
    <x v="3"/>
    <x v="5"/>
    <x v="854"/>
    <x v="4"/>
  </r>
  <r>
    <x v="3"/>
    <x v="6"/>
    <x v="855"/>
    <x v="4"/>
  </r>
  <r>
    <x v="3"/>
    <x v="7"/>
    <x v="856"/>
    <x v="4"/>
  </r>
  <r>
    <x v="3"/>
    <x v="8"/>
    <x v="54"/>
    <x v="4"/>
  </r>
  <r>
    <x v="3"/>
    <x v="9"/>
    <x v="857"/>
    <x v="4"/>
  </r>
  <r>
    <x v="3"/>
    <x v="10"/>
    <x v="858"/>
    <x v="4"/>
  </r>
  <r>
    <x v="3"/>
    <x v="11"/>
    <x v="859"/>
    <x v="4"/>
  </r>
  <r>
    <x v="3"/>
    <x v="12"/>
    <x v="860"/>
    <x v="4"/>
  </r>
  <r>
    <x v="3"/>
    <x v="13"/>
    <x v="861"/>
    <x v="4"/>
  </r>
  <r>
    <x v="3"/>
    <x v="14"/>
    <x v="862"/>
    <x v="4"/>
  </r>
  <r>
    <x v="3"/>
    <x v="15"/>
    <x v="863"/>
    <x v="4"/>
  </r>
  <r>
    <x v="3"/>
    <x v="16"/>
    <x v="864"/>
    <x v="4"/>
  </r>
  <r>
    <x v="4"/>
    <x v="0"/>
    <x v="0"/>
    <x v="4"/>
  </r>
  <r>
    <x v="4"/>
    <x v="1"/>
    <x v="1"/>
    <x v="4"/>
  </r>
  <r>
    <x v="4"/>
    <x v="2"/>
    <x v="865"/>
    <x v="4"/>
  </r>
  <r>
    <x v="4"/>
    <x v="3"/>
    <x v="332"/>
    <x v="4"/>
  </r>
  <r>
    <x v="4"/>
    <x v="4"/>
    <x v="195"/>
    <x v="4"/>
  </r>
  <r>
    <x v="4"/>
    <x v="5"/>
    <x v="593"/>
    <x v="4"/>
  </r>
  <r>
    <x v="4"/>
    <x v="6"/>
    <x v="866"/>
    <x v="4"/>
  </r>
  <r>
    <x v="4"/>
    <x v="7"/>
    <x v="867"/>
    <x v="4"/>
  </r>
  <r>
    <x v="4"/>
    <x v="8"/>
    <x v="69"/>
    <x v="4"/>
  </r>
  <r>
    <x v="4"/>
    <x v="9"/>
    <x v="868"/>
    <x v="4"/>
  </r>
  <r>
    <x v="4"/>
    <x v="10"/>
    <x v="869"/>
    <x v="4"/>
  </r>
  <r>
    <x v="4"/>
    <x v="11"/>
    <x v="870"/>
    <x v="4"/>
  </r>
  <r>
    <x v="4"/>
    <x v="12"/>
    <x v="871"/>
    <x v="4"/>
  </r>
  <r>
    <x v="4"/>
    <x v="13"/>
    <x v="872"/>
    <x v="4"/>
  </r>
  <r>
    <x v="4"/>
    <x v="14"/>
    <x v="873"/>
    <x v="4"/>
  </r>
  <r>
    <x v="4"/>
    <x v="15"/>
    <x v="874"/>
    <x v="4"/>
  </r>
  <r>
    <x v="4"/>
    <x v="16"/>
    <x v="875"/>
    <x v="4"/>
  </r>
  <r>
    <x v="5"/>
    <x v="0"/>
    <x v="0"/>
    <x v="4"/>
  </r>
  <r>
    <x v="5"/>
    <x v="1"/>
    <x v="1"/>
    <x v="4"/>
  </r>
  <r>
    <x v="5"/>
    <x v="2"/>
    <x v="876"/>
    <x v="4"/>
  </r>
  <r>
    <x v="5"/>
    <x v="3"/>
    <x v="383"/>
    <x v="4"/>
  </r>
  <r>
    <x v="5"/>
    <x v="4"/>
    <x v="195"/>
    <x v="4"/>
  </r>
  <r>
    <x v="5"/>
    <x v="5"/>
    <x v="877"/>
    <x v="4"/>
  </r>
  <r>
    <x v="5"/>
    <x v="6"/>
    <x v="833"/>
    <x v="4"/>
  </r>
  <r>
    <x v="5"/>
    <x v="7"/>
    <x v="686"/>
    <x v="4"/>
  </r>
  <r>
    <x v="5"/>
    <x v="8"/>
    <x v="84"/>
    <x v="4"/>
  </r>
  <r>
    <x v="5"/>
    <x v="9"/>
    <x v="878"/>
    <x v="4"/>
  </r>
  <r>
    <x v="5"/>
    <x v="10"/>
    <x v="879"/>
    <x v="4"/>
  </r>
  <r>
    <x v="5"/>
    <x v="11"/>
    <x v="880"/>
    <x v="4"/>
  </r>
  <r>
    <x v="5"/>
    <x v="12"/>
    <x v="881"/>
    <x v="4"/>
  </r>
  <r>
    <x v="5"/>
    <x v="13"/>
    <x v="882"/>
    <x v="4"/>
  </r>
  <r>
    <x v="5"/>
    <x v="14"/>
    <x v="883"/>
    <x v="4"/>
  </r>
  <r>
    <x v="5"/>
    <x v="15"/>
    <x v="884"/>
    <x v="4"/>
  </r>
  <r>
    <x v="5"/>
    <x v="16"/>
    <x v="885"/>
    <x v="4"/>
  </r>
  <r>
    <x v="6"/>
    <x v="0"/>
    <x v="32"/>
    <x v="4"/>
  </r>
  <r>
    <x v="6"/>
    <x v="1"/>
    <x v="1"/>
    <x v="4"/>
  </r>
  <r>
    <x v="6"/>
    <x v="2"/>
    <x v="886"/>
    <x v="4"/>
  </r>
  <r>
    <x v="6"/>
    <x v="3"/>
    <x v="887"/>
    <x v="4"/>
  </r>
  <r>
    <x v="6"/>
    <x v="4"/>
    <x v="330"/>
    <x v="4"/>
  </r>
  <r>
    <x v="6"/>
    <x v="5"/>
    <x v="888"/>
    <x v="4"/>
  </r>
  <r>
    <x v="6"/>
    <x v="6"/>
    <x v="889"/>
    <x v="4"/>
  </r>
  <r>
    <x v="6"/>
    <x v="7"/>
    <x v="890"/>
    <x v="4"/>
  </r>
  <r>
    <x v="6"/>
    <x v="8"/>
    <x v="98"/>
    <x v="4"/>
  </r>
  <r>
    <x v="6"/>
    <x v="9"/>
    <x v="891"/>
    <x v="4"/>
  </r>
  <r>
    <x v="6"/>
    <x v="10"/>
    <x v="892"/>
    <x v="4"/>
  </r>
  <r>
    <x v="6"/>
    <x v="11"/>
    <x v="893"/>
    <x v="4"/>
  </r>
  <r>
    <x v="6"/>
    <x v="12"/>
    <x v="894"/>
    <x v="4"/>
  </r>
  <r>
    <x v="6"/>
    <x v="13"/>
    <x v="895"/>
    <x v="4"/>
  </r>
  <r>
    <x v="6"/>
    <x v="14"/>
    <x v="896"/>
    <x v="4"/>
  </r>
  <r>
    <x v="6"/>
    <x v="15"/>
    <x v="897"/>
    <x v="4"/>
  </r>
  <r>
    <x v="6"/>
    <x v="16"/>
    <x v="898"/>
    <x v="4"/>
  </r>
  <r>
    <x v="1"/>
    <x v="0"/>
    <x v="0"/>
    <x v="4"/>
  </r>
  <r>
    <x v="1"/>
    <x v="1"/>
    <x v="1"/>
    <x v="4"/>
  </r>
  <r>
    <x v="1"/>
    <x v="2"/>
    <x v="899"/>
    <x v="4"/>
  </r>
  <r>
    <x v="1"/>
    <x v="3"/>
    <x v="304"/>
    <x v="4"/>
  </r>
  <r>
    <x v="1"/>
    <x v="4"/>
    <x v="8"/>
    <x v="4"/>
  </r>
  <r>
    <x v="1"/>
    <x v="5"/>
    <x v="900"/>
    <x v="4"/>
  </r>
  <r>
    <x v="1"/>
    <x v="6"/>
    <x v="97"/>
    <x v="4"/>
  </r>
  <r>
    <x v="1"/>
    <x v="7"/>
    <x v="901"/>
    <x v="4"/>
  </r>
  <r>
    <x v="1"/>
    <x v="8"/>
    <x v="114"/>
    <x v="4"/>
  </r>
  <r>
    <x v="1"/>
    <x v="9"/>
    <x v="902"/>
    <x v="4"/>
  </r>
  <r>
    <x v="1"/>
    <x v="10"/>
    <x v="903"/>
    <x v="4"/>
  </r>
  <r>
    <x v="1"/>
    <x v="11"/>
    <x v="904"/>
    <x v="4"/>
  </r>
  <r>
    <x v="1"/>
    <x v="12"/>
    <x v="905"/>
    <x v="4"/>
  </r>
  <r>
    <x v="1"/>
    <x v="13"/>
    <x v="906"/>
    <x v="4"/>
  </r>
  <r>
    <x v="1"/>
    <x v="14"/>
    <x v="907"/>
    <x v="4"/>
  </r>
  <r>
    <x v="1"/>
    <x v="15"/>
    <x v="908"/>
    <x v="4"/>
  </r>
  <r>
    <x v="1"/>
    <x v="16"/>
    <x v="909"/>
    <x v="4"/>
  </r>
  <r>
    <x v="9"/>
    <x v="0"/>
    <x v="0"/>
    <x v="4"/>
  </r>
  <r>
    <x v="9"/>
    <x v="1"/>
    <x v="107"/>
    <x v="4"/>
  </r>
  <r>
    <x v="9"/>
    <x v="2"/>
    <x v="910"/>
    <x v="4"/>
  </r>
  <r>
    <x v="9"/>
    <x v="3"/>
    <x v="911"/>
    <x v="4"/>
  </r>
  <r>
    <x v="9"/>
    <x v="4"/>
    <x v="278"/>
    <x v="4"/>
  </r>
  <r>
    <x v="9"/>
    <x v="5"/>
    <x v="912"/>
    <x v="4"/>
  </r>
  <r>
    <x v="9"/>
    <x v="6"/>
    <x v="913"/>
    <x v="4"/>
  </r>
  <r>
    <x v="9"/>
    <x v="7"/>
    <x v="555"/>
    <x v="4"/>
  </r>
  <r>
    <x v="9"/>
    <x v="8"/>
    <x v="129"/>
    <x v="4"/>
  </r>
  <r>
    <x v="9"/>
    <x v="9"/>
    <x v="914"/>
    <x v="4"/>
  </r>
  <r>
    <x v="9"/>
    <x v="10"/>
    <x v="915"/>
    <x v="4"/>
  </r>
  <r>
    <x v="9"/>
    <x v="11"/>
    <x v="916"/>
    <x v="4"/>
  </r>
  <r>
    <x v="9"/>
    <x v="12"/>
    <x v="917"/>
    <x v="4"/>
  </r>
  <r>
    <x v="9"/>
    <x v="13"/>
    <x v="918"/>
    <x v="4"/>
  </r>
  <r>
    <x v="9"/>
    <x v="14"/>
    <x v="919"/>
    <x v="4"/>
  </r>
  <r>
    <x v="9"/>
    <x v="15"/>
    <x v="920"/>
    <x v="4"/>
  </r>
  <r>
    <x v="9"/>
    <x v="16"/>
    <x v="921"/>
    <x v="4"/>
  </r>
  <r>
    <x v="13"/>
    <x v="0"/>
    <x v="0"/>
    <x v="4"/>
  </r>
  <r>
    <x v="13"/>
    <x v="1"/>
    <x v="107"/>
    <x v="4"/>
  </r>
  <r>
    <x v="13"/>
    <x v="2"/>
    <x v="922"/>
    <x v="4"/>
  </r>
  <r>
    <x v="13"/>
    <x v="3"/>
    <x v="674"/>
    <x v="4"/>
  </r>
  <r>
    <x v="13"/>
    <x v="4"/>
    <x v="50"/>
    <x v="4"/>
  </r>
  <r>
    <x v="13"/>
    <x v="5"/>
    <x v="923"/>
    <x v="4"/>
  </r>
  <r>
    <x v="13"/>
    <x v="6"/>
    <x v="94"/>
    <x v="4"/>
  </r>
  <r>
    <x v="13"/>
    <x v="7"/>
    <x v="924"/>
    <x v="4"/>
  </r>
  <r>
    <x v="13"/>
    <x v="8"/>
    <x v="142"/>
    <x v="4"/>
  </r>
  <r>
    <x v="13"/>
    <x v="9"/>
    <x v="925"/>
    <x v="4"/>
  </r>
  <r>
    <x v="13"/>
    <x v="10"/>
    <x v="926"/>
    <x v="4"/>
  </r>
  <r>
    <x v="13"/>
    <x v="11"/>
    <x v="927"/>
    <x v="4"/>
  </r>
  <r>
    <x v="13"/>
    <x v="12"/>
    <x v="928"/>
    <x v="4"/>
  </r>
  <r>
    <x v="13"/>
    <x v="13"/>
    <x v="929"/>
    <x v="4"/>
  </r>
  <r>
    <x v="13"/>
    <x v="14"/>
    <x v="930"/>
    <x v="4"/>
  </r>
  <r>
    <x v="13"/>
    <x v="15"/>
    <x v="931"/>
    <x v="4"/>
  </r>
  <r>
    <x v="13"/>
    <x v="16"/>
    <x v="932"/>
    <x v="4"/>
  </r>
  <r>
    <x v="10"/>
    <x v="0"/>
    <x v="0"/>
    <x v="4"/>
  </r>
  <r>
    <x v="10"/>
    <x v="1"/>
    <x v="107"/>
    <x v="4"/>
  </r>
  <r>
    <x v="10"/>
    <x v="2"/>
    <x v="933"/>
    <x v="4"/>
  </r>
  <r>
    <x v="10"/>
    <x v="3"/>
    <x v="473"/>
    <x v="4"/>
  </r>
  <r>
    <x v="10"/>
    <x v="4"/>
    <x v="761"/>
    <x v="4"/>
  </r>
  <r>
    <x v="10"/>
    <x v="5"/>
    <x v="153"/>
    <x v="4"/>
  </r>
  <r>
    <x v="10"/>
    <x v="6"/>
    <x v="934"/>
    <x v="4"/>
  </r>
  <r>
    <x v="10"/>
    <x v="7"/>
    <x v="395"/>
    <x v="4"/>
  </r>
  <r>
    <x v="10"/>
    <x v="8"/>
    <x v="156"/>
    <x v="4"/>
  </r>
  <r>
    <x v="10"/>
    <x v="9"/>
    <x v="935"/>
    <x v="4"/>
  </r>
  <r>
    <x v="10"/>
    <x v="10"/>
    <x v="936"/>
    <x v="4"/>
  </r>
  <r>
    <x v="10"/>
    <x v="11"/>
    <x v="937"/>
    <x v="4"/>
  </r>
  <r>
    <x v="10"/>
    <x v="12"/>
    <x v="938"/>
    <x v="4"/>
  </r>
  <r>
    <x v="10"/>
    <x v="13"/>
    <x v="939"/>
    <x v="4"/>
  </r>
  <r>
    <x v="10"/>
    <x v="14"/>
    <x v="940"/>
    <x v="4"/>
  </r>
  <r>
    <x v="10"/>
    <x v="15"/>
    <x v="941"/>
    <x v="4"/>
  </r>
  <r>
    <x v="10"/>
    <x v="16"/>
    <x v="942"/>
    <x v="4"/>
  </r>
  <r>
    <x v="11"/>
    <x v="0"/>
    <x v="32"/>
    <x v="4"/>
  </r>
  <r>
    <x v="11"/>
    <x v="1"/>
    <x v="107"/>
    <x v="4"/>
  </r>
  <r>
    <x v="11"/>
    <x v="2"/>
    <x v="943"/>
    <x v="4"/>
  </r>
  <r>
    <x v="11"/>
    <x v="3"/>
    <x v="140"/>
    <x v="4"/>
  </r>
  <r>
    <x v="11"/>
    <x v="4"/>
    <x v="95"/>
    <x v="4"/>
  </r>
  <r>
    <x v="11"/>
    <x v="5"/>
    <x v="944"/>
    <x v="4"/>
  </r>
  <r>
    <x v="11"/>
    <x v="6"/>
    <x v="945"/>
    <x v="4"/>
  </r>
  <r>
    <x v="11"/>
    <x v="7"/>
    <x v="946"/>
    <x v="4"/>
  </r>
  <r>
    <x v="11"/>
    <x v="8"/>
    <x v="171"/>
    <x v="4"/>
  </r>
  <r>
    <x v="11"/>
    <x v="9"/>
    <x v="947"/>
    <x v="4"/>
  </r>
  <r>
    <x v="11"/>
    <x v="10"/>
    <x v="948"/>
    <x v="4"/>
  </r>
  <r>
    <x v="11"/>
    <x v="11"/>
    <x v="949"/>
    <x v="4"/>
  </r>
  <r>
    <x v="11"/>
    <x v="12"/>
    <x v="950"/>
    <x v="4"/>
  </r>
  <r>
    <x v="11"/>
    <x v="13"/>
    <x v="951"/>
    <x v="4"/>
  </r>
  <r>
    <x v="11"/>
    <x v="14"/>
    <x v="952"/>
    <x v="4"/>
  </r>
  <r>
    <x v="11"/>
    <x v="15"/>
    <x v="953"/>
    <x v="4"/>
  </r>
  <r>
    <x v="11"/>
    <x v="16"/>
    <x v="954"/>
    <x v="4"/>
  </r>
  <r>
    <x v="12"/>
    <x v="0"/>
    <x v="32"/>
    <x v="4"/>
  </r>
  <r>
    <x v="12"/>
    <x v="1"/>
    <x v="107"/>
    <x v="4"/>
  </r>
  <r>
    <x v="12"/>
    <x v="2"/>
    <x v="955"/>
    <x v="4"/>
  </r>
  <r>
    <x v="12"/>
    <x v="3"/>
    <x v="856"/>
    <x v="4"/>
  </r>
  <r>
    <x v="12"/>
    <x v="4"/>
    <x v="167"/>
    <x v="4"/>
  </r>
  <r>
    <x v="12"/>
    <x v="5"/>
    <x v="956"/>
    <x v="4"/>
  </r>
  <r>
    <x v="12"/>
    <x v="6"/>
    <x v="774"/>
    <x v="4"/>
  </r>
  <r>
    <x v="12"/>
    <x v="7"/>
    <x v="957"/>
    <x v="4"/>
  </r>
  <r>
    <x v="12"/>
    <x v="8"/>
    <x v="185"/>
    <x v="4"/>
  </r>
  <r>
    <x v="12"/>
    <x v="9"/>
    <x v="958"/>
    <x v="4"/>
  </r>
  <r>
    <x v="12"/>
    <x v="10"/>
    <x v="959"/>
    <x v="4"/>
  </r>
  <r>
    <x v="12"/>
    <x v="11"/>
    <x v="960"/>
    <x v="4"/>
  </r>
  <r>
    <x v="12"/>
    <x v="12"/>
    <x v="961"/>
    <x v="4"/>
  </r>
  <r>
    <x v="12"/>
    <x v="13"/>
    <x v="962"/>
    <x v="4"/>
  </r>
  <r>
    <x v="12"/>
    <x v="14"/>
    <x v="963"/>
    <x v="4"/>
  </r>
  <r>
    <x v="12"/>
    <x v="15"/>
    <x v="964"/>
    <x v="4"/>
  </r>
  <r>
    <x v="12"/>
    <x v="16"/>
    <x v="965"/>
    <x v="4"/>
  </r>
  <r>
    <x v="7"/>
    <x v="0"/>
    <x v="32"/>
    <x v="4"/>
  </r>
  <r>
    <x v="7"/>
    <x v="1"/>
    <x v="107"/>
    <x v="4"/>
  </r>
  <r>
    <x v="7"/>
    <x v="2"/>
    <x v="966"/>
    <x v="4"/>
  </r>
  <r>
    <x v="7"/>
    <x v="3"/>
    <x v="967"/>
    <x v="4"/>
  </r>
  <r>
    <x v="7"/>
    <x v="4"/>
    <x v="736"/>
    <x v="4"/>
  </r>
  <r>
    <x v="7"/>
    <x v="5"/>
    <x v="968"/>
    <x v="4"/>
  </r>
  <r>
    <x v="7"/>
    <x v="6"/>
    <x v="969"/>
    <x v="4"/>
  </r>
  <r>
    <x v="7"/>
    <x v="7"/>
    <x v="970"/>
    <x v="4"/>
  </r>
  <r>
    <x v="7"/>
    <x v="8"/>
    <x v="199"/>
    <x v="4"/>
  </r>
  <r>
    <x v="7"/>
    <x v="9"/>
    <x v="971"/>
    <x v="4"/>
  </r>
  <r>
    <x v="7"/>
    <x v="10"/>
    <x v="972"/>
    <x v="4"/>
  </r>
  <r>
    <x v="7"/>
    <x v="11"/>
    <x v="973"/>
    <x v="4"/>
  </r>
  <r>
    <x v="7"/>
    <x v="12"/>
    <x v="974"/>
    <x v="4"/>
  </r>
  <r>
    <x v="7"/>
    <x v="13"/>
    <x v="975"/>
    <x v="4"/>
  </r>
  <r>
    <x v="7"/>
    <x v="14"/>
    <x v="976"/>
    <x v="4"/>
  </r>
  <r>
    <x v="7"/>
    <x v="15"/>
    <x v="977"/>
    <x v="4"/>
  </r>
  <r>
    <x v="7"/>
    <x v="16"/>
    <x v="978"/>
    <x v="4"/>
  </r>
  <r>
    <x v="14"/>
    <x v="0"/>
    <x v="32"/>
    <x v="4"/>
  </r>
  <r>
    <x v="14"/>
    <x v="1"/>
    <x v="107"/>
    <x v="4"/>
  </r>
  <r>
    <x v="14"/>
    <x v="2"/>
    <x v="979"/>
    <x v="4"/>
  </r>
  <r>
    <x v="14"/>
    <x v="3"/>
    <x v="980"/>
    <x v="4"/>
  </r>
  <r>
    <x v="14"/>
    <x v="4"/>
    <x v="152"/>
    <x v="4"/>
  </r>
  <r>
    <x v="14"/>
    <x v="5"/>
    <x v="981"/>
    <x v="4"/>
  </r>
  <r>
    <x v="14"/>
    <x v="6"/>
    <x v="911"/>
    <x v="4"/>
  </r>
  <r>
    <x v="14"/>
    <x v="7"/>
    <x v="982"/>
    <x v="4"/>
  </r>
  <r>
    <x v="14"/>
    <x v="8"/>
    <x v="213"/>
    <x v="4"/>
  </r>
  <r>
    <x v="14"/>
    <x v="9"/>
    <x v="983"/>
    <x v="4"/>
  </r>
  <r>
    <x v="14"/>
    <x v="10"/>
    <x v="984"/>
    <x v="4"/>
  </r>
  <r>
    <x v="14"/>
    <x v="11"/>
    <x v="985"/>
    <x v="4"/>
  </r>
  <r>
    <x v="14"/>
    <x v="12"/>
    <x v="986"/>
    <x v="4"/>
  </r>
  <r>
    <x v="14"/>
    <x v="13"/>
    <x v="987"/>
    <x v="4"/>
  </r>
  <r>
    <x v="14"/>
    <x v="14"/>
    <x v="988"/>
    <x v="4"/>
  </r>
  <r>
    <x v="14"/>
    <x v="15"/>
    <x v="989"/>
    <x v="4"/>
  </r>
  <r>
    <x v="14"/>
    <x v="16"/>
    <x v="990"/>
    <x v="4"/>
  </r>
  <r>
    <x v="15"/>
    <x v="0"/>
    <x v="0"/>
    <x v="4"/>
  </r>
  <r>
    <x v="15"/>
    <x v="1"/>
    <x v="107"/>
    <x v="4"/>
  </r>
  <r>
    <x v="15"/>
    <x v="2"/>
    <x v="991"/>
    <x v="4"/>
  </r>
  <r>
    <x v="15"/>
    <x v="3"/>
    <x v="992"/>
    <x v="4"/>
  </r>
  <r>
    <x v="15"/>
    <x v="4"/>
    <x v="98"/>
    <x v="4"/>
  </r>
  <r>
    <x v="15"/>
    <x v="5"/>
    <x v="993"/>
    <x v="4"/>
  </r>
  <r>
    <x v="15"/>
    <x v="6"/>
    <x v="306"/>
    <x v="4"/>
  </r>
  <r>
    <x v="15"/>
    <x v="7"/>
    <x v="785"/>
    <x v="4"/>
  </r>
  <r>
    <x v="15"/>
    <x v="8"/>
    <x v="228"/>
    <x v="4"/>
  </r>
  <r>
    <x v="15"/>
    <x v="9"/>
    <x v="994"/>
    <x v="4"/>
  </r>
  <r>
    <x v="15"/>
    <x v="10"/>
    <x v="995"/>
    <x v="4"/>
  </r>
  <r>
    <x v="15"/>
    <x v="11"/>
    <x v="700"/>
    <x v="4"/>
  </r>
  <r>
    <x v="15"/>
    <x v="12"/>
    <x v="996"/>
    <x v="4"/>
  </r>
  <r>
    <x v="15"/>
    <x v="13"/>
    <x v="997"/>
    <x v="4"/>
  </r>
  <r>
    <x v="15"/>
    <x v="14"/>
    <x v="998"/>
    <x v="4"/>
  </r>
  <r>
    <x v="15"/>
    <x v="15"/>
    <x v="999"/>
    <x v="4"/>
  </r>
  <r>
    <x v="15"/>
    <x v="16"/>
    <x v="1000"/>
    <x v="4"/>
  </r>
  <r>
    <x v="0"/>
    <x v="0"/>
    <x v="0"/>
    <x v="5"/>
  </r>
  <r>
    <x v="0"/>
    <x v="1"/>
    <x v="1"/>
    <x v="5"/>
  </r>
  <r>
    <x v="0"/>
    <x v="2"/>
    <x v="1001"/>
    <x v="5"/>
  </r>
  <r>
    <x v="0"/>
    <x v="3"/>
    <x v="1002"/>
    <x v="5"/>
  </r>
  <r>
    <x v="0"/>
    <x v="4"/>
    <x v="292"/>
    <x v="5"/>
  </r>
  <r>
    <x v="0"/>
    <x v="5"/>
    <x v="139"/>
    <x v="5"/>
  </r>
  <r>
    <x v="0"/>
    <x v="6"/>
    <x v="1003"/>
    <x v="5"/>
  </r>
  <r>
    <x v="0"/>
    <x v="7"/>
    <x v="1004"/>
    <x v="5"/>
  </r>
  <r>
    <x v="0"/>
    <x v="8"/>
    <x v="8"/>
    <x v="5"/>
  </r>
  <r>
    <x v="0"/>
    <x v="9"/>
    <x v="1005"/>
    <x v="5"/>
  </r>
  <r>
    <x v="0"/>
    <x v="10"/>
    <x v="1006"/>
    <x v="5"/>
  </r>
  <r>
    <x v="0"/>
    <x v="11"/>
    <x v="1007"/>
    <x v="5"/>
  </r>
  <r>
    <x v="0"/>
    <x v="12"/>
    <x v="1008"/>
    <x v="5"/>
  </r>
  <r>
    <x v="0"/>
    <x v="13"/>
    <x v="1009"/>
    <x v="5"/>
  </r>
  <r>
    <x v="0"/>
    <x v="14"/>
    <x v="1010"/>
    <x v="5"/>
  </r>
  <r>
    <x v="0"/>
    <x v="15"/>
    <x v="1011"/>
    <x v="5"/>
  </r>
  <r>
    <x v="0"/>
    <x v="16"/>
    <x v="1012"/>
    <x v="5"/>
  </r>
  <r>
    <x v="3"/>
    <x v="0"/>
    <x v="32"/>
    <x v="5"/>
  </r>
  <r>
    <x v="3"/>
    <x v="1"/>
    <x v="1"/>
    <x v="5"/>
  </r>
  <r>
    <x v="3"/>
    <x v="2"/>
    <x v="1013"/>
    <x v="5"/>
  </r>
  <r>
    <x v="3"/>
    <x v="3"/>
    <x v="1014"/>
    <x v="5"/>
  </r>
  <r>
    <x v="3"/>
    <x v="4"/>
    <x v="330"/>
    <x v="5"/>
  </r>
  <r>
    <x v="3"/>
    <x v="5"/>
    <x v="1015"/>
    <x v="5"/>
  </r>
  <r>
    <x v="3"/>
    <x v="6"/>
    <x v="1016"/>
    <x v="5"/>
  </r>
  <r>
    <x v="3"/>
    <x v="7"/>
    <x v="1017"/>
    <x v="5"/>
  </r>
  <r>
    <x v="3"/>
    <x v="8"/>
    <x v="23"/>
    <x v="5"/>
  </r>
  <r>
    <x v="3"/>
    <x v="9"/>
    <x v="1018"/>
    <x v="5"/>
  </r>
  <r>
    <x v="3"/>
    <x v="10"/>
    <x v="1019"/>
    <x v="5"/>
  </r>
  <r>
    <x v="3"/>
    <x v="11"/>
    <x v="1020"/>
    <x v="5"/>
  </r>
  <r>
    <x v="3"/>
    <x v="12"/>
    <x v="1021"/>
    <x v="5"/>
  </r>
  <r>
    <x v="3"/>
    <x v="13"/>
    <x v="1022"/>
    <x v="5"/>
  </r>
  <r>
    <x v="3"/>
    <x v="14"/>
    <x v="551"/>
    <x v="5"/>
  </r>
  <r>
    <x v="3"/>
    <x v="15"/>
    <x v="1023"/>
    <x v="5"/>
  </r>
  <r>
    <x v="3"/>
    <x v="16"/>
    <x v="1024"/>
    <x v="5"/>
  </r>
  <r>
    <x v="9"/>
    <x v="0"/>
    <x v="0"/>
    <x v="5"/>
  </r>
  <r>
    <x v="9"/>
    <x v="1"/>
    <x v="107"/>
    <x v="5"/>
  </r>
  <r>
    <x v="9"/>
    <x v="2"/>
    <x v="1025"/>
    <x v="5"/>
  </r>
  <r>
    <x v="9"/>
    <x v="3"/>
    <x v="1026"/>
    <x v="5"/>
  </r>
  <r>
    <x v="9"/>
    <x v="4"/>
    <x v="80"/>
    <x v="5"/>
  </r>
  <r>
    <x v="9"/>
    <x v="5"/>
    <x v="1027"/>
    <x v="5"/>
  </r>
  <r>
    <x v="9"/>
    <x v="6"/>
    <x v="393"/>
    <x v="5"/>
  </r>
  <r>
    <x v="9"/>
    <x v="7"/>
    <x v="887"/>
    <x v="5"/>
  </r>
  <r>
    <x v="9"/>
    <x v="8"/>
    <x v="39"/>
    <x v="5"/>
  </r>
  <r>
    <x v="9"/>
    <x v="9"/>
    <x v="1028"/>
    <x v="5"/>
  </r>
  <r>
    <x v="9"/>
    <x v="10"/>
    <x v="1029"/>
    <x v="5"/>
  </r>
  <r>
    <x v="9"/>
    <x v="11"/>
    <x v="1030"/>
    <x v="5"/>
  </r>
  <r>
    <x v="9"/>
    <x v="12"/>
    <x v="1031"/>
    <x v="5"/>
  </r>
  <r>
    <x v="9"/>
    <x v="13"/>
    <x v="1032"/>
    <x v="5"/>
  </r>
  <r>
    <x v="9"/>
    <x v="14"/>
    <x v="1033"/>
    <x v="5"/>
  </r>
  <r>
    <x v="9"/>
    <x v="15"/>
    <x v="1034"/>
    <x v="5"/>
  </r>
  <r>
    <x v="9"/>
    <x v="16"/>
    <x v="1035"/>
    <x v="5"/>
  </r>
  <r>
    <x v="4"/>
    <x v="0"/>
    <x v="0"/>
    <x v="5"/>
  </r>
  <r>
    <x v="4"/>
    <x v="1"/>
    <x v="1"/>
    <x v="5"/>
  </r>
  <r>
    <x v="4"/>
    <x v="2"/>
    <x v="1036"/>
    <x v="5"/>
  </r>
  <r>
    <x v="4"/>
    <x v="3"/>
    <x v="1037"/>
    <x v="5"/>
  </r>
  <r>
    <x v="4"/>
    <x v="4"/>
    <x v="110"/>
    <x v="5"/>
  </r>
  <r>
    <x v="4"/>
    <x v="5"/>
    <x v="1038"/>
    <x v="5"/>
  </r>
  <r>
    <x v="4"/>
    <x v="6"/>
    <x v="1039"/>
    <x v="5"/>
  </r>
  <r>
    <x v="4"/>
    <x v="7"/>
    <x v="420"/>
    <x v="5"/>
  </r>
  <r>
    <x v="4"/>
    <x v="8"/>
    <x v="54"/>
    <x v="5"/>
  </r>
  <r>
    <x v="4"/>
    <x v="9"/>
    <x v="1040"/>
    <x v="5"/>
  </r>
  <r>
    <x v="4"/>
    <x v="10"/>
    <x v="1041"/>
    <x v="5"/>
  </r>
  <r>
    <x v="4"/>
    <x v="11"/>
    <x v="1042"/>
    <x v="5"/>
  </r>
  <r>
    <x v="4"/>
    <x v="12"/>
    <x v="1043"/>
    <x v="5"/>
  </r>
  <r>
    <x v="4"/>
    <x v="13"/>
    <x v="1044"/>
    <x v="5"/>
  </r>
  <r>
    <x v="4"/>
    <x v="14"/>
    <x v="1045"/>
    <x v="5"/>
  </r>
  <r>
    <x v="4"/>
    <x v="15"/>
    <x v="1046"/>
    <x v="5"/>
  </r>
  <r>
    <x v="4"/>
    <x v="16"/>
    <x v="1047"/>
    <x v="5"/>
  </r>
  <r>
    <x v="10"/>
    <x v="0"/>
    <x v="0"/>
    <x v="5"/>
  </r>
  <r>
    <x v="10"/>
    <x v="1"/>
    <x v="107"/>
    <x v="5"/>
  </r>
  <r>
    <x v="10"/>
    <x v="2"/>
    <x v="1048"/>
    <x v="5"/>
  </r>
  <r>
    <x v="10"/>
    <x v="3"/>
    <x v="1049"/>
    <x v="5"/>
  </r>
  <r>
    <x v="10"/>
    <x v="4"/>
    <x v="19"/>
    <x v="5"/>
  </r>
  <r>
    <x v="10"/>
    <x v="5"/>
    <x v="1050"/>
    <x v="5"/>
  </r>
  <r>
    <x v="10"/>
    <x v="6"/>
    <x v="1051"/>
    <x v="5"/>
  </r>
  <r>
    <x v="10"/>
    <x v="7"/>
    <x v="797"/>
    <x v="5"/>
  </r>
  <r>
    <x v="10"/>
    <x v="8"/>
    <x v="69"/>
    <x v="5"/>
  </r>
  <r>
    <x v="10"/>
    <x v="9"/>
    <x v="1052"/>
    <x v="5"/>
  </r>
  <r>
    <x v="10"/>
    <x v="10"/>
    <x v="1053"/>
    <x v="5"/>
  </r>
  <r>
    <x v="10"/>
    <x v="11"/>
    <x v="1054"/>
    <x v="5"/>
  </r>
  <r>
    <x v="10"/>
    <x v="12"/>
    <x v="1055"/>
    <x v="5"/>
  </r>
  <r>
    <x v="10"/>
    <x v="13"/>
    <x v="1056"/>
    <x v="5"/>
  </r>
  <r>
    <x v="10"/>
    <x v="14"/>
    <x v="1057"/>
    <x v="5"/>
  </r>
  <r>
    <x v="10"/>
    <x v="15"/>
    <x v="1058"/>
    <x v="5"/>
  </r>
  <r>
    <x v="10"/>
    <x v="16"/>
    <x v="1059"/>
    <x v="5"/>
  </r>
  <r>
    <x v="5"/>
    <x v="0"/>
    <x v="0"/>
    <x v="5"/>
  </r>
  <r>
    <x v="5"/>
    <x v="1"/>
    <x v="1"/>
    <x v="5"/>
  </r>
  <r>
    <x v="5"/>
    <x v="2"/>
    <x v="1060"/>
    <x v="5"/>
  </r>
  <r>
    <x v="5"/>
    <x v="3"/>
    <x v="1061"/>
    <x v="5"/>
  </r>
  <r>
    <x v="5"/>
    <x v="4"/>
    <x v="304"/>
    <x v="5"/>
  </r>
  <r>
    <x v="5"/>
    <x v="5"/>
    <x v="1062"/>
    <x v="5"/>
  </r>
  <r>
    <x v="5"/>
    <x v="6"/>
    <x v="1026"/>
    <x v="5"/>
  </r>
  <r>
    <x v="5"/>
    <x v="7"/>
    <x v="357"/>
    <x v="5"/>
  </r>
  <r>
    <x v="5"/>
    <x v="8"/>
    <x v="84"/>
    <x v="5"/>
  </r>
  <r>
    <x v="5"/>
    <x v="9"/>
    <x v="1063"/>
    <x v="5"/>
  </r>
  <r>
    <x v="5"/>
    <x v="10"/>
    <x v="1064"/>
    <x v="5"/>
  </r>
  <r>
    <x v="5"/>
    <x v="11"/>
    <x v="1065"/>
    <x v="5"/>
  </r>
  <r>
    <x v="5"/>
    <x v="12"/>
    <x v="1066"/>
    <x v="5"/>
  </r>
  <r>
    <x v="5"/>
    <x v="13"/>
    <x v="1067"/>
    <x v="5"/>
  </r>
  <r>
    <x v="5"/>
    <x v="14"/>
    <x v="781"/>
    <x v="5"/>
  </r>
  <r>
    <x v="5"/>
    <x v="15"/>
    <x v="1068"/>
    <x v="5"/>
  </r>
  <r>
    <x v="5"/>
    <x v="16"/>
    <x v="1069"/>
    <x v="5"/>
  </r>
  <r>
    <x v="6"/>
    <x v="0"/>
    <x v="32"/>
    <x v="5"/>
  </r>
  <r>
    <x v="6"/>
    <x v="1"/>
    <x v="1"/>
    <x v="5"/>
  </r>
  <r>
    <x v="6"/>
    <x v="2"/>
    <x v="1070"/>
    <x v="5"/>
  </r>
  <r>
    <x v="6"/>
    <x v="3"/>
    <x v="1071"/>
    <x v="5"/>
  </r>
  <r>
    <x v="6"/>
    <x v="4"/>
    <x v="278"/>
    <x v="5"/>
  </r>
  <r>
    <x v="6"/>
    <x v="5"/>
    <x v="1072"/>
    <x v="5"/>
  </r>
  <r>
    <x v="6"/>
    <x v="6"/>
    <x v="1073"/>
    <x v="5"/>
  </r>
  <r>
    <x v="6"/>
    <x v="7"/>
    <x v="1074"/>
    <x v="5"/>
  </r>
  <r>
    <x v="6"/>
    <x v="8"/>
    <x v="98"/>
    <x v="5"/>
  </r>
  <r>
    <x v="6"/>
    <x v="9"/>
    <x v="1075"/>
    <x v="5"/>
  </r>
  <r>
    <x v="6"/>
    <x v="10"/>
    <x v="1076"/>
    <x v="5"/>
  </r>
  <r>
    <x v="6"/>
    <x v="11"/>
    <x v="1077"/>
    <x v="5"/>
  </r>
  <r>
    <x v="6"/>
    <x v="12"/>
    <x v="1078"/>
    <x v="5"/>
  </r>
  <r>
    <x v="6"/>
    <x v="13"/>
    <x v="1079"/>
    <x v="5"/>
  </r>
  <r>
    <x v="6"/>
    <x v="14"/>
    <x v="1080"/>
    <x v="5"/>
  </r>
  <r>
    <x v="6"/>
    <x v="15"/>
    <x v="1081"/>
    <x v="5"/>
  </r>
  <r>
    <x v="6"/>
    <x v="16"/>
    <x v="1082"/>
    <x v="5"/>
  </r>
  <r>
    <x v="7"/>
    <x v="0"/>
    <x v="32"/>
    <x v="5"/>
  </r>
  <r>
    <x v="7"/>
    <x v="1"/>
    <x v="107"/>
    <x v="5"/>
  </r>
  <r>
    <x v="7"/>
    <x v="2"/>
    <x v="1083"/>
    <x v="5"/>
  </r>
  <r>
    <x v="7"/>
    <x v="3"/>
    <x v="95"/>
    <x v="5"/>
  </r>
  <r>
    <x v="7"/>
    <x v="4"/>
    <x v="304"/>
    <x v="5"/>
  </r>
  <r>
    <x v="7"/>
    <x v="5"/>
    <x v="394"/>
    <x v="5"/>
  </r>
  <r>
    <x v="7"/>
    <x v="6"/>
    <x v="726"/>
    <x v="5"/>
  </r>
  <r>
    <x v="7"/>
    <x v="7"/>
    <x v="1084"/>
    <x v="5"/>
  </r>
  <r>
    <x v="7"/>
    <x v="8"/>
    <x v="114"/>
    <x v="5"/>
  </r>
  <r>
    <x v="7"/>
    <x v="9"/>
    <x v="1085"/>
    <x v="5"/>
  </r>
  <r>
    <x v="7"/>
    <x v="10"/>
    <x v="1086"/>
    <x v="5"/>
  </r>
  <r>
    <x v="7"/>
    <x v="11"/>
    <x v="1087"/>
    <x v="5"/>
  </r>
  <r>
    <x v="7"/>
    <x v="12"/>
    <x v="1088"/>
    <x v="5"/>
  </r>
  <r>
    <x v="7"/>
    <x v="13"/>
    <x v="1089"/>
    <x v="5"/>
  </r>
  <r>
    <x v="7"/>
    <x v="14"/>
    <x v="1090"/>
    <x v="5"/>
  </r>
  <r>
    <x v="7"/>
    <x v="15"/>
    <x v="1091"/>
    <x v="5"/>
  </r>
  <r>
    <x v="7"/>
    <x v="16"/>
    <x v="1092"/>
    <x v="5"/>
  </r>
  <r>
    <x v="8"/>
    <x v="0"/>
    <x v="0"/>
    <x v="5"/>
  </r>
  <r>
    <x v="8"/>
    <x v="1"/>
    <x v="107"/>
    <x v="5"/>
  </r>
  <r>
    <x v="8"/>
    <x v="2"/>
    <x v="1093"/>
    <x v="5"/>
  </r>
  <r>
    <x v="8"/>
    <x v="3"/>
    <x v="1094"/>
    <x v="5"/>
  </r>
  <r>
    <x v="8"/>
    <x v="4"/>
    <x v="239"/>
    <x v="5"/>
  </r>
  <r>
    <x v="8"/>
    <x v="5"/>
    <x v="457"/>
    <x v="5"/>
  </r>
  <r>
    <x v="8"/>
    <x v="6"/>
    <x v="809"/>
    <x v="5"/>
  </r>
  <r>
    <x v="8"/>
    <x v="7"/>
    <x v="1095"/>
    <x v="5"/>
  </r>
  <r>
    <x v="8"/>
    <x v="8"/>
    <x v="129"/>
    <x v="5"/>
  </r>
  <r>
    <x v="8"/>
    <x v="9"/>
    <x v="1096"/>
    <x v="5"/>
  </r>
  <r>
    <x v="8"/>
    <x v="10"/>
    <x v="1097"/>
    <x v="5"/>
  </r>
  <r>
    <x v="8"/>
    <x v="11"/>
    <x v="1098"/>
    <x v="5"/>
  </r>
  <r>
    <x v="8"/>
    <x v="12"/>
    <x v="1099"/>
    <x v="5"/>
  </r>
  <r>
    <x v="8"/>
    <x v="13"/>
    <x v="1100"/>
    <x v="5"/>
  </r>
  <r>
    <x v="8"/>
    <x v="14"/>
    <x v="1101"/>
    <x v="5"/>
  </r>
  <r>
    <x v="8"/>
    <x v="15"/>
    <x v="1102"/>
    <x v="5"/>
  </r>
  <r>
    <x v="8"/>
    <x v="16"/>
    <x v="1103"/>
    <x v="5"/>
  </r>
  <r>
    <x v="1"/>
    <x v="0"/>
    <x v="0"/>
    <x v="5"/>
  </r>
  <r>
    <x v="1"/>
    <x v="1"/>
    <x v="1"/>
    <x v="5"/>
  </r>
  <r>
    <x v="1"/>
    <x v="2"/>
    <x v="1104"/>
    <x v="5"/>
  </r>
  <r>
    <x v="1"/>
    <x v="3"/>
    <x v="1105"/>
    <x v="5"/>
  </r>
  <r>
    <x v="1"/>
    <x v="4"/>
    <x v="736"/>
    <x v="5"/>
  </r>
  <r>
    <x v="1"/>
    <x v="5"/>
    <x v="593"/>
    <x v="5"/>
  </r>
  <r>
    <x v="1"/>
    <x v="6"/>
    <x v="1106"/>
    <x v="5"/>
  </r>
  <r>
    <x v="1"/>
    <x v="7"/>
    <x v="1107"/>
    <x v="5"/>
  </r>
  <r>
    <x v="1"/>
    <x v="8"/>
    <x v="142"/>
    <x v="5"/>
  </r>
  <r>
    <x v="1"/>
    <x v="9"/>
    <x v="1108"/>
    <x v="5"/>
  </r>
  <r>
    <x v="1"/>
    <x v="10"/>
    <x v="1109"/>
    <x v="5"/>
  </r>
  <r>
    <x v="1"/>
    <x v="11"/>
    <x v="1110"/>
    <x v="5"/>
  </r>
  <r>
    <x v="1"/>
    <x v="12"/>
    <x v="1111"/>
    <x v="5"/>
  </r>
  <r>
    <x v="1"/>
    <x v="13"/>
    <x v="1112"/>
    <x v="5"/>
  </r>
  <r>
    <x v="1"/>
    <x v="14"/>
    <x v="1113"/>
    <x v="5"/>
  </r>
  <r>
    <x v="1"/>
    <x v="15"/>
    <x v="1114"/>
    <x v="5"/>
  </r>
  <r>
    <x v="1"/>
    <x v="16"/>
    <x v="1115"/>
    <x v="5"/>
  </r>
  <r>
    <x v="15"/>
    <x v="0"/>
    <x v="0"/>
    <x v="5"/>
  </r>
  <r>
    <x v="15"/>
    <x v="1"/>
    <x v="107"/>
    <x v="5"/>
  </r>
  <r>
    <x v="15"/>
    <x v="2"/>
    <x v="404"/>
    <x v="5"/>
  </r>
  <r>
    <x v="15"/>
    <x v="3"/>
    <x v="1116"/>
    <x v="5"/>
  </r>
  <r>
    <x v="15"/>
    <x v="4"/>
    <x v="761"/>
    <x v="5"/>
  </r>
  <r>
    <x v="15"/>
    <x v="5"/>
    <x v="1117"/>
    <x v="5"/>
  </r>
  <r>
    <x v="15"/>
    <x v="6"/>
    <x v="112"/>
    <x v="5"/>
  </r>
  <r>
    <x v="15"/>
    <x v="7"/>
    <x v="67"/>
    <x v="5"/>
  </r>
  <r>
    <x v="15"/>
    <x v="8"/>
    <x v="156"/>
    <x v="5"/>
  </r>
  <r>
    <x v="15"/>
    <x v="9"/>
    <x v="1118"/>
    <x v="5"/>
  </r>
  <r>
    <x v="15"/>
    <x v="10"/>
    <x v="1119"/>
    <x v="5"/>
  </r>
  <r>
    <x v="15"/>
    <x v="11"/>
    <x v="1120"/>
    <x v="5"/>
  </r>
  <r>
    <x v="15"/>
    <x v="12"/>
    <x v="1121"/>
    <x v="5"/>
  </r>
  <r>
    <x v="15"/>
    <x v="13"/>
    <x v="1122"/>
    <x v="5"/>
  </r>
  <r>
    <x v="15"/>
    <x v="14"/>
    <x v="1123"/>
    <x v="5"/>
  </r>
  <r>
    <x v="15"/>
    <x v="15"/>
    <x v="1124"/>
    <x v="5"/>
  </r>
  <r>
    <x v="15"/>
    <x v="16"/>
    <x v="1125"/>
    <x v="5"/>
  </r>
  <r>
    <x v="11"/>
    <x v="0"/>
    <x v="32"/>
    <x v="5"/>
  </r>
  <r>
    <x v="11"/>
    <x v="1"/>
    <x v="107"/>
    <x v="5"/>
  </r>
  <r>
    <x v="11"/>
    <x v="2"/>
    <x v="1126"/>
    <x v="5"/>
  </r>
  <r>
    <x v="11"/>
    <x v="3"/>
    <x v="707"/>
    <x v="5"/>
  </r>
  <r>
    <x v="11"/>
    <x v="4"/>
    <x v="125"/>
    <x v="5"/>
  </r>
  <r>
    <x v="11"/>
    <x v="5"/>
    <x v="1127"/>
    <x v="5"/>
  </r>
  <r>
    <x v="11"/>
    <x v="6"/>
    <x v="1128"/>
    <x v="5"/>
  </r>
  <r>
    <x v="11"/>
    <x v="7"/>
    <x v="1129"/>
    <x v="5"/>
  </r>
  <r>
    <x v="11"/>
    <x v="8"/>
    <x v="171"/>
    <x v="5"/>
  </r>
  <r>
    <x v="11"/>
    <x v="9"/>
    <x v="1130"/>
    <x v="5"/>
  </r>
  <r>
    <x v="11"/>
    <x v="10"/>
    <x v="1131"/>
    <x v="5"/>
  </r>
  <r>
    <x v="11"/>
    <x v="11"/>
    <x v="1132"/>
    <x v="5"/>
  </r>
  <r>
    <x v="11"/>
    <x v="12"/>
    <x v="1133"/>
    <x v="5"/>
  </r>
  <r>
    <x v="11"/>
    <x v="13"/>
    <x v="1134"/>
    <x v="5"/>
  </r>
  <r>
    <x v="11"/>
    <x v="14"/>
    <x v="1135"/>
    <x v="5"/>
  </r>
  <r>
    <x v="11"/>
    <x v="15"/>
    <x v="1136"/>
    <x v="5"/>
  </r>
  <r>
    <x v="11"/>
    <x v="16"/>
    <x v="1137"/>
    <x v="5"/>
  </r>
  <r>
    <x v="12"/>
    <x v="0"/>
    <x v="32"/>
    <x v="5"/>
  </r>
  <r>
    <x v="12"/>
    <x v="1"/>
    <x v="107"/>
    <x v="5"/>
  </r>
  <r>
    <x v="12"/>
    <x v="2"/>
    <x v="1138"/>
    <x v="5"/>
  </r>
  <r>
    <x v="12"/>
    <x v="3"/>
    <x v="1139"/>
    <x v="5"/>
  </r>
  <r>
    <x v="12"/>
    <x v="4"/>
    <x v="19"/>
    <x v="5"/>
  </r>
  <r>
    <x v="12"/>
    <x v="5"/>
    <x v="1140"/>
    <x v="5"/>
  </r>
  <r>
    <x v="12"/>
    <x v="6"/>
    <x v="1141"/>
    <x v="5"/>
  </r>
  <r>
    <x v="12"/>
    <x v="7"/>
    <x v="911"/>
    <x v="5"/>
  </r>
  <r>
    <x v="12"/>
    <x v="8"/>
    <x v="185"/>
    <x v="5"/>
  </r>
  <r>
    <x v="12"/>
    <x v="9"/>
    <x v="1142"/>
    <x v="5"/>
  </r>
  <r>
    <x v="12"/>
    <x v="10"/>
    <x v="1143"/>
    <x v="5"/>
  </r>
  <r>
    <x v="12"/>
    <x v="11"/>
    <x v="171"/>
    <x v="5"/>
  </r>
  <r>
    <x v="12"/>
    <x v="12"/>
    <x v="1144"/>
    <x v="5"/>
  </r>
  <r>
    <x v="12"/>
    <x v="13"/>
    <x v="1145"/>
    <x v="5"/>
  </r>
  <r>
    <x v="12"/>
    <x v="14"/>
    <x v="1146"/>
    <x v="5"/>
  </r>
  <r>
    <x v="12"/>
    <x v="15"/>
    <x v="1147"/>
    <x v="5"/>
  </r>
  <r>
    <x v="12"/>
    <x v="16"/>
    <x v="1148"/>
    <x v="5"/>
  </r>
  <r>
    <x v="13"/>
    <x v="0"/>
    <x v="0"/>
    <x v="5"/>
  </r>
  <r>
    <x v="13"/>
    <x v="1"/>
    <x v="107"/>
    <x v="5"/>
  </r>
  <r>
    <x v="13"/>
    <x v="2"/>
    <x v="732"/>
    <x v="5"/>
  </r>
  <r>
    <x v="13"/>
    <x v="3"/>
    <x v="557"/>
    <x v="5"/>
  </r>
  <r>
    <x v="13"/>
    <x v="4"/>
    <x v="330"/>
    <x v="5"/>
  </r>
  <r>
    <x v="13"/>
    <x v="5"/>
    <x v="1149"/>
    <x v="5"/>
  </r>
  <r>
    <x v="13"/>
    <x v="6"/>
    <x v="1150"/>
    <x v="5"/>
  </r>
  <r>
    <x v="13"/>
    <x v="7"/>
    <x v="1061"/>
    <x v="5"/>
  </r>
  <r>
    <x v="13"/>
    <x v="8"/>
    <x v="199"/>
    <x v="5"/>
  </r>
  <r>
    <x v="13"/>
    <x v="9"/>
    <x v="1151"/>
    <x v="5"/>
  </r>
  <r>
    <x v="13"/>
    <x v="10"/>
    <x v="1152"/>
    <x v="5"/>
  </r>
  <r>
    <x v="13"/>
    <x v="11"/>
    <x v="1153"/>
    <x v="5"/>
  </r>
  <r>
    <x v="13"/>
    <x v="12"/>
    <x v="1154"/>
    <x v="5"/>
  </r>
  <r>
    <x v="13"/>
    <x v="13"/>
    <x v="1155"/>
    <x v="5"/>
  </r>
  <r>
    <x v="13"/>
    <x v="14"/>
    <x v="1156"/>
    <x v="5"/>
  </r>
  <r>
    <x v="13"/>
    <x v="15"/>
    <x v="1157"/>
    <x v="5"/>
  </r>
  <r>
    <x v="13"/>
    <x v="16"/>
    <x v="1158"/>
    <x v="5"/>
  </r>
  <r>
    <x v="14"/>
    <x v="0"/>
    <x v="32"/>
    <x v="5"/>
  </r>
  <r>
    <x v="14"/>
    <x v="1"/>
    <x v="107"/>
    <x v="5"/>
  </r>
  <r>
    <x v="14"/>
    <x v="2"/>
    <x v="1159"/>
    <x v="5"/>
  </r>
  <r>
    <x v="14"/>
    <x v="3"/>
    <x v="1160"/>
    <x v="5"/>
  </r>
  <r>
    <x v="14"/>
    <x v="4"/>
    <x v="4"/>
    <x v="5"/>
  </r>
  <r>
    <x v="14"/>
    <x v="5"/>
    <x v="1161"/>
    <x v="5"/>
  </r>
  <r>
    <x v="14"/>
    <x v="6"/>
    <x v="49"/>
    <x v="5"/>
  </r>
  <r>
    <x v="14"/>
    <x v="7"/>
    <x v="639"/>
    <x v="5"/>
  </r>
  <r>
    <x v="14"/>
    <x v="8"/>
    <x v="213"/>
    <x v="5"/>
  </r>
  <r>
    <x v="14"/>
    <x v="9"/>
    <x v="1162"/>
    <x v="5"/>
  </r>
  <r>
    <x v="14"/>
    <x v="10"/>
    <x v="1163"/>
    <x v="5"/>
  </r>
  <r>
    <x v="14"/>
    <x v="11"/>
    <x v="1164"/>
    <x v="5"/>
  </r>
  <r>
    <x v="14"/>
    <x v="12"/>
    <x v="1165"/>
    <x v="5"/>
  </r>
  <r>
    <x v="14"/>
    <x v="13"/>
    <x v="1166"/>
    <x v="5"/>
  </r>
  <r>
    <x v="14"/>
    <x v="14"/>
    <x v="1167"/>
    <x v="5"/>
  </r>
  <r>
    <x v="14"/>
    <x v="15"/>
    <x v="1168"/>
    <x v="5"/>
  </r>
  <r>
    <x v="14"/>
    <x v="16"/>
    <x v="1169"/>
    <x v="5"/>
  </r>
  <r>
    <x v="2"/>
    <x v="0"/>
    <x v="32"/>
    <x v="5"/>
  </r>
  <r>
    <x v="2"/>
    <x v="1"/>
    <x v="1"/>
    <x v="5"/>
  </r>
  <r>
    <x v="2"/>
    <x v="2"/>
    <x v="1170"/>
    <x v="5"/>
  </r>
  <r>
    <x v="2"/>
    <x v="3"/>
    <x v="318"/>
    <x v="5"/>
  </r>
  <r>
    <x v="2"/>
    <x v="4"/>
    <x v="278"/>
    <x v="5"/>
  </r>
  <r>
    <x v="2"/>
    <x v="5"/>
    <x v="1171"/>
    <x v="5"/>
  </r>
  <r>
    <x v="2"/>
    <x v="6"/>
    <x v="1172"/>
    <x v="5"/>
  </r>
  <r>
    <x v="2"/>
    <x v="7"/>
    <x v="1173"/>
    <x v="5"/>
  </r>
  <r>
    <x v="2"/>
    <x v="8"/>
    <x v="228"/>
    <x v="5"/>
  </r>
  <r>
    <x v="2"/>
    <x v="9"/>
    <x v="1174"/>
    <x v="5"/>
  </r>
  <r>
    <x v="2"/>
    <x v="10"/>
    <x v="1175"/>
    <x v="5"/>
  </r>
  <r>
    <x v="2"/>
    <x v="11"/>
    <x v="1176"/>
    <x v="5"/>
  </r>
  <r>
    <x v="2"/>
    <x v="12"/>
    <x v="1177"/>
    <x v="5"/>
  </r>
  <r>
    <x v="2"/>
    <x v="13"/>
    <x v="1178"/>
    <x v="5"/>
  </r>
  <r>
    <x v="2"/>
    <x v="14"/>
    <x v="1179"/>
    <x v="5"/>
  </r>
  <r>
    <x v="2"/>
    <x v="15"/>
    <x v="1180"/>
    <x v="5"/>
  </r>
  <r>
    <x v="2"/>
    <x v="16"/>
    <x v="1181"/>
    <x v="5"/>
  </r>
  <r>
    <x v="0"/>
    <x v="0"/>
    <x v="0"/>
    <x v="6"/>
  </r>
  <r>
    <x v="0"/>
    <x v="1"/>
    <x v="1"/>
    <x v="6"/>
  </r>
  <r>
    <x v="0"/>
    <x v="2"/>
    <x v="1182"/>
    <x v="6"/>
  </r>
  <r>
    <x v="0"/>
    <x v="3"/>
    <x v="1183"/>
    <x v="6"/>
  </r>
  <r>
    <x v="0"/>
    <x v="4"/>
    <x v="239"/>
    <x v="6"/>
  </r>
  <r>
    <x v="0"/>
    <x v="5"/>
    <x v="1184"/>
    <x v="6"/>
  </r>
  <r>
    <x v="0"/>
    <x v="6"/>
    <x v="1185"/>
    <x v="6"/>
  </r>
  <r>
    <x v="0"/>
    <x v="7"/>
    <x v="1004"/>
    <x v="6"/>
  </r>
  <r>
    <x v="0"/>
    <x v="8"/>
    <x v="8"/>
    <x v="6"/>
  </r>
  <r>
    <x v="0"/>
    <x v="9"/>
    <x v="1186"/>
    <x v="6"/>
  </r>
  <r>
    <x v="0"/>
    <x v="10"/>
    <x v="1187"/>
    <x v="6"/>
  </r>
  <r>
    <x v="0"/>
    <x v="11"/>
    <x v="1188"/>
    <x v="6"/>
  </r>
  <r>
    <x v="0"/>
    <x v="12"/>
    <x v="1189"/>
    <x v="6"/>
  </r>
  <r>
    <x v="0"/>
    <x v="13"/>
    <x v="1190"/>
    <x v="6"/>
  </r>
  <r>
    <x v="0"/>
    <x v="14"/>
    <x v="1191"/>
    <x v="6"/>
  </r>
  <r>
    <x v="0"/>
    <x v="15"/>
    <x v="1192"/>
    <x v="6"/>
  </r>
  <r>
    <x v="0"/>
    <x v="16"/>
    <x v="1193"/>
    <x v="6"/>
  </r>
  <r>
    <x v="1"/>
    <x v="0"/>
    <x v="0"/>
    <x v="6"/>
  </r>
  <r>
    <x v="1"/>
    <x v="1"/>
    <x v="1"/>
    <x v="6"/>
  </r>
  <r>
    <x v="1"/>
    <x v="2"/>
    <x v="551"/>
    <x v="6"/>
  </r>
  <r>
    <x v="1"/>
    <x v="3"/>
    <x v="6"/>
    <x v="6"/>
  </r>
  <r>
    <x v="1"/>
    <x v="4"/>
    <x v="380"/>
    <x v="6"/>
  </r>
  <r>
    <x v="1"/>
    <x v="5"/>
    <x v="1194"/>
    <x v="6"/>
  </r>
  <r>
    <x v="1"/>
    <x v="6"/>
    <x v="866"/>
    <x v="6"/>
  </r>
  <r>
    <x v="1"/>
    <x v="7"/>
    <x v="843"/>
    <x v="6"/>
  </r>
  <r>
    <x v="1"/>
    <x v="8"/>
    <x v="23"/>
    <x v="6"/>
  </r>
  <r>
    <x v="1"/>
    <x v="9"/>
    <x v="1195"/>
    <x v="6"/>
  </r>
  <r>
    <x v="1"/>
    <x v="10"/>
    <x v="1196"/>
    <x v="6"/>
  </r>
  <r>
    <x v="1"/>
    <x v="11"/>
    <x v="1197"/>
    <x v="6"/>
  </r>
  <r>
    <x v="1"/>
    <x v="12"/>
    <x v="1198"/>
    <x v="6"/>
  </r>
  <r>
    <x v="1"/>
    <x v="13"/>
    <x v="1199"/>
    <x v="6"/>
  </r>
  <r>
    <x v="1"/>
    <x v="14"/>
    <x v="1200"/>
    <x v="6"/>
  </r>
  <r>
    <x v="1"/>
    <x v="15"/>
    <x v="1201"/>
    <x v="6"/>
  </r>
  <r>
    <x v="1"/>
    <x v="16"/>
    <x v="1202"/>
    <x v="6"/>
  </r>
  <r>
    <x v="2"/>
    <x v="0"/>
    <x v="32"/>
    <x v="6"/>
  </r>
  <r>
    <x v="2"/>
    <x v="1"/>
    <x v="1"/>
    <x v="6"/>
  </r>
  <r>
    <x v="2"/>
    <x v="2"/>
    <x v="1203"/>
    <x v="6"/>
  </r>
  <r>
    <x v="2"/>
    <x v="3"/>
    <x v="472"/>
    <x v="6"/>
  </r>
  <r>
    <x v="2"/>
    <x v="4"/>
    <x v="152"/>
    <x v="6"/>
  </r>
  <r>
    <x v="2"/>
    <x v="5"/>
    <x v="1204"/>
    <x v="6"/>
  </r>
  <r>
    <x v="2"/>
    <x v="6"/>
    <x v="1205"/>
    <x v="6"/>
  </r>
  <r>
    <x v="2"/>
    <x v="7"/>
    <x v="821"/>
    <x v="6"/>
  </r>
  <r>
    <x v="2"/>
    <x v="8"/>
    <x v="39"/>
    <x v="6"/>
  </r>
  <r>
    <x v="2"/>
    <x v="9"/>
    <x v="1206"/>
    <x v="6"/>
  </r>
  <r>
    <x v="2"/>
    <x v="10"/>
    <x v="1207"/>
    <x v="6"/>
  </r>
  <r>
    <x v="2"/>
    <x v="11"/>
    <x v="1208"/>
    <x v="6"/>
  </r>
  <r>
    <x v="2"/>
    <x v="12"/>
    <x v="1209"/>
    <x v="6"/>
  </r>
  <r>
    <x v="2"/>
    <x v="13"/>
    <x v="1210"/>
    <x v="6"/>
  </r>
  <r>
    <x v="2"/>
    <x v="14"/>
    <x v="1211"/>
    <x v="6"/>
  </r>
  <r>
    <x v="2"/>
    <x v="15"/>
    <x v="1212"/>
    <x v="6"/>
  </r>
  <r>
    <x v="2"/>
    <x v="16"/>
    <x v="1213"/>
    <x v="6"/>
  </r>
  <r>
    <x v="3"/>
    <x v="0"/>
    <x v="32"/>
    <x v="6"/>
  </r>
  <r>
    <x v="3"/>
    <x v="1"/>
    <x v="1"/>
    <x v="6"/>
  </r>
  <r>
    <x v="3"/>
    <x v="2"/>
    <x v="1214"/>
    <x v="6"/>
  </r>
  <r>
    <x v="3"/>
    <x v="3"/>
    <x v="1215"/>
    <x v="6"/>
  </r>
  <r>
    <x v="3"/>
    <x v="4"/>
    <x v="278"/>
    <x v="6"/>
  </r>
  <r>
    <x v="3"/>
    <x v="5"/>
    <x v="1216"/>
    <x v="6"/>
  </r>
  <r>
    <x v="3"/>
    <x v="6"/>
    <x v="934"/>
    <x v="6"/>
  </r>
  <r>
    <x v="3"/>
    <x v="7"/>
    <x v="1217"/>
    <x v="6"/>
  </r>
  <r>
    <x v="3"/>
    <x v="8"/>
    <x v="54"/>
    <x v="6"/>
  </r>
  <r>
    <x v="3"/>
    <x v="9"/>
    <x v="1218"/>
    <x v="6"/>
  </r>
  <r>
    <x v="3"/>
    <x v="10"/>
    <x v="1219"/>
    <x v="6"/>
  </r>
  <r>
    <x v="3"/>
    <x v="11"/>
    <x v="1220"/>
    <x v="6"/>
  </r>
  <r>
    <x v="3"/>
    <x v="12"/>
    <x v="1221"/>
    <x v="6"/>
  </r>
  <r>
    <x v="3"/>
    <x v="13"/>
    <x v="1222"/>
    <x v="6"/>
  </r>
  <r>
    <x v="3"/>
    <x v="14"/>
    <x v="1223"/>
    <x v="6"/>
  </r>
  <r>
    <x v="3"/>
    <x v="15"/>
    <x v="1224"/>
    <x v="6"/>
  </r>
  <r>
    <x v="3"/>
    <x v="16"/>
    <x v="1225"/>
    <x v="6"/>
  </r>
  <r>
    <x v="4"/>
    <x v="0"/>
    <x v="0"/>
    <x v="6"/>
  </r>
  <r>
    <x v="4"/>
    <x v="1"/>
    <x v="1"/>
    <x v="6"/>
  </r>
  <r>
    <x v="4"/>
    <x v="2"/>
    <x v="1226"/>
    <x v="6"/>
  </r>
  <r>
    <x v="4"/>
    <x v="3"/>
    <x v="1227"/>
    <x v="6"/>
  </r>
  <r>
    <x v="4"/>
    <x v="4"/>
    <x v="167"/>
    <x v="6"/>
  </r>
  <r>
    <x v="4"/>
    <x v="5"/>
    <x v="1038"/>
    <x v="6"/>
  </r>
  <r>
    <x v="4"/>
    <x v="6"/>
    <x v="1228"/>
    <x v="6"/>
  </r>
  <r>
    <x v="4"/>
    <x v="7"/>
    <x v="726"/>
    <x v="6"/>
  </r>
  <r>
    <x v="4"/>
    <x v="8"/>
    <x v="69"/>
    <x v="6"/>
  </r>
  <r>
    <x v="4"/>
    <x v="9"/>
    <x v="1229"/>
    <x v="6"/>
  </r>
  <r>
    <x v="4"/>
    <x v="10"/>
    <x v="1230"/>
    <x v="6"/>
  </r>
  <r>
    <x v="4"/>
    <x v="11"/>
    <x v="1231"/>
    <x v="6"/>
  </r>
  <r>
    <x v="4"/>
    <x v="12"/>
    <x v="1232"/>
    <x v="6"/>
  </r>
  <r>
    <x v="4"/>
    <x v="13"/>
    <x v="1233"/>
    <x v="6"/>
  </r>
  <r>
    <x v="4"/>
    <x v="14"/>
    <x v="1234"/>
    <x v="6"/>
  </r>
  <r>
    <x v="4"/>
    <x v="15"/>
    <x v="1235"/>
    <x v="6"/>
  </r>
  <r>
    <x v="4"/>
    <x v="16"/>
    <x v="1236"/>
    <x v="6"/>
  </r>
  <r>
    <x v="5"/>
    <x v="0"/>
    <x v="0"/>
    <x v="6"/>
  </r>
  <r>
    <x v="5"/>
    <x v="1"/>
    <x v="1"/>
    <x v="6"/>
  </r>
  <r>
    <x v="5"/>
    <x v="2"/>
    <x v="1237"/>
    <x v="6"/>
  </r>
  <r>
    <x v="5"/>
    <x v="3"/>
    <x v="833"/>
    <x v="6"/>
  </r>
  <r>
    <x v="5"/>
    <x v="4"/>
    <x v="330"/>
    <x v="6"/>
  </r>
  <r>
    <x v="5"/>
    <x v="5"/>
    <x v="1238"/>
    <x v="6"/>
  </r>
  <r>
    <x v="5"/>
    <x v="6"/>
    <x v="291"/>
    <x v="6"/>
  </r>
  <r>
    <x v="5"/>
    <x v="7"/>
    <x v="1239"/>
    <x v="6"/>
  </r>
  <r>
    <x v="5"/>
    <x v="8"/>
    <x v="84"/>
    <x v="6"/>
  </r>
  <r>
    <x v="5"/>
    <x v="9"/>
    <x v="1240"/>
    <x v="6"/>
  </r>
  <r>
    <x v="5"/>
    <x v="10"/>
    <x v="1241"/>
    <x v="6"/>
  </r>
  <r>
    <x v="5"/>
    <x v="11"/>
    <x v="1242"/>
    <x v="6"/>
  </r>
  <r>
    <x v="5"/>
    <x v="12"/>
    <x v="1243"/>
    <x v="6"/>
  </r>
  <r>
    <x v="5"/>
    <x v="13"/>
    <x v="1244"/>
    <x v="6"/>
  </r>
  <r>
    <x v="5"/>
    <x v="14"/>
    <x v="1245"/>
    <x v="6"/>
  </r>
  <r>
    <x v="5"/>
    <x v="15"/>
    <x v="1246"/>
    <x v="6"/>
  </r>
  <r>
    <x v="5"/>
    <x v="16"/>
    <x v="1247"/>
    <x v="6"/>
  </r>
  <r>
    <x v="6"/>
    <x v="0"/>
    <x v="32"/>
    <x v="6"/>
  </r>
  <r>
    <x v="6"/>
    <x v="1"/>
    <x v="1"/>
    <x v="6"/>
  </r>
  <r>
    <x v="6"/>
    <x v="2"/>
    <x v="1248"/>
    <x v="6"/>
  </r>
  <r>
    <x v="6"/>
    <x v="3"/>
    <x v="1249"/>
    <x v="6"/>
  </r>
  <r>
    <x v="6"/>
    <x v="4"/>
    <x v="35"/>
    <x v="6"/>
  </r>
  <r>
    <x v="6"/>
    <x v="5"/>
    <x v="1250"/>
    <x v="6"/>
  </r>
  <r>
    <x v="6"/>
    <x v="6"/>
    <x v="1251"/>
    <x v="6"/>
  </r>
  <r>
    <x v="6"/>
    <x v="7"/>
    <x v="430"/>
    <x v="6"/>
  </r>
  <r>
    <x v="6"/>
    <x v="8"/>
    <x v="98"/>
    <x v="6"/>
  </r>
  <r>
    <x v="6"/>
    <x v="9"/>
    <x v="130"/>
    <x v="6"/>
  </r>
  <r>
    <x v="6"/>
    <x v="10"/>
    <x v="131"/>
    <x v="6"/>
  </r>
  <r>
    <x v="6"/>
    <x v="11"/>
    <x v="1252"/>
    <x v="6"/>
  </r>
  <r>
    <x v="6"/>
    <x v="12"/>
    <x v="1253"/>
    <x v="6"/>
  </r>
  <r>
    <x v="6"/>
    <x v="13"/>
    <x v="1254"/>
    <x v="6"/>
  </r>
  <r>
    <x v="6"/>
    <x v="14"/>
    <x v="1255"/>
    <x v="6"/>
  </r>
  <r>
    <x v="6"/>
    <x v="15"/>
    <x v="1256"/>
    <x v="6"/>
  </r>
  <r>
    <x v="6"/>
    <x v="16"/>
    <x v="1257"/>
    <x v="6"/>
  </r>
  <r>
    <x v="7"/>
    <x v="0"/>
    <x v="32"/>
    <x v="6"/>
  </r>
  <r>
    <x v="7"/>
    <x v="1"/>
    <x v="107"/>
    <x v="6"/>
  </r>
  <r>
    <x v="7"/>
    <x v="2"/>
    <x v="1258"/>
    <x v="6"/>
  </r>
  <r>
    <x v="7"/>
    <x v="3"/>
    <x v="1185"/>
    <x v="6"/>
  </r>
  <r>
    <x v="7"/>
    <x v="4"/>
    <x v="8"/>
    <x v="6"/>
  </r>
  <r>
    <x v="7"/>
    <x v="5"/>
    <x v="1259"/>
    <x v="6"/>
  </r>
  <r>
    <x v="7"/>
    <x v="6"/>
    <x v="1260"/>
    <x v="6"/>
  </r>
  <r>
    <x v="7"/>
    <x v="7"/>
    <x v="1205"/>
    <x v="6"/>
  </r>
  <r>
    <x v="7"/>
    <x v="8"/>
    <x v="114"/>
    <x v="6"/>
  </r>
  <r>
    <x v="7"/>
    <x v="9"/>
    <x v="1261"/>
    <x v="6"/>
  </r>
  <r>
    <x v="7"/>
    <x v="10"/>
    <x v="1262"/>
    <x v="6"/>
  </r>
  <r>
    <x v="7"/>
    <x v="11"/>
    <x v="1263"/>
    <x v="6"/>
  </r>
  <r>
    <x v="7"/>
    <x v="12"/>
    <x v="1264"/>
    <x v="6"/>
  </r>
  <r>
    <x v="7"/>
    <x v="13"/>
    <x v="1265"/>
    <x v="6"/>
  </r>
  <r>
    <x v="7"/>
    <x v="14"/>
    <x v="1266"/>
    <x v="6"/>
  </r>
  <r>
    <x v="7"/>
    <x v="15"/>
    <x v="1267"/>
    <x v="6"/>
  </r>
  <r>
    <x v="7"/>
    <x v="16"/>
    <x v="1268"/>
    <x v="6"/>
  </r>
  <r>
    <x v="8"/>
    <x v="0"/>
    <x v="0"/>
    <x v="6"/>
  </r>
  <r>
    <x v="8"/>
    <x v="1"/>
    <x v="107"/>
    <x v="6"/>
  </r>
  <r>
    <x v="8"/>
    <x v="2"/>
    <x v="1269"/>
    <x v="6"/>
  </r>
  <r>
    <x v="8"/>
    <x v="3"/>
    <x v="1270"/>
    <x v="6"/>
  </r>
  <r>
    <x v="8"/>
    <x v="4"/>
    <x v="95"/>
    <x v="6"/>
  </r>
  <r>
    <x v="8"/>
    <x v="5"/>
    <x v="1271"/>
    <x v="6"/>
  </r>
  <r>
    <x v="8"/>
    <x v="6"/>
    <x v="495"/>
    <x v="6"/>
  </r>
  <r>
    <x v="8"/>
    <x v="7"/>
    <x v="113"/>
    <x v="6"/>
  </r>
  <r>
    <x v="8"/>
    <x v="8"/>
    <x v="129"/>
    <x v="6"/>
  </r>
  <r>
    <x v="8"/>
    <x v="9"/>
    <x v="1272"/>
    <x v="6"/>
  </r>
  <r>
    <x v="8"/>
    <x v="10"/>
    <x v="1273"/>
    <x v="6"/>
  </r>
  <r>
    <x v="8"/>
    <x v="11"/>
    <x v="1274"/>
    <x v="6"/>
  </r>
  <r>
    <x v="8"/>
    <x v="12"/>
    <x v="1275"/>
    <x v="6"/>
  </r>
  <r>
    <x v="8"/>
    <x v="13"/>
    <x v="1276"/>
    <x v="6"/>
  </r>
  <r>
    <x v="8"/>
    <x v="14"/>
    <x v="1277"/>
    <x v="6"/>
  </r>
  <r>
    <x v="8"/>
    <x v="15"/>
    <x v="1278"/>
    <x v="6"/>
  </r>
  <r>
    <x v="8"/>
    <x v="16"/>
    <x v="1279"/>
    <x v="6"/>
  </r>
  <r>
    <x v="9"/>
    <x v="0"/>
    <x v="0"/>
    <x v="6"/>
  </r>
  <r>
    <x v="9"/>
    <x v="1"/>
    <x v="107"/>
    <x v="6"/>
  </r>
  <r>
    <x v="9"/>
    <x v="2"/>
    <x v="1280"/>
    <x v="6"/>
  </r>
  <r>
    <x v="9"/>
    <x v="3"/>
    <x v="1281"/>
    <x v="6"/>
  </r>
  <r>
    <x v="9"/>
    <x v="4"/>
    <x v="239"/>
    <x v="6"/>
  </r>
  <r>
    <x v="9"/>
    <x v="5"/>
    <x v="1038"/>
    <x v="6"/>
  </r>
  <r>
    <x v="9"/>
    <x v="6"/>
    <x v="154"/>
    <x v="6"/>
  </r>
  <r>
    <x v="9"/>
    <x v="7"/>
    <x v="1282"/>
    <x v="6"/>
  </r>
  <r>
    <x v="9"/>
    <x v="8"/>
    <x v="142"/>
    <x v="6"/>
  </r>
  <r>
    <x v="9"/>
    <x v="9"/>
    <x v="1283"/>
    <x v="6"/>
  </r>
  <r>
    <x v="9"/>
    <x v="10"/>
    <x v="1284"/>
    <x v="6"/>
  </r>
  <r>
    <x v="9"/>
    <x v="11"/>
    <x v="1285"/>
    <x v="6"/>
  </r>
  <r>
    <x v="9"/>
    <x v="12"/>
    <x v="1286"/>
    <x v="6"/>
  </r>
  <r>
    <x v="9"/>
    <x v="13"/>
    <x v="1287"/>
    <x v="6"/>
  </r>
  <r>
    <x v="9"/>
    <x v="14"/>
    <x v="1288"/>
    <x v="6"/>
  </r>
  <r>
    <x v="9"/>
    <x v="15"/>
    <x v="1289"/>
    <x v="6"/>
  </r>
  <r>
    <x v="9"/>
    <x v="16"/>
    <x v="1290"/>
    <x v="6"/>
  </r>
  <r>
    <x v="10"/>
    <x v="0"/>
    <x v="0"/>
    <x v="6"/>
  </r>
  <r>
    <x v="10"/>
    <x v="1"/>
    <x v="107"/>
    <x v="6"/>
  </r>
  <r>
    <x v="10"/>
    <x v="2"/>
    <x v="1291"/>
    <x v="6"/>
  </r>
  <r>
    <x v="10"/>
    <x v="3"/>
    <x v="266"/>
    <x v="6"/>
  </r>
  <r>
    <x v="10"/>
    <x v="4"/>
    <x v="761"/>
    <x v="6"/>
  </r>
  <r>
    <x v="10"/>
    <x v="5"/>
    <x v="1292"/>
    <x v="6"/>
  </r>
  <r>
    <x v="10"/>
    <x v="6"/>
    <x v="140"/>
    <x v="6"/>
  </r>
  <r>
    <x v="10"/>
    <x v="7"/>
    <x v="1293"/>
    <x v="6"/>
  </r>
  <r>
    <x v="10"/>
    <x v="8"/>
    <x v="156"/>
    <x v="6"/>
  </r>
  <r>
    <x v="10"/>
    <x v="9"/>
    <x v="1294"/>
    <x v="6"/>
  </r>
  <r>
    <x v="10"/>
    <x v="10"/>
    <x v="1295"/>
    <x v="6"/>
  </r>
  <r>
    <x v="10"/>
    <x v="11"/>
    <x v="1296"/>
    <x v="6"/>
  </r>
  <r>
    <x v="10"/>
    <x v="12"/>
    <x v="146"/>
    <x v="6"/>
  </r>
  <r>
    <x v="10"/>
    <x v="13"/>
    <x v="1297"/>
    <x v="6"/>
  </r>
  <r>
    <x v="10"/>
    <x v="14"/>
    <x v="1298"/>
    <x v="6"/>
  </r>
  <r>
    <x v="10"/>
    <x v="15"/>
    <x v="1299"/>
    <x v="6"/>
  </r>
  <r>
    <x v="10"/>
    <x v="16"/>
    <x v="1300"/>
    <x v="6"/>
  </r>
  <r>
    <x v="11"/>
    <x v="0"/>
    <x v="32"/>
    <x v="6"/>
  </r>
  <r>
    <x v="11"/>
    <x v="1"/>
    <x v="107"/>
    <x v="6"/>
  </r>
  <r>
    <x v="11"/>
    <x v="2"/>
    <x v="1301"/>
    <x v="6"/>
  </r>
  <r>
    <x v="11"/>
    <x v="3"/>
    <x v="280"/>
    <x v="6"/>
  </r>
  <r>
    <x v="11"/>
    <x v="4"/>
    <x v="531"/>
    <x v="6"/>
  </r>
  <r>
    <x v="11"/>
    <x v="5"/>
    <x v="1302"/>
    <x v="6"/>
  </r>
  <r>
    <x v="11"/>
    <x v="6"/>
    <x v="1303"/>
    <x v="6"/>
  </r>
  <r>
    <x v="11"/>
    <x v="7"/>
    <x v="331"/>
    <x v="6"/>
  </r>
  <r>
    <x v="11"/>
    <x v="8"/>
    <x v="171"/>
    <x v="6"/>
  </r>
  <r>
    <x v="11"/>
    <x v="9"/>
    <x v="1304"/>
    <x v="6"/>
  </r>
  <r>
    <x v="11"/>
    <x v="10"/>
    <x v="1305"/>
    <x v="6"/>
  </r>
  <r>
    <x v="11"/>
    <x v="11"/>
    <x v="1306"/>
    <x v="6"/>
  </r>
  <r>
    <x v="11"/>
    <x v="12"/>
    <x v="1307"/>
    <x v="6"/>
  </r>
  <r>
    <x v="11"/>
    <x v="13"/>
    <x v="1308"/>
    <x v="6"/>
  </r>
  <r>
    <x v="11"/>
    <x v="14"/>
    <x v="1309"/>
    <x v="6"/>
  </r>
  <r>
    <x v="11"/>
    <x v="15"/>
    <x v="1310"/>
    <x v="6"/>
  </r>
  <r>
    <x v="11"/>
    <x v="16"/>
    <x v="1311"/>
    <x v="6"/>
  </r>
  <r>
    <x v="12"/>
    <x v="0"/>
    <x v="32"/>
    <x v="6"/>
  </r>
  <r>
    <x v="12"/>
    <x v="1"/>
    <x v="107"/>
    <x v="6"/>
  </r>
  <r>
    <x v="12"/>
    <x v="2"/>
    <x v="1312"/>
    <x v="6"/>
  </r>
  <r>
    <x v="12"/>
    <x v="3"/>
    <x v="1313"/>
    <x v="6"/>
  </r>
  <r>
    <x v="12"/>
    <x v="4"/>
    <x v="4"/>
    <x v="6"/>
  </r>
  <r>
    <x v="12"/>
    <x v="5"/>
    <x v="265"/>
    <x v="6"/>
  </r>
  <r>
    <x v="12"/>
    <x v="6"/>
    <x v="603"/>
    <x v="6"/>
  </r>
  <r>
    <x v="12"/>
    <x v="7"/>
    <x v="889"/>
    <x v="6"/>
  </r>
  <r>
    <x v="12"/>
    <x v="8"/>
    <x v="185"/>
    <x v="6"/>
  </r>
  <r>
    <x v="12"/>
    <x v="9"/>
    <x v="1314"/>
    <x v="6"/>
  </r>
  <r>
    <x v="12"/>
    <x v="10"/>
    <x v="1315"/>
    <x v="6"/>
  </r>
  <r>
    <x v="12"/>
    <x v="11"/>
    <x v="1316"/>
    <x v="6"/>
  </r>
  <r>
    <x v="12"/>
    <x v="12"/>
    <x v="1317"/>
    <x v="6"/>
  </r>
  <r>
    <x v="12"/>
    <x v="13"/>
    <x v="1318"/>
    <x v="6"/>
  </r>
  <r>
    <x v="12"/>
    <x v="14"/>
    <x v="177"/>
    <x v="6"/>
  </r>
  <r>
    <x v="12"/>
    <x v="15"/>
    <x v="1319"/>
    <x v="6"/>
  </r>
  <r>
    <x v="12"/>
    <x v="16"/>
    <x v="1320"/>
    <x v="6"/>
  </r>
  <r>
    <x v="13"/>
    <x v="0"/>
    <x v="0"/>
    <x v="6"/>
  </r>
  <r>
    <x v="13"/>
    <x v="1"/>
    <x v="107"/>
    <x v="6"/>
  </r>
  <r>
    <x v="13"/>
    <x v="2"/>
    <x v="1321"/>
    <x v="6"/>
  </r>
  <r>
    <x v="13"/>
    <x v="3"/>
    <x v="1322"/>
    <x v="6"/>
  </r>
  <r>
    <x v="13"/>
    <x v="4"/>
    <x v="98"/>
    <x v="6"/>
  </r>
  <r>
    <x v="13"/>
    <x v="5"/>
    <x v="1323"/>
    <x v="6"/>
  </r>
  <r>
    <x v="13"/>
    <x v="6"/>
    <x v="1324"/>
    <x v="6"/>
  </r>
  <r>
    <x v="13"/>
    <x v="7"/>
    <x v="495"/>
    <x v="6"/>
  </r>
  <r>
    <x v="13"/>
    <x v="8"/>
    <x v="199"/>
    <x v="6"/>
  </r>
  <r>
    <x v="13"/>
    <x v="9"/>
    <x v="1325"/>
    <x v="6"/>
  </r>
  <r>
    <x v="13"/>
    <x v="10"/>
    <x v="1326"/>
    <x v="6"/>
  </r>
  <r>
    <x v="13"/>
    <x v="11"/>
    <x v="689"/>
    <x v="6"/>
  </r>
  <r>
    <x v="13"/>
    <x v="12"/>
    <x v="1327"/>
    <x v="6"/>
  </r>
  <r>
    <x v="13"/>
    <x v="13"/>
    <x v="1328"/>
    <x v="6"/>
  </r>
  <r>
    <x v="13"/>
    <x v="14"/>
    <x v="1329"/>
    <x v="6"/>
  </r>
  <r>
    <x v="13"/>
    <x v="15"/>
    <x v="1330"/>
    <x v="6"/>
  </r>
  <r>
    <x v="13"/>
    <x v="16"/>
    <x v="1331"/>
    <x v="6"/>
  </r>
  <r>
    <x v="14"/>
    <x v="0"/>
    <x v="32"/>
    <x v="6"/>
  </r>
  <r>
    <x v="14"/>
    <x v="1"/>
    <x v="107"/>
    <x v="6"/>
  </r>
  <r>
    <x v="14"/>
    <x v="2"/>
    <x v="1332"/>
    <x v="6"/>
  </r>
  <r>
    <x v="14"/>
    <x v="3"/>
    <x v="1333"/>
    <x v="6"/>
  </r>
  <r>
    <x v="14"/>
    <x v="4"/>
    <x v="761"/>
    <x v="6"/>
  </r>
  <r>
    <x v="14"/>
    <x v="5"/>
    <x v="1334"/>
    <x v="6"/>
  </r>
  <r>
    <x v="14"/>
    <x v="6"/>
    <x v="1335"/>
    <x v="6"/>
  </r>
  <r>
    <x v="14"/>
    <x v="7"/>
    <x v="1336"/>
    <x v="6"/>
  </r>
  <r>
    <x v="14"/>
    <x v="8"/>
    <x v="213"/>
    <x v="6"/>
  </r>
  <r>
    <x v="14"/>
    <x v="9"/>
    <x v="1337"/>
    <x v="6"/>
  </r>
  <r>
    <x v="14"/>
    <x v="10"/>
    <x v="1338"/>
    <x v="6"/>
  </r>
  <r>
    <x v="14"/>
    <x v="11"/>
    <x v="1339"/>
    <x v="6"/>
  </r>
  <r>
    <x v="14"/>
    <x v="12"/>
    <x v="1340"/>
    <x v="6"/>
  </r>
  <r>
    <x v="14"/>
    <x v="13"/>
    <x v="1341"/>
    <x v="6"/>
  </r>
  <r>
    <x v="14"/>
    <x v="14"/>
    <x v="1342"/>
    <x v="6"/>
  </r>
  <r>
    <x v="14"/>
    <x v="15"/>
    <x v="1343"/>
    <x v="6"/>
  </r>
  <r>
    <x v="14"/>
    <x v="16"/>
    <x v="1344"/>
    <x v="6"/>
  </r>
  <r>
    <x v="15"/>
    <x v="0"/>
    <x v="0"/>
    <x v="6"/>
  </r>
  <r>
    <x v="15"/>
    <x v="1"/>
    <x v="107"/>
    <x v="6"/>
  </r>
  <r>
    <x v="15"/>
    <x v="2"/>
    <x v="1345"/>
    <x v="6"/>
  </r>
  <r>
    <x v="15"/>
    <x v="3"/>
    <x v="1346"/>
    <x v="6"/>
  </r>
  <r>
    <x v="15"/>
    <x v="4"/>
    <x v="224"/>
    <x v="6"/>
  </r>
  <r>
    <x v="15"/>
    <x v="5"/>
    <x v="1347"/>
    <x v="6"/>
  </r>
  <r>
    <x v="15"/>
    <x v="6"/>
    <x v="331"/>
    <x v="6"/>
  </r>
  <r>
    <x v="15"/>
    <x v="7"/>
    <x v="1348"/>
    <x v="6"/>
  </r>
  <r>
    <x v="15"/>
    <x v="8"/>
    <x v="228"/>
    <x v="6"/>
  </r>
  <r>
    <x v="15"/>
    <x v="9"/>
    <x v="1349"/>
    <x v="6"/>
  </r>
  <r>
    <x v="15"/>
    <x v="10"/>
    <x v="1350"/>
    <x v="6"/>
  </r>
  <r>
    <x v="15"/>
    <x v="11"/>
    <x v="1351"/>
    <x v="6"/>
  </r>
  <r>
    <x v="15"/>
    <x v="12"/>
    <x v="1352"/>
    <x v="6"/>
  </r>
  <r>
    <x v="15"/>
    <x v="13"/>
    <x v="1353"/>
    <x v="6"/>
  </r>
  <r>
    <x v="15"/>
    <x v="14"/>
    <x v="1354"/>
    <x v="6"/>
  </r>
  <r>
    <x v="15"/>
    <x v="15"/>
    <x v="1355"/>
    <x v="6"/>
  </r>
  <r>
    <x v="15"/>
    <x v="16"/>
    <x v="1356"/>
    <x v="6"/>
  </r>
  <r>
    <x v="0"/>
    <x v="0"/>
    <x v="0"/>
    <x v="7"/>
  </r>
  <r>
    <x v="0"/>
    <x v="1"/>
    <x v="1"/>
    <x v="7"/>
  </r>
  <r>
    <x v="0"/>
    <x v="2"/>
    <x v="1357"/>
    <x v="7"/>
  </r>
  <r>
    <x v="0"/>
    <x v="3"/>
    <x v="1014"/>
    <x v="7"/>
  </r>
  <r>
    <x v="0"/>
    <x v="4"/>
    <x v="278"/>
    <x v="7"/>
  </r>
  <r>
    <x v="0"/>
    <x v="5"/>
    <x v="888"/>
    <x v="7"/>
  </r>
  <r>
    <x v="0"/>
    <x v="6"/>
    <x v="750"/>
    <x v="7"/>
  </r>
  <r>
    <x v="0"/>
    <x v="7"/>
    <x v="21"/>
    <x v="7"/>
  </r>
  <r>
    <x v="0"/>
    <x v="8"/>
    <x v="8"/>
    <x v="7"/>
  </r>
  <r>
    <x v="0"/>
    <x v="9"/>
    <x v="1358"/>
    <x v="7"/>
  </r>
  <r>
    <x v="0"/>
    <x v="10"/>
    <x v="1359"/>
    <x v="7"/>
  </r>
  <r>
    <x v="0"/>
    <x v="11"/>
    <x v="1360"/>
    <x v="7"/>
  </r>
  <r>
    <x v="0"/>
    <x v="12"/>
    <x v="1361"/>
    <x v="7"/>
  </r>
  <r>
    <x v="0"/>
    <x v="13"/>
    <x v="1362"/>
    <x v="7"/>
  </r>
  <r>
    <x v="0"/>
    <x v="14"/>
    <x v="1363"/>
    <x v="7"/>
  </r>
  <r>
    <x v="0"/>
    <x v="15"/>
    <x v="1364"/>
    <x v="7"/>
  </r>
  <r>
    <x v="0"/>
    <x v="16"/>
    <x v="1365"/>
    <x v="7"/>
  </r>
  <r>
    <x v="3"/>
    <x v="0"/>
    <x v="32"/>
    <x v="7"/>
  </r>
  <r>
    <x v="3"/>
    <x v="1"/>
    <x v="1"/>
    <x v="7"/>
  </r>
  <r>
    <x v="3"/>
    <x v="2"/>
    <x v="1366"/>
    <x v="7"/>
  </r>
  <r>
    <x v="3"/>
    <x v="3"/>
    <x v="1367"/>
    <x v="7"/>
  </r>
  <r>
    <x v="3"/>
    <x v="4"/>
    <x v="651"/>
    <x v="7"/>
  </r>
  <r>
    <x v="3"/>
    <x v="5"/>
    <x v="1368"/>
    <x v="7"/>
  </r>
  <r>
    <x v="3"/>
    <x v="6"/>
    <x v="1369"/>
    <x v="7"/>
  </r>
  <r>
    <x v="3"/>
    <x v="7"/>
    <x v="128"/>
    <x v="7"/>
  </r>
  <r>
    <x v="3"/>
    <x v="8"/>
    <x v="23"/>
    <x v="7"/>
  </r>
  <r>
    <x v="3"/>
    <x v="9"/>
    <x v="1370"/>
    <x v="7"/>
  </r>
  <r>
    <x v="3"/>
    <x v="10"/>
    <x v="1371"/>
    <x v="7"/>
  </r>
  <r>
    <x v="3"/>
    <x v="11"/>
    <x v="1242"/>
    <x v="7"/>
  </r>
  <r>
    <x v="3"/>
    <x v="12"/>
    <x v="1372"/>
    <x v="7"/>
  </r>
  <r>
    <x v="3"/>
    <x v="13"/>
    <x v="1373"/>
    <x v="7"/>
  </r>
  <r>
    <x v="3"/>
    <x v="14"/>
    <x v="1374"/>
    <x v="7"/>
  </r>
  <r>
    <x v="3"/>
    <x v="15"/>
    <x v="1375"/>
    <x v="7"/>
  </r>
  <r>
    <x v="3"/>
    <x v="16"/>
    <x v="1376"/>
    <x v="7"/>
  </r>
  <r>
    <x v="9"/>
    <x v="0"/>
    <x v="0"/>
    <x v="7"/>
  </r>
  <r>
    <x v="9"/>
    <x v="1"/>
    <x v="107"/>
    <x v="7"/>
  </r>
  <r>
    <x v="9"/>
    <x v="2"/>
    <x v="1377"/>
    <x v="7"/>
  </r>
  <r>
    <x v="9"/>
    <x v="3"/>
    <x v="1378"/>
    <x v="7"/>
  </r>
  <r>
    <x v="9"/>
    <x v="4"/>
    <x v="65"/>
    <x v="7"/>
  </r>
  <r>
    <x v="9"/>
    <x v="5"/>
    <x v="1379"/>
    <x v="7"/>
  </r>
  <r>
    <x v="9"/>
    <x v="6"/>
    <x v="1380"/>
    <x v="7"/>
  </r>
  <r>
    <x v="9"/>
    <x v="7"/>
    <x v="197"/>
    <x v="7"/>
  </r>
  <r>
    <x v="9"/>
    <x v="8"/>
    <x v="39"/>
    <x v="7"/>
  </r>
  <r>
    <x v="9"/>
    <x v="9"/>
    <x v="1381"/>
    <x v="7"/>
  </r>
  <r>
    <x v="9"/>
    <x v="10"/>
    <x v="1382"/>
    <x v="7"/>
  </r>
  <r>
    <x v="9"/>
    <x v="11"/>
    <x v="1383"/>
    <x v="7"/>
  </r>
  <r>
    <x v="9"/>
    <x v="12"/>
    <x v="1384"/>
    <x v="7"/>
  </r>
  <r>
    <x v="9"/>
    <x v="13"/>
    <x v="1385"/>
    <x v="7"/>
  </r>
  <r>
    <x v="9"/>
    <x v="14"/>
    <x v="1386"/>
    <x v="7"/>
  </r>
  <r>
    <x v="9"/>
    <x v="15"/>
    <x v="1387"/>
    <x v="7"/>
  </r>
  <r>
    <x v="9"/>
    <x v="16"/>
    <x v="1388"/>
    <x v="7"/>
  </r>
  <r>
    <x v="4"/>
    <x v="0"/>
    <x v="0"/>
    <x v="7"/>
  </r>
  <r>
    <x v="4"/>
    <x v="1"/>
    <x v="1"/>
    <x v="7"/>
  </r>
  <r>
    <x v="4"/>
    <x v="2"/>
    <x v="1389"/>
    <x v="7"/>
  </r>
  <r>
    <x v="4"/>
    <x v="3"/>
    <x v="1390"/>
    <x v="7"/>
  </r>
  <r>
    <x v="4"/>
    <x v="4"/>
    <x v="651"/>
    <x v="7"/>
  </r>
  <r>
    <x v="4"/>
    <x v="5"/>
    <x v="1391"/>
    <x v="7"/>
  </r>
  <r>
    <x v="4"/>
    <x v="6"/>
    <x v="1392"/>
    <x v="7"/>
  </r>
  <r>
    <x v="4"/>
    <x v="7"/>
    <x v="1393"/>
    <x v="7"/>
  </r>
  <r>
    <x v="4"/>
    <x v="8"/>
    <x v="54"/>
    <x v="7"/>
  </r>
  <r>
    <x v="4"/>
    <x v="9"/>
    <x v="1394"/>
    <x v="7"/>
  </r>
  <r>
    <x v="4"/>
    <x v="10"/>
    <x v="1395"/>
    <x v="7"/>
  </r>
  <r>
    <x v="4"/>
    <x v="11"/>
    <x v="1396"/>
    <x v="7"/>
  </r>
  <r>
    <x v="4"/>
    <x v="12"/>
    <x v="1397"/>
    <x v="7"/>
  </r>
  <r>
    <x v="4"/>
    <x v="13"/>
    <x v="1398"/>
    <x v="7"/>
  </r>
  <r>
    <x v="4"/>
    <x v="14"/>
    <x v="1399"/>
    <x v="7"/>
  </r>
  <r>
    <x v="4"/>
    <x v="15"/>
    <x v="1400"/>
    <x v="7"/>
  </r>
  <r>
    <x v="4"/>
    <x v="16"/>
    <x v="1401"/>
    <x v="7"/>
  </r>
  <r>
    <x v="10"/>
    <x v="0"/>
    <x v="0"/>
    <x v="7"/>
  </r>
  <r>
    <x v="10"/>
    <x v="1"/>
    <x v="107"/>
    <x v="7"/>
  </r>
  <r>
    <x v="10"/>
    <x v="2"/>
    <x v="1402"/>
    <x v="7"/>
  </r>
  <r>
    <x v="10"/>
    <x v="3"/>
    <x v="329"/>
    <x v="7"/>
  </r>
  <r>
    <x v="10"/>
    <x v="4"/>
    <x v="80"/>
    <x v="7"/>
  </r>
  <r>
    <x v="10"/>
    <x v="5"/>
    <x v="1403"/>
    <x v="7"/>
  </r>
  <r>
    <x v="10"/>
    <x v="6"/>
    <x v="1404"/>
    <x v="7"/>
  </r>
  <r>
    <x v="10"/>
    <x v="7"/>
    <x v="445"/>
    <x v="7"/>
  </r>
  <r>
    <x v="10"/>
    <x v="8"/>
    <x v="69"/>
    <x v="7"/>
  </r>
  <r>
    <x v="10"/>
    <x v="9"/>
    <x v="1405"/>
    <x v="7"/>
  </r>
  <r>
    <x v="10"/>
    <x v="10"/>
    <x v="1406"/>
    <x v="7"/>
  </r>
  <r>
    <x v="10"/>
    <x v="11"/>
    <x v="1407"/>
    <x v="7"/>
  </r>
  <r>
    <x v="10"/>
    <x v="12"/>
    <x v="813"/>
    <x v="7"/>
  </r>
  <r>
    <x v="10"/>
    <x v="13"/>
    <x v="1408"/>
    <x v="7"/>
  </r>
  <r>
    <x v="10"/>
    <x v="14"/>
    <x v="1409"/>
    <x v="7"/>
  </r>
  <r>
    <x v="10"/>
    <x v="15"/>
    <x v="1410"/>
    <x v="7"/>
  </r>
  <r>
    <x v="10"/>
    <x v="16"/>
    <x v="1411"/>
    <x v="7"/>
  </r>
  <r>
    <x v="5"/>
    <x v="0"/>
    <x v="0"/>
    <x v="7"/>
  </r>
  <r>
    <x v="5"/>
    <x v="1"/>
    <x v="1"/>
    <x v="7"/>
  </r>
  <r>
    <x v="5"/>
    <x v="2"/>
    <x v="1412"/>
    <x v="7"/>
  </r>
  <r>
    <x v="5"/>
    <x v="3"/>
    <x v="707"/>
    <x v="7"/>
  </r>
  <r>
    <x v="5"/>
    <x v="4"/>
    <x v="19"/>
    <x v="7"/>
  </r>
  <r>
    <x v="5"/>
    <x v="5"/>
    <x v="1413"/>
    <x v="7"/>
  </r>
  <r>
    <x v="5"/>
    <x v="6"/>
    <x v="304"/>
    <x v="7"/>
  </r>
  <r>
    <x v="5"/>
    <x v="7"/>
    <x v="1260"/>
    <x v="7"/>
  </r>
  <r>
    <x v="5"/>
    <x v="8"/>
    <x v="84"/>
    <x v="7"/>
  </r>
  <r>
    <x v="5"/>
    <x v="9"/>
    <x v="1414"/>
    <x v="7"/>
  </r>
  <r>
    <x v="5"/>
    <x v="10"/>
    <x v="1415"/>
    <x v="7"/>
  </r>
  <r>
    <x v="5"/>
    <x v="11"/>
    <x v="1416"/>
    <x v="7"/>
  </r>
  <r>
    <x v="5"/>
    <x v="12"/>
    <x v="1417"/>
    <x v="7"/>
  </r>
  <r>
    <x v="5"/>
    <x v="13"/>
    <x v="1418"/>
    <x v="7"/>
  </r>
  <r>
    <x v="5"/>
    <x v="14"/>
    <x v="1419"/>
    <x v="7"/>
  </r>
  <r>
    <x v="5"/>
    <x v="15"/>
    <x v="1420"/>
    <x v="7"/>
  </r>
  <r>
    <x v="5"/>
    <x v="16"/>
    <x v="1421"/>
    <x v="7"/>
  </r>
  <r>
    <x v="6"/>
    <x v="0"/>
    <x v="32"/>
    <x v="7"/>
  </r>
  <r>
    <x v="6"/>
    <x v="1"/>
    <x v="1"/>
    <x v="7"/>
  </r>
  <r>
    <x v="6"/>
    <x v="2"/>
    <x v="1422"/>
    <x v="7"/>
  </r>
  <r>
    <x v="6"/>
    <x v="3"/>
    <x v="18"/>
    <x v="7"/>
  </r>
  <r>
    <x v="6"/>
    <x v="4"/>
    <x v="110"/>
    <x v="7"/>
  </r>
  <r>
    <x v="6"/>
    <x v="5"/>
    <x v="1423"/>
    <x v="7"/>
  </r>
  <r>
    <x v="6"/>
    <x v="6"/>
    <x v="797"/>
    <x v="7"/>
  </r>
  <r>
    <x v="6"/>
    <x v="7"/>
    <x v="332"/>
    <x v="7"/>
  </r>
  <r>
    <x v="6"/>
    <x v="8"/>
    <x v="98"/>
    <x v="7"/>
  </r>
  <r>
    <x v="6"/>
    <x v="9"/>
    <x v="1424"/>
    <x v="7"/>
  </r>
  <r>
    <x v="6"/>
    <x v="10"/>
    <x v="1425"/>
    <x v="7"/>
  </r>
  <r>
    <x v="6"/>
    <x v="11"/>
    <x v="1426"/>
    <x v="7"/>
  </r>
  <r>
    <x v="6"/>
    <x v="12"/>
    <x v="1427"/>
    <x v="7"/>
  </r>
  <r>
    <x v="6"/>
    <x v="13"/>
    <x v="1428"/>
    <x v="7"/>
  </r>
  <r>
    <x v="6"/>
    <x v="14"/>
    <x v="1429"/>
    <x v="7"/>
  </r>
  <r>
    <x v="6"/>
    <x v="15"/>
    <x v="1430"/>
    <x v="7"/>
  </r>
  <r>
    <x v="6"/>
    <x v="16"/>
    <x v="1431"/>
    <x v="7"/>
  </r>
  <r>
    <x v="7"/>
    <x v="0"/>
    <x v="32"/>
    <x v="7"/>
  </r>
  <r>
    <x v="7"/>
    <x v="1"/>
    <x v="107"/>
    <x v="7"/>
  </r>
  <r>
    <x v="7"/>
    <x v="2"/>
    <x v="1432"/>
    <x v="7"/>
  </r>
  <r>
    <x v="7"/>
    <x v="3"/>
    <x v="1433"/>
    <x v="7"/>
  </r>
  <r>
    <x v="7"/>
    <x v="4"/>
    <x v="380"/>
    <x v="7"/>
  </r>
  <r>
    <x v="7"/>
    <x v="5"/>
    <x v="1434"/>
    <x v="7"/>
  </r>
  <r>
    <x v="7"/>
    <x v="6"/>
    <x v="1435"/>
    <x v="7"/>
  </r>
  <r>
    <x v="7"/>
    <x v="7"/>
    <x v="866"/>
    <x v="7"/>
  </r>
  <r>
    <x v="7"/>
    <x v="8"/>
    <x v="114"/>
    <x v="7"/>
  </r>
  <r>
    <x v="7"/>
    <x v="9"/>
    <x v="1436"/>
    <x v="7"/>
  </r>
  <r>
    <x v="7"/>
    <x v="10"/>
    <x v="1437"/>
    <x v="7"/>
  </r>
  <r>
    <x v="7"/>
    <x v="11"/>
    <x v="1438"/>
    <x v="7"/>
  </r>
  <r>
    <x v="7"/>
    <x v="12"/>
    <x v="1439"/>
    <x v="7"/>
  </r>
  <r>
    <x v="7"/>
    <x v="13"/>
    <x v="1440"/>
    <x v="7"/>
  </r>
  <r>
    <x v="7"/>
    <x v="14"/>
    <x v="1441"/>
    <x v="7"/>
  </r>
  <r>
    <x v="7"/>
    <x v="15"/>
    <x v="1442"/>
    <x v="7"/>
  </r>
  <r>
    <x v="7"/>
    <x v="16"/>
    <x v="1443"/>
    <x v="7"/>
  </r>
  <r>
    <x v="8"/>
    <x v="0"/>
    <x v="0"/>
    <x v="7"/>
  </r>
  <r>
    <x v="8"/>
    <x v="1"/>
    <x v="107"/>
    <x v="7"/>
  </r>
  <r>
    <x v="8"/>
    <x v="2"/>
    <x v="1444"/>
    <x v="7"/>
  </r>
  <r>
    <x v="8"/>
    <x v="3"/>
    <x v="383"/>
    <x v="7"/>
  </r>
  <r>
    <x v="8"/>
    <x v="4"/>
    <x v="195"/>
    <x v="7"/>
  </r>
  <r>
    <x v="8"/>
    <x v="5"/>
    <x v="604"/>
    <x v="7"/>
  </r>
  <r>
    <x v="8"/>
    <x v="6"/>
    <x v="1445"/>
    <x v="7"/>
  </r>
  <r>
    <x v="8"/>
    <x v="7"/>
    <x v="1446"/>
    <x v="7"/>
  </r>
  <r>
    <x v="8"/>
    <x v="8"/>
    <x v="129"/>
    <x v="7"/>
  </r>
  <r>
    <x v="8"/>
    <x v="9"/>
    <x v="1447"/>
    <x v="7"/>
  </r>
  <r>
    <x v="8"/>
    <x v="10"/>
    <x v="1448"/>
    <x v="7"/>
  </r>
  <r>
    <x v="8"/>
    <x v="11"/>
    <x v="1449"/>
    <x v="7"/>
  </r>
  <r>
    <x v="8"/>
    <x v="12"/>
    <x v="1450"/>
    <x v="7"/>
  </r>
  <r>
    <x v="8"/>
    <x v="13"/>
    <x v="1451"/>
    <x v="7"/>
  </r>
  <r>
    <x v="8"/>
    <x v="14"/>
    <x v="1452"/>
    <x v="7"/>
  </r>
  <r>
    <x v="8"/>
    <x v="15"/>
    <x v="1453"/>
    <x v="7"/>
  </r>
  <r>
    <x v="8"/>
    <x v="16"/>
    <x v="1454"/>
    <x v="7"/>
  </r>
  <r>
    <x v="1"/>
    <x v="0"/>
    <x v="0"/>
    <x v="7"/>
  </r>
  <r>
    <x v="1"/>
    <x v="1"/>
    <x v="1"/>
    <x v="7"/>
  </r>
  <r>
    <x v="1"/>
    <x v="2"/>
    <x v="1455"/>
    <x v="7"/>
  </r>
  <r>
    <x v="1"/>
    <x v="3"/>
    <x v="1270"/>
    <x v="7"/>
  </r>
  <r>
    <x v="1"/>
    <x v="4"/>
    <x v="1456"/>
    <x v="7"/>
  </r>
  <r>
    <x v="1"/>
    <x v="5"/>
    <x v="1457"/>
    <x v="7"/>
  </r>
  <r>
    <x v="1"/>
    <x v="6"/>
    <x v="1458"/>
    <x v="7"/>
  </r>
  <r>
    <x v="1"/>
    <x v="7"/>
    <x v="181"/>
    <x v="7"/>
  </r>
  <r>
    <x v="1"/>
    <x v="8"/>
    <x v="142"/>
    <x v="7"/>
  </r>
  <r>
    <x v="1"/>
    <x v="9"/>
    <x v="1459"/>
    <x v="7"/>
  </r>
  <r>
    <x v="1"/>
    <x v="10"/>
    <x v="1460"/>
    <x v="7"/>
  </r>
  <r>
    <x v="1"/>
    <x v="11"/>
    <x v="1461"/>
    <x v="7"/>
  </r>
  <r>
    <x v="1"/>
    <x v="12"/>
    <x v="1462"/>
    <x v="7"/>
  </r>
  <r>
    <x v="1"/>
    <x v="13"/>
    <x v="1463"/>
    <x v="7"/>
  </r>
  <r>
    <x v="1"/>
    <x v="14"/>
    <x v="1464"/>
    <x v="7"/>
  </r>
  <r>
    <x v="1"/>
    <x v="15"/>
    <x v="1465"/>
    <x v="7"/>
  </r>
  <r>
    <x v="1"/>
    <x v="16"/>
    <x v="1466"/>
    <x v="7"/>
  </r>
  <r>
    <x v="15"/>
    <x v="0"/>
    <x v="0"/>
    <x v="7"/>
  </r>
  <r>
    <x v="15"/>
    <x v="1"/>
    <x v="107"/>
    <x v="7"/>
  </r>
  <r>
    <x v="15"/>
    <x v="2"/>
    <x v="1467"/>
    <x v="7"/>
  </r>
  <r>
    <x v="15"/>
    <x v="3"/>
    <x v="1173"/>
    <x v="7"/>
  </r>
  <r>
    <x v="15"/>
    <x v="4"/>
    <x v="380"/>
    <x v="7"/>
  </r>
  <r>
    <x v="15"/>
    <x v="5"/>
    <x v="1468"/>
    <x v="7"/>
  </r>
  <r>
    <x v="15"/>
    <x v="6"/>
    <x v="1469"/>
    <x v="7"/>
  </r>
  <r>
    <x v="15"/>
    <x v="7"/>
    <x v="1470"/>
    <x v="7"/>
  </r>
  <r>
    <x v="15"/>
    <x v="8"/>
    <x v="156"/>
    <x v="7"/>
  </r>
  <r>
    <x v="15"/>
    <x v="9"/>
    <x v="1471"/>
    <x v="7"/>
  </r>
  <r>
    <x v="15"/>
    <x v="10"/>
    <x v="1472"/>
    <x v="7"/>
  </r>
  <r>
    <x v="15"/>
    <x v="11"/>
    <x v="156"/>
    <x v="7"/>
  </r>
  <r>
    <x v="15"/>
    <x v="12"/>
    <x v="1473"/>
    <x v="7"/>
  </r>
  <r>
    <x v="15"/>
    <x v="13"/>
    <x v="1474"/>
    <x v="7"/>
  </r>
  <r>
    <x v="15"/>
    <x v="14"/>
    <x v="1475"/>
    <x v="7"/>
  </r>
  <r>
    <x v="15"/>
    <x v="15"/>
    <x v="1476"/>
    <x v="7"/>
  </r>
  <r>
    <x v="15"/>
    <x v="16"/>
    <x v="1477"/>
    <x v="7"/>
  </r>
  <r>
    <x v="11"/>
    <x v="0"/>
    <x v="32"/>
    <x v="7"/>
  </r>
  <r>
    <x v="11"/>
    <x v="1"/>
    <x v="107"/>
    <x v="7"/>
  </r>
  <r>
    <x v="11"/>
    <x v="2"/>
    <x v="1478"/>
    <x v="7"/>
  </r>
  <r>
    <x v="11"/>
    <x v="3"/>
    <x v="1479"/>
    <x v="7"/>
  </r>
  <r>
    <x v="11"/>
    <x v="4"/>
    <x v="304"/>
    <x v="7"/>
  </r>
  <r>
    <x v="11"/>
    <x v="5"/>
    <x v="1480"/>
    <x v="7"/>
  </r>
  <r>
    <x v="11"/>
    <x v="6"/>
    <x v="1481"/>
    <x v="7"/>
  </r>
  <r>
    <x v="11"/>
    <x v="7"/>
    <x v="686"/>
    <x v="7"/>
  </r>
  <r>
    <x v="11"/>
    <x v="8"/>
    <x v="171"/>
    <x v="7"/>
  </r>
  <r>
    <x v="11"/>
    <x v="9"/>
    <x v="1482"/>
    <x v="7"/>
  </r>
  <r>
    <x v="11"/>
    <x v="10"/>
    <x v="1483"/>
    <x v="7"/>
  </r>
  <r>
    <x v="11"/>
    <x v="11"/>
    <x v="1484"/>
    <x v="7"/>
  </r>
  <r>
    <x v="11"/>
    <x v="12"/>
    <x v="1485"/>
    <x v="7"/>
  </r>
  <r>
    <x v="11"/>
    <x v="13"/>
    <x v="1486"/>
    <x v="7"/>
  </r>
  <r>
    <x v="11"/>
    <x v="14"/>
    <x v="1487"/>
    <x v="7"/>
  </r>
  <r>
    <x v="11"/>
    <x v="15"/>
    <x v="1488"/>
    <x v="7"/>
  </r>
  <r>
    <x v="11"/>
    <x v="16"/>
    <x v="1489"/>
    <x v="7"/>
  </r>
  <r>
    <x v="12"/>
    <x v="0"/>
    <x v="32"/>
    <x v="7"/>
  </r>
  <r>
    <x v="12"/>
    <x v="1"/>
    <x v="107"/>
    <x v="7"/>
  </r>
  <r>
    <x v="12"/>
    <x v="2"/>
    <x v="1490"/>
    <x v="7"/>
  </r>
  <r>
    <x v="12"/>
    <x v="3"/>
    <x v="901"/>
    <x v="7"/>
  </r>
  <r>
    <x v="12"/>
    <x v="4"/>
    <x v="651"/>
    <x v="7"/>
  </r>
  <r>
    <x v="12"/>
    <x v="5"/>
    <x v="706"/>
    <x v="7"/>
  </r>
  <r>
    <x v="12"/>
    <x v="6"/>
    <x v="1491"/>
    <x v="7"/>
  </r>
  <r>
    <x v="12"/>
    <x v="7"/>
    <x v="1492"/>
    <x v="7"/>
  </r>
  <r>
    <x v="12"/>
    <x v="8"/>
    <x v="185"/>
    <x v="7"/>
  </r>
  <r>
    <x v="12"/>
    <x v="9"/>
    <x v="1493"/>
    <x v="7"/>
  </r>
  <r>
    <x v="12"/>
    <x v="10"/>
    <x v="1494"/>
    <x v="7"/>
  </r>
  <r>
    <x v="12"/>
    <x v="11"/>
    <x v="1495"/>
    <x v="7"/>
  </r>
  <r>
    <x v="12"/>
    <x v="12"/>
    <x v="679"/>
    <x v="7"/>
  </r>
  <r>
    <x v="12"/>
    <x v="13"/>
    <x v="1496"/>
    <x v="7"/>
  </r>
  <r>
    <x v="12"/>
    <x v="14"/>
    <x v="1497"/>
    <x v="7"/>
  </r>
  <r>
    <x v="12"/>
    <x v="15"/>
    <x v="1498"/>
    <x v="7"/>
  </r>
  <r>
    <x v="12"/>
    <x v="16"/>
    <x v="1499"/>
    <x v="7"/>
  </r>
  <r>
    <x v="13"/>
    <x v="0"/>
    <x v="0"/>
    <x v="7"/>
  </r>
  <r>
    <x v="13"/>
    <x v="1"/>
    <x v="107"/>
    <x v="7"/>
  </r>
  <r>
    <x v="13"/>
    <x v="2"/>
    <x v="1500"/>
    <x v="7"/>
  </r>
  <r>
    <x v="13"/>
    <x v="3"/>
    <x v="1501"/>
    <x v="7"/>
  </r>
  <r>
    <x v="13"/>
    <x v="4"/>
    <x v="292"/>
    <x v="7"/>
  </r>
  <r>
    <x v="13"/>
    <x v="5"/>
    <x v="993"/>
    <x v="7"/>
  </r>
  <r>
    <x v="13"/>
    <x v="6"/>
    <x v="34"/>
    <x v="7"/>
  </r>
  <r>
    <x v="13"/>
    <x v="7"/>
    <x v="267"/>
    <x v="7"/>
  </r>
  <r>
    <x v="13"/>
    <x v="8"/>
    <x v="199"/>
    <x v="7"/>
  </r>
  <r>
    <x v="13"/>
    <x v="9"/>
    <x v="1502"/>
    <x v="7"/>
  </r>
  <r>
    <x v="13"/>
    <x v="10"/>
    <x v="1503"/>
    <x v="7"/>
  </r>
  <r>
    <x v="13"/>
    <x v="11"/>
    <x v="1120"/>
    <x v="7"/>
  </r>
  <r>
    <x v="13"/>
    <x v="12"/>
    <x v="1504"/>
    <x v="7"/>
  </r>
  <r>
    <x v="13"/>
    <x v="13"/>
    <x v="1505"/>
    <x v="7"/>
  </r>
  <r>
    <x v="13"/>
    <x v="14"/>
    <x v="1506"/>
    <x v="7"/>
  </r>
  <r>
    <x v="13"/>
    <x v="15"/>
    <x v="1507"/>
    <x v="7"/>
  </r>
  <r>
    <x v="13"/>
    <x v="16"/>
    <x v="1508"/>
    <x v="7"/>
  </r>
  <r>
    <x v="14"/>
    <x v="0"/>
    <x v="32"/>
    <x v="7"/>
  </r>
  <r>
    <x v="14"/>
    <x v="1"/>
    <x v="107"/>
    <x v="7"/>
  </r>
  <r>
    <x v="14"/>
    <x v="2"/>
    <x v="1509"/>
    <x v="7"/>
  </r>
  <r>
    <x v="14"/>
    <x v="3"/>
    <x v="1510"/>
    <x v="7"/>
  </r>
  <r>
    <x v="14"/>
    <x v="4"/>
    <x v="292"/>
    <x v="7"/>
  </r>
  <r>
    <x v="14"/>
    <x v="5"/>
    <x v="1511"/>
    <x v="7"/>
  </r>
  <r>
    <x v="14"/>
    <x v="6"/>
    <x v="707"/>
    <x v="7"/>
  </r>
  <r>
    <x v="14"/>
    <x v="7"/>
    <x v="1037"/>
    <x v="7"/>
  </r>
  <r>
    <x v="14"/>
    <x v="8"/>
    <x v="213"/>
    <x v="7"/>
  </r>
  <r>
    <x v="14"/>
    <x v="9"/>
    <x v="1512"/>
    <x v="7"/>
  </r>
  <r>
    <x v="14"/>
    <x v="10"/>
    <x v="1513"/>
    <x v="7"/>
  </r>
  <r>
    <x v="14"/>
    <x v="11"/>
    <x v="1514"/>
    <x v="7"/>
  </r>
  <r>
    <x v="14"/>
    <x v="12"/>
    <x v="1515"/>
    <x v="7"/>
  </r>
  <r>
    <x v="14"/>
    <x v="13"/>
    <x v="1516"/>
    <x v="7"/>
  </r>
  <r>
    <x v="14"/>
    <x v="14"/>
    <x v="1517"/>
    <x v="7"/>
  </r>
  <r>
    <x v="14"/>
    <x v="15"/>
    <x v="1518"/>
    <x v="7"/>
  </r>
  <r>
    <x v="14"/>
    <x v="16"/>
    <x v="1519"/>
    <x v="7"/>
  </r>
  <r>
    <x v="2"/>
    <x v="0"/>
    <x v="32"/>
    <x v="7"/>
  </r>
  <r>
    <x v="2"/>
    <x v="1"/>
    <x v="1"/>
    <x v="7"/>
  </r>
  <r>
    <x v="2"/>
    <x v="2"/>
    <x v="830"/>
    <x v="7"/>
  </r>
  <r>
    <x v="2"/>
    <x v="3"/>
    <x v="251"/>
    <x v="7"/>
  </r>
  <r>
    <x v="2"/>
    <x v="4"/>
    <x v="125"/>
    <x v="7"/>
  </r>
  <r>
    <x v="2"/>
    <x v="5"/>
    <x v="1520"/>
    <x v="7"/>
  </r>
  <r>
    <x v="2"/>
    <x v="6"/>
    <x v="534"/>
    <x v="7"/>
  </r>
  <r>
    <x v="2"/>
    <x v="7"/>
    <x v="1324"/>
    <x v="7"/>
  </r>
  <r>
    <x v="2"/>
    <x v="8"/>
    <x v="228"/>
    <x v="7"/>
  </r>
  <r>
    <x v="2"/>
    <x v="9"/>
    <x v="1521"/>
    <x v="7"/>
  </r>
  <r>
    <x v="2"/>
    <x v="10"/>
    <x v="1522"/>
    <x v="7"/>
  </r>
  <r>
    <x v="2"/>
    <x v="11"/>
    <x v="1523"/>
    <x v="7"/>
  </r>
  <r>
    <x v="2"/>
    <x v="12"/>
    <x v="1524"/>
    <x v="7"/>
  </r>
  <r>
    <x v="2"/>
    <x v="13"/>
    <x v="1525"/>
    <x v="7"/>
  </r>
  <r>
    <x v="2"/>
    <x v="14"/>
    <x v="1526"/>
    <x v="7"/>
  </r>
  <r>
    <x v="2"/>
    <x v="15"/>
    <x v="1527"/>
    <x v="7"/>
  </r>
  <r>
    <x v="2"/>
    <x v="16"/>
    <x v="1528"/>
    <x v="7"/>
  </r>
  <r>
    <x v="0"/>
    <x v="0"/>
    <x v="0"/>
    <x v="8"/>
  </r>
  <r>
    <x v="0"/>
    <x v="1"/>
    <x v="1"/>
    <x v="8"/>
  </r>
  <r>
    <x v="0"/>
    <x v="2"/>
    <x v="234"/>
    <x v="8"/>
  </r>
  <r>
    <x v="0"/>
    <x v="3"/>
    <x v="484"/>
    <x v="8"/>
  </r>
  <r>
    <x v="0"/>
    <x v="4"/>
    <x v="19"/>
    <x v="8"/>
  </r>
  <r>
    <x v="0"/>
    <x v="5"/>
    <x v="981"/>
    <x v="8"/>
  </r>
  <r>
    <x v="0"/>
    <x v="6"/>
    <x v="970"/>
    <x v="8"/>
  </r>
  <r>
    <x v="0"/>
    <x v="7"/>
    <x v="1529"/>
    <x v="8"/>
  </r>
  <r>
    <x v="0"/>
    <x v="8"/>
    <x v="8"/>
    <x v="8"/>
  </r>
  <r>
    <x v="0"/>
    <x v="9"/>
    <x v="1530"/>
    <x v="8"/>
  </r>
  <r>
    <x v="0"/>
    <x v="10"/>
    <x v="1531"/>
    <x v="8"/>
  </r>
  <r>
    <x v="0"/>
    <x v="11"/>
    <x v="1532"/>
    <x v="8"/>
  </r>
  <r>
    <x v="0"/>
    <x v="12"/>
    <x v="1533"/>
    <x v="8"/>
  </r>
  <r>
    <x v="0"/>
    <x v="13"/>
    <x v="1534"/>
    <x v="8"/>
  </r>
  <r>
    <x v="0"/>
    <x v="14"/>
    <x v="1535"/>
    <x v="8"/>
  </r>
  <r>
    <x v="0"/>
    <x v="15"/>
    <x v="1536"/>
    <x v="8"/>
  </r>
  <r>
    <x v="0"/>
    <x v="16"/>
    <x v="1537"/>
    <x v="8"/>
  </r>
  <r>
    <x v="1"/>
    <x v="0"/>
    <x v="0"/>
    <x v="8"/>
  </r>
  <r>
    <x v="1"/>
    <x v="1"/>
    <x v="1"/>
    <x v="8"/>
  </r>
  <r>
    <x v="1"/>
    <x v="2"/>
    <x v="1538"/>
    <x v="8"/>
  </r>
  <r>
    <x v="1"/>
    <x v="3"/>
    <x v="1367"/>
    <x v="8"/>
  </r>
  <r>
    <x v="1"/>
    <x v="4"/>
    <x v="8"/>
    <x v="8"/>
  </r>
  <r>
    <x v="1"/>
    <x v="5"/>
    <x v="1539"/>
    <x v="8"/>
  </r>
  <r>
    <x v="1"/>
    <x v="6"/>
    <x v="1037"/>
    <x v="8"/>
  </r>
  <r>
    <x v="1"/>
    <x v="7"/>
    <x v="1540"/>
    <x v="8"/>
  </r>
  <r>
    <x v="1"/>
    <x v="8"/>
    <x v="23"/>
    <x v="8"/>
  </r>
  <r>
    <x v="1"/>
    <x v="9"/>
    <x v="1541"/>
    <x v="8"/>
  </r>
  <r>
    <x v="1"/>
    <x v="10"/>
    <x v="1542"/>
    <x v="8"/>
  </r>
  <r>
    <x v="1"/>
    <x v="11"/>
    <x v="1543"/>
    <x v="8"/>
  </r>
  <r>
    <x v="1"/>
    <x v="12"/>
    <x v="1544"/>
    <x v="8"/>
  </r>
  <r>
    <x v="1"/>
    <x v="13"/>
    <x v="1545"/>
    <x v="8"/>
  </r>
  <r>
    <x v="1"/>
    <x v="14"/>
    <x v="1546"/>
    <x v="8"/>
  </r>
  <r>
    <x v="1"/>
    <x v="15"/>
    <x v="1547"/>
    <x v="8"/>
  </r>
  <r>
    <x v="1"/>
    <x v="16"/>
    <x v="1548"/>
    <x v="8"/>
  </r>
  <r>
    <x v="7"/>
    <x v="0"/>
    <x v="32"/>
    <x v="8"/>
  </r>
  <r>
    <x v="7"/>
    <x v="1"/>
    <x v="107"/>
    <x v="8"/>
  </r>
  <r>
    <x v="7"/>
    <x v="2"/>
    <x v="1549"/>
    <x v="8"/>
  </r>
  <r>
    <x v="7"/>
    <x v="3"/>
    <x v="1550"/>
    <x v="8"/>
  </r>
  <r>
    <x v="7"/>
    <x v="4"/>
    <x v="98"/>
    <x v="8"/>
  </r>
  <r>
    <x v="7"/>
    <x v="5"/>
    <x v="1062"/>
    <x v="8"/>
  </r>
  <r>
    <x v="7"/>
    <x v="6"/>
    <x v="170"/>
    <x v="8"/>
  </r>
  <r>
    <x v="7"/>
    <x v="7"/>
    <x v="1501"/>
    <x v="8"/>
  </r>
  <r>
    <x v="7"/>
    <x v="8"/>
    <x v="114"/>
    <x v="8"/>
  </r>
  <r>
    <x v="7"/>
    <x v="9"/>
    <x v="1551"/>
    <x v="8"/>
  </r>
  <r>
    <x v="7"/>
    <x v="10"/>
    <x v="1552"/>
    <x v="8"/>
  </r>
  <r>
    <x v="7"/>
    <x v="11"/>
    <x v="1553"/>
    <x v="8"/>
  </r>
  <r>
    <x v="7"/>
    <x v="12"/>
    <x v="1554"/>
    <x v="8"/>
  </r>
  <r>
    <x v="7"/>
    <x v="13"/>
    <x v="1555"/>
    <x v="8"/>
  </r>
  <r>
    <x v="7"/>
    <x v="14"/>
    <x v="1556"/>
    <x v="8"/>
  </r>
  <r>
    <x v="7"/>
    <x v="15"/>
    <x v="1557"/>
    <x v="8"/>
  </r>
  <r>
    <x v="7"/>
    <x v="16"/>
    <x v="1558"/>
    <x v="8"/>
  </r>
  <r>
    <x v="8"/>
    <x v="0"/>
    <x v="0"/>
    <x v="8"/>
  </r>
  <r>
    <x v="8"/>
    <x v="1"/>
    <x v="107"/>
    <x v="8"/>
  </r>
  <r>
    <x v="8"/>
    <x v="2"/>
    <x v="1559"/>
    <x v="8"/>
  </r>
  <r>
    <x v="8"/>
    <x v="3"/>
    <x v="695"/>
    <x v="8"/>
  </r>
  <r>
    <x v="8"/>
    <x v="4"/>
    <x v="380"/>
    <x v="8"/>
  </r>
  <r>
    <x v="8"/>
    <x v="5"/>
    <x v="1560"/>
    <x v="8"/>
  </r>
  <r>
    <x v="8"/>
    <x v="6"/>
    <x v="1336"/>
    <x v="8"/>
  </r>
  <r>
    <x v="8"/>
    <x v="7"/>
    <x v="605"/>
    <x v="8"/>
  </r>
  <r>
    <x v="8"/>
    <x v="8"/>
    <x v="129"/>
    <x v="8"/>
  </r>
  <r>
    <x v="8"/>
    <x v="9"/>
    <x v="1561"/>
    <x v="8"/>
  </r>
  <r>
    <x v="8"/>
    <x v="10"/>
    <x v="1562"/>
    <x v="8"/>
  </r>
  <r>
    <x v="8"/>
    <x v="11"/>
    <x v="1563"/>
    <x v="8"/>
  </r>
  <r>
    <x v="8"/>
    <x v="12"/>
    <x v="1564"/>
    <x v="8"/>
  </r>
  <r>
    <x v="8"/>
    <x v="13"/>
    <x v="1565"/>
    <x v="8"/>
  </r>
  <r>
    <x v="8"/>
    <x v="14"/>
    <x v="1566"/>
    <x v="8"/>
  </r>
  <r>
    <x v="8"/>
    <x v="15"/>
    <x v="1567"/>
    <x v="8"/>
  </r>
  <r>
    <x v="8"/>
    <x v="16"/>
    <x v="1568"/>
    <x v="8"/>
  </r>
  <r>
    <x v="2"/>
    <x v="0"/>
    <x v="32"/>
    <x v="8"/>
  </r>
  <r>
    <x v="2"/>
    <x v="1"/>
    <x v="1"/>
    <x v="8"/>
  </r>
  <r>
    <x v="2"/>
    <x v="2"/>
    <x v="1569"/>
    <x v="8"/>
  </r>
  <r>
    <x v="2"/>
    <x v="3"/>
    <x v="1378"/>
    <x v="8"/>
  </r>
  <r>
    <x v="2"/>
    <x v="4"/>
    <x v="50"/>
    <x v="8"/>
  </r>
  <r>
    <x v="2"/>
    <x v="5"/>
    <x v="1570"/>
    <x v="8"/>
  </r>
  <r>
    <x v="2"/>
    <x v="6"/>
    <x v="292"/>
    <x v="8"/>
  </r>
  <r>
    <x v="2"/>
    <x v="7"/>
    <x v="370"/>
    <x v="8"/>
  </r>
  <r>
    <x v="2"/>
    <x v="8"/>
    <x v="39"/>
    <x v="8"/>
  </r>
  <r>
    <x v="2"/>
    <x v="9"/>
    <x v="1571"/>
    <x v="8"/>
  </r>
  <r>
    <x v="2"/>
    <x v="10"/>
    <x v="1572"/>
    <x v="8"/>
  </r>
  <r>
    <x v="2"/>
    <x v="11"/>
    <x v="1120"/>
    <x v="8"/>
  </r>
  <r>
    <x v="2"/>
    <x v="12"/>
    <x v="1573"/>
    <x v="8"/>
  </r>
  <r>
    <x v="2"/>
    <x v="13"/>
    <x v="1574"/>
    <x v="8"/>
  </r>
  <r>
    <x v="2"/>
    <x v="14"/>
    <x v="1575"/>
    <x v="8"/>
  </r>
  <r>
    <x v="2"/>
    <x v="15"/>
    <x v="1576"/>
    <x v="8"/>
  </r>
  <r>
    <x v="2"/>
    <x v="16"/>
    <x v="1577"/>
    <x v="8"/>
  </r>
  <r>
    <x v="3"/>
    <x v="0"/>
    <x v="32"/>
    <x v="8"/>
  </r>
  <r>
    <x v="3"/>
    <x v="1"/>
    <x v="1"/>
    <x v="8"/>
  </r>
  <r>
    <x v="3"/>
    <x v="2"/>
    <x v="1578"/>
    <x v="8"/>
  </r>
  <r>
    <x v="3"/>
    <x v="3"/>
    <x v="890"/>
    <x v="8"/>
  </r>
  <r>
    <x v="3"/>
    <x v="4"/>
    <x v="110"/>
    <x v="8"/>
  </r>
  <r>
    <x v="3"/>
    <x v="5"/>
    <x v="419"/>
    <x v="8"/>
  </r>
  <r>
    <x v="3"/>
    <x v="6"/>
    <x v="1579"/>
    <x v="8"/>
  </r>
  <r>
    <x v="3"/>
    <x v="7"/>
    <x v="1580"/>
    <x v="8"/>
  </r>
  <r>
    <x v="3"/>
    <x v="8"/>
    <x v="54"/>
    <x v="8"/>
  </r>
  <r>
    <x v="3"/>
    <x v="9"/>
    <x v="1581"/>
    <x v="8"/>
  </r>
  <r>
    <x v="3"/>
    <x v="10"/>
    <x v="1582"/>
    <x v="8"/>
  </r>
  <r>
    <x v="3"/>
    <x v="11"/>
    <x v="1583"/>
    <x v="8"/>
  </r>
  <r>
    <x v="3"/>
    <x v="12"/>
    <x v="1584"/>
    <x v="8"/>
  </r>
  <r>
    <x v="3"/>
    <x v="13"/>
    <x v="1585"/>
    <x v="8"/>
  </r>
  <r>
    <x v="3"/>
    <x v="14"/>
    <x v="1586"/>
    <x v="8"/>
  </r>
  <r>
    <x v="3"/>
    <x v="15"/>
    <x v="1587"/>
    <x v="8"/>
  </r>
  <r>
    <x v="3"/>
    <x v="16"/>
    <x v="1588"/>
    <x v="8"/>
  </r>
  <r>
    <x v="9"/>
    <x v="0"/>
    <x v="0"/>
    <x v="8"/>
  </r>
  <r>
    <x v="9"/>
    <x v="1"/>
    <x v="107"/>
    <x v="8"/>
  </r>
  <r>
    <x v="9"/>
    <x v="2"/>
    <x v="1589"/>
    <x v="8"/>
  </r>
  <r>
    <x v="9"/>
    <x v="3"/>
    <x v="472"/>
    <x v="8"/>
  </r>
  <r>
    <x v="9"/>
    <x v="4"/>
    <x v="125"/>
    <x v="8"/>
  </r>
  <r>
    <x v="9"/>
    <x v="5"/>
    <x v="1590"/>
    <x v="8"/>
  </r>
  <r>
    <x v="9"/>
    <x v="6"/>
    <x v="1591"/>
    <x v="8"/>
  </r>
  <r>
    <x v="9"/>
    <x v="7"/>
    <x v="557"/>
    <x v="8"/>
  </r>
  <r>
    <x v="9"/>
    <x v="8"/>
    <x v="142"/>
    <x v="8"/>
  </r>
  <r>
    <x v="9"/>
    <x v="9"/>
    <x v="1592"/>
    <x v="8"/>
  </r>
  <r>
    <x v="9"/>
    <x v="10"/>
    <x v="1593"/>
    <x v="8"/>
  </r>
  <r>
    <x v="9"/>
    <x v="11"/>
    <x v="1594"/>
    <x v="8"/>
  </r>
  <r>
    <x v="9"/>
    <x v="12"/>
    <x v="1595"/>
    <x v="8"/>
  </r>
  <r>
    <x v="9"/>
    <x v="13"/>
    <x v="1596"/>
    <x v="8"/>
  </r>
  <r>
    <x v="9"/>
    <x v="14"/>
    <x v="1597"/>
    <x v="8"/>
  </r>
  <r>
    <x v="9"/>
    <x v="15"/>
    <x v="1598"/>
    <x v="8"/>
  </r>
  <r>
    <x v="9"/>
    <x v="16"/>
    <x v="1599"/>
    <x v="8"/>
  </r>
  <r>
    <x v="4"/>
    <x v="0"/>
    <x v="0"/>
    <x v="8"/>
  </r>
  <r>
    <x v="4"/>
    <x v="1"/>
    <x v="1"/>
    <x v="8"/>
  </r>
  <r>
    <x v="4"/>
    <x v="2"/>
    <x v="1600"/>
    <x v="8"/>
  </r>
  <r>
    <x v="4"/>
    <x v="3"/>
    <x v="1579"/>
    <x v="8"/>
  </r>
  <r>
    <x v="4"/>
    <x v="4"/>
    <x v="531"/>
    <x v="8"/>
  </r>
  <r>
    <x v="4"/>
    <x v="5"/>
    <x v="356"/>
    <x v="8"/>
  </r>
  <r>
    <x v="4"/>
    <x v="6"/>
    <x v="750"/>
    <x v="8"/>
  </r>
  <r>
    <x v="4"/>
    <x v="7"/>
    <x v="291"/>
    <x v="8"/>
  </r>
  <r>
    <x v="4"/>
    <x v="8"/>
    <x v="69"/>
    <x v="8"/>
  </r>
  <r>
    <x v="4"/>
    <x v="9"/>
    <x v="1601"/>
    <x v="8"/>
  </r>
  <r>
    <x v="4"/>
    <x v="10"/>
    <x v="1602"/>
    <x v="8"/>
  </r>
  <r>
    <x v="4"/>
    <x v="11"/>
    <x v="1603"/>
    <x v="8"/>
  </r>
  <r>
    <x v="4"/>
    <x v="12"/>
    <x v="1604"/>
    <x v="8"/>
  </r>
  <r>
    <x v="4"/>
    <x v="13"/>
    <x v="1605"/>
    <x v="8"/>
  </r>
  <r>
    <x v="4"/>
    <x v="14"/>
    <x v="1606"/>
    <x v="8"/>
  </r>
  <r>
    <x v="4"/>
    <x v="15"/>
    <x v="1607"/>
    <x v="8"/>
  </r>
  <r>
    <x v="4"/>
    <x v="16"/>
    <x v="1608"/>
    <x v="8"/>
  </r>
  <r>
    <x v="10"/>
    <x v="0"/>
    <x v="0"/>
    <x v="8"/>
  </r>
  <r>
    <x v="10"/>
    <x v="1"/>
    <x v="107"/>
    <x v="8"/>
  </r>
  <r>
    <x v="10"/>
    <x v="2"/>
    <x v="1609"/>
    <x v="8"/>
  </r>
  <r>
    <x v="10"/>
    <x v="3"/>
    <x v="1393"/>
    <x v="8"/>
  </r>
  <r>
    <x v="10"/>
    <x v="4"/>
    <x v="8"/>
    <x v="8"/>
  </r>
  <r>
    <x v="10"/>
    <x v="5"/>
    <x v="1610"/>
    <x v="8"/>
  </r>
  <r>
    <x v="10"/>
    <x v="6"/>
    <x v="807"/>
    <x v="8"/>
  </r>
  <r>
    <x v="10"/>
    <x v="7"/>
    <x v="253"/>
    <x v="8"/>
  </r>
  <r>
    <x v="10"/>
    <x v="8"/>
    <x v="156"/>
    <x v="8"/>
  </r>
  <r>
    <x v="10"/>
    <x v="9"/>
    <x v="1611"/>
    <x v="8"/>
  </r>
  <r>
    <x v="10"/>
    <x v="10"/>
    <x v="1612"/>
    <x v="8"/>
  </r>
  <r>
    <x v="10"/>
    <x v="11"/>
    <x v="1613"/>
    <x v="8"/>
  </r>
  <r>
    <x v="10"/>
    <x v="12"/>
    <x v="996"/>
    <x v="8"/>
  </r>
  <r>
    <x v="10"/>
    <x v="13"/>
    <x v="1614"/>
    <x v="8"/>
  </r>
  <r>
    <x v="10"/>
    <x v="14"/>
    <x v="1615"/>
    <x v="8"/>
  </r>
  <r>
    <x v="10"/>
    <x v="15"/>
    <x v="1616"/>
    <x v="8"/>
  </r>
  <r>
    <x v="10"/>
    <x v="16"/>
    <x v="1617"/>
    <x v="8"/>
  </r>
  <r>
    <x v="5"/>
    <x v="0"/>
    <x v="0"/>
    <x v="8"/>
  </r>
  <r>
    <x v="5"/>
    <x v="1"/>
    <x v="1"/>
    <x v="8"/>
  </r>
  <r>
    <x v="5"/>
    <x v="2"/>
    <x v="1618"/>
    <x v="8"/>
  </r>
  <r>
    <x v="5"/>
    <x v="3"/>
    <x v="1084"/>
    <x v="8"/>
  </r>
  <r>
    <x v="5"/>
    <x v="4"/>
    <x v="531"/>
    <x v="8"/>
  </r>
  <r>
    <x v="5"/>
    <x v="5"/>
    <x v="1619"/>
    <x v="8"/>
  </r>
  <r>
    <x v="5"/>
    <x v="6"/>
    <x v="946"/>
    <x v="8"/>
  </r>
  <r>
    <x v="5"/>
    <x v="7"/>
    <x v="726"/>
    <x v="8"/>
  </r>
  <r>
    <x v="5"/>
    <x v="8"/>
    <x v="84"/>
    <x v="8"/>
  </r>
  <r>
    <x v="5"/>
    <x v="9"/>
    <x v="1620"/>
    <x v="8"/>
  </r>
  <r>
    <x v="5"/>
    <x v="10"/>
    <x v="1621"/>
    <x v="8"/>
  </r>
  <r>
    <x v="5"/>
    <x v="11"/>
    <x v="1622"/>
    <x v="8"/>
  </r>
  <r>
    <x v="5"/>
    <x v="12"/>
    <x v="1623"/>
    <x v="8"/>
  </r>
  <r>
    <x v="5"/>
    <x v="13"/>
    <x v="1624"/>
    <x v="8"/>
  </r>
  <r>
    <x v="5"/>
    <x v="14"/>
    <x v="1625"/>
    <x v="8"/>
  </r>
  <r>
    <x v="5"/>
    <x v="15"/>
    <x v="1626"/>
    <x v="8"/>
  </r>
  <r>
    <x v="5"/>
    <x v="16"/>
    <x v="1627"/>
    <x v="8"/>
  </r>
  <r>
    <x v="11"/>
    <x v="0"/>
    <x v="32"/>
    <x v="8"/>
  </r>
  <r>
    <x v="11"/>
    <x v="1"/>
    <x v="107"/>
    <x v="8"/>
  </r>
  <r>
    <x v="11"/>
    <x v="2"/>
    <x v="1628"/>
    <x v="8"/>
  </r>
  <r>
    <x v="11"/>
    <x v="3"/>
    <x v="484"/>
    <x v="8"/>
  </r>
  <r>
    <x v="11"/>
    <x v="4"/>
    <x v="8"/>
    <x v="8"/>
  </r>
  <r>
    <x v="11"/>
    <x v="5"/>
    <x v="1629"/>
    <x v="8"/>
  </r>
  <r>
    <x v="11"/>
    <x v="6"/>
    <x v="83"/>
    <x v="8"/>
  </r>
  <r>
    <x v="11"/>
    <x v="7"/>
    <x v="405"/>
    <x v="8"/>
  </r>
  <r>
    <x v="11"/>
    <x v="8"/>
    <x v="171"/>
    <x v="8"/>
  </r>
  <r>
    <x v="11"/>
    <x v="9"/>
    <x v="1630"/>
    <x v="8"/>
  </r>
  <r>
    <x v="11"/>
    <x v="10"/>
    <x v="1631"/>
    <x v="8"/>
  </r>
  <r>
    <x v="11"/>
    <x v="11"/>
    <x v="1632"/>
    <x v="8"/>
  </r>
  <r>
    <x v="11"/>
    <x v="12"/>
    <x v="1633"/>
    <x v="8"/>
  </r>
  <r>
    <x v="11"/>
    <x v="13"/>
    <x v="1634"/>
    <x v="8"/>
  </r>
  <r>
    <x v="11"/>
    <x v="14"/>
    <x v="1635"/>
    <x v="8"/>
  </r>
  <r>
    <x v="11"/>
    <x v="15"/>
    <x v="1636"/>
    <x v="8"/>
  </r>
  <r>
    <x v="11"/>
    <x v="16"/>
    <x v="1637"/>
    <x v="8"/>
  </r>
  <r>
    <x v="12"/>
    <x v="0"/>
    <x v="32"/>
    <x v="8"/>
  </r>
  <r>
    <x v="12"/>
    <x v="1"/>
    <x v="107"/>
    <x v="8"/>
  </r>
  <r>
    <x v="12"/>
    <x v="2"/>
    <x v="1638"/>
    <x v="8"/>
  </r>
  <r>
    <x v="12"/>
    <x v="3"/>
    <x v="1639"/>
    <x v="8"/>
  </r>
  <r>
    <x v="12"/>
    <x v="4"/>
    <x v="80"/>
    <x v="8"/>
  </r>
  <r>
    <x v="12"/>
    <x v="5"/>
    <x v="1640"/>
    <x v="8"/>
  </r>
  <r>
    <x v="12"/>
    <x v="6"/>
    <x v="141"/>
    <x v="8"/>
  </r>
  <r>
    <x v="12"/>
    <x v="7"/>
    <x v="1641"/>
    <x v="8"/>
  </r>
  <r>
    <x v="12"/>
    <x v="8"/>
    <x v="185"/>
    <x v="8"/>
  </r>
  <r>
    <x v="12"/>
    <x v="9"/>
    <x v="1642"/>
    <x v="8"/>
  </r>
  <r>
    <x v="12"/>
    <x v="10"/>
    <x v="1643"/>
    <x v="8"/>
  </r>
  <r>
    <x v="12"/>
    <x v="11"/>
    <x v="1644"/>
    <x v="8"/>
  </r>
  <r>
    <x v="12"/>
    <x v="12"/>
    <x v="1645"/>
    <x v="8"/>
  </r>
  <r>
    <x v="12"/>
    <x v="13"/>
    <x v="1646"/>
    <x v="8"/>
  </r>
  <r>
    <x v="12"/>
    <x v="14"/>
    <x v="1647"/>
    <x v="8"/>
  </r>
  <r>
    <x v="12"/>
    <x v="15"/>
    <x v="1648"/>
    <x v="8"/>
  </r>
  <r>
    <x v="12"/>
    <x v="16"/>
    <x v="1649"/>
    <x v="8"/>
  </r>
  <r>
    <x v="13"/>
    <x v="0"/>
    <x v="0"/>
    <x v="8"/>
  </r>
  <r>
    <x v="13"/>
    <x v="1"/>
    <x v="107"/>
    <x v="8"/>
  </r>
  <r>
    <x v="13"/>
    <x v="2"/>
    <x v="1650"/>
    <x v="8"/>
  </r>
  <r>
    <x v="13"/>
    <x v="3"/>
    <x v="695"/>
    <x v="8"/>
  </r>
  <r>
    <x v="13"/>
    <x v="4"/>
    <x v="110"/>
    <x v="8"/>
  </r>
  <r>
    <x v="13"/>
    <x v="5"/>
    <x v="1651"/>
    <x v="8"/>
  </r>
  <r>
    <x v="13"/>
    <x v="6"/>
    <x v="1445"/>
    <x v="8"/>
  </r>
  <r>
    <x v="13"/>
    <x v="7"/>
    <x v="617"/>
    <x v="8"/>
  </r>
  <r>
    <x v="13"/>
    <x v="8"/>
    <x v="199"/>
    <x v="8"/>
  </r>
  <r>
    <x v="13"/>
    <x v="9"/>
    <x v="1652"/>
    <x v="8"/>
  </r>
  <r>
    <x v="13"/>
    <x v="10"/>
    <x v="1653"/>
    <x v="8"/>
  </r>
  <r>
    <x v="13"/>
    <x v="11"/>
    <x v="1654"/>
    <x v="8"/>
  </r>
  <r>
    <x v="13"/>
    <x v="12"/>
    <x v="1655"/>
    <x v="8"/>
  </r>
  <r>
    <x v="13"/>
    <x v="13"/>
    <x v="1656"/>
    <x v="8"/>
  </r>
  <r>
    <x v="13"/>
    <x v="14"/>
    <x v="1657"/>
    <x v="8"/>
  </r>
  <r>
    <x v="13"/>
    <x v="15"/>
    <x v="1658"/>
    <x v="8"/>
  </r>
  <r>
    <x v="13"/>
    <x v="16"/>
    <x v="1659"/>
    <x v="8"/>
  </r>
  <r>
    <x v="14"/>
    <x v="0"/>
    <x v="32"/>
    <x v="8"/>
  </r>
  <r>
    <x v="14"/>
    <x v="1"/>
    <x v="107"/>
    <x v="8"/>
  </r>
  <r>
    <x v="14"/>
    <x v="2"/>
    <x v="1660"/>
    <x v="8"/>
  </r>
  <r>
    <x v="14"/>
    <x v="3"/>
    <x v="212"/>
    <x v="8"/>
  </r>
  <r>
    <x v="14"/>
    <x v="4"/>
    <x v="35"/>
    <x v="8"/>
  </r>
  <r>
    <x v="14"/>
    <x v="5"/>
    <x v="1661"/>
    <x v="8"/>
  </r>
  <r>
    <x v="14"/>
    <x v="6"/>
    <x v="407"/>
    <x v="8"/>
  </r>
  <r>
    <x v="14"/>
    <x v="7"/>
    <x v="1662"/>
    <x v="8"/>
  </r>
  <r>
    <x v="14"/>
    <x v="8"/>
    <x v="213"/>
    <x v="8"/>
  </r>
  <r>
    <x v="14"/>
    <x v="9"/>
    <x v="1663"/>
    <x v="8"/>
  </r>
  <r>
    <x v="14"/>
    <x v="10"/>
    <x v="1664"/>
    <x v="8"/>
  </r>
  <r>
    <x v="14"/>
    <x v="11"/>
    <x v="1665"/>
    <x v="8"/>
  </r>
  <r>
    <x v="14"/>
    <x v="12"/>
    <x v="1666"/>
    <x v="8"/>
  </r>
  <r>
    <x v="14"/>
    <x v="13"/>
    <x v="1667"/>
    <x v="8"/>
  </r>
  <r>
    <x v="14"/>
    <x v="14"/>
    <x v="1366"/>
    <x v="8"/>
  </r>
  <r>
    <x v="14"/>
    <x v="15"/>
    <x v="1668"/>
    <x v="8"/>
  </r>
  <r>
    <x v="14"/>
    <x v="16"/>
    <x v="1669"/>
    <x v="8"/>
  </r>
  <r>
    <x v="15"/>
    <x v="0"/>
    <x v="0"/>
    <x v="8"/>
  </r>
  <r>
    <x v="15"/>
    <x v="1"/>
    <x v="107"/>
    <x v="8"/>
  </r>
  <r>
    <x v="15"/>
    <x v="2"/>
    <x v="1670"/>
    <x v="8"/>
  </r>
  <r>
    <x v="15"/>
    <x v="3"/>
    <x v="555"/>
    <x v="8"/>
  </r>
  <r>
    <x v="15"/>
    <x v="4"/>
    <x v="278"/>
    <x v="8"/>
  </r>
  <r>
    <x v="15"/>
    <x v="5"/>
    <x v="1671"/>
    <x v="8"/>
  </r>
  <r>
    <x v="15"/>
    <x v="6"/>
    <x v="1481"/>
    <x v="8"/>
  </r>
  <r>
    <x v="15"/>
    <x v="7"/>
    <x v="432"/>
    <x v="8"/>
  </r>
  <r>
    <x v="15"/>
    <x v="8"/>
    <x v="228"/>
    <x v="8"/>
  </r>
  <r>
    <x v="15"/>
    <x v="9"/>
    <x v="1672"/>
    <x v="8"/>
  </r>
  <r>
    <x v="15"/>
    <x v="10"/>
    <x v="1673"/>
    <x v="8"/>
  </r>
  <r>
    <x v="15"/>
    <x v="11"/>
    <x v="1674"/>
    <x v="8"/>
  </r>
  <r>
    <x v="15"/>
    <x v="12"/>
    <x v="1675"/>
    <x v="8"/>
  </r>
  <r>
    <x v="15"/>
    <x v="13"/>
    <x v="1676"/>
    <x v="8"/>
  </r>
  <r>
    <x v="15"/>
    <x v="14"/>
    <x v="1677"/>
    <x v="8"/>
  </r>
  <r>
    <x v="15"/>
    <x v="15"/>
    <x v="1678"/>
    <x v="8"/>
  </r>
  <r>
    <x v="15"/>
    <x v="16"/>
    <x v="1679"/>
    <x v="8"/>
  </r>
  <r>
    <x v="6"/>
    <x v="0"/>
    <x v="32"/>
    <x v="8"/>
  </r>
  <r>
    <x v="6"/>
    <x v="1"/>
    <x v="1"/>
    <x v="8"/>
  </r>
  <r>
    <x v="6"/>
    <x v="2"/>
    <x v="1680"/>
    <x v="8"/>
  </r>
  <r>
    <x v="6"/>
    <x v="3"/>
    <x v="617"/>
    <x v="8"/>
  </r>
  <r>
    <x v="6"/>
    <x v="4"/>
    <x v="98"/>
    <x v="8"/>
  </r>
  <r>
    <x v="6"/>
    <x v="5"/>
    <x v="1681"/>
    <x v="8"/>
  </r>
  <r>
    <x v="6"/>
    <x v="6"/>
    <x v="534"/>
    <x v="8"/>
  </r>
  <r>
    <x v="6"/>
    <x v="7"/>
    <x v="809"/>
    <x v="8"/>
  </r>
  <r>
    <x v="6"/>
    <x v="8"/>
    <x v="98"/>
    <x v="8"/>
  </r>
  <r>
    <x v="6"/>
    <x v="9"/>
    <x v="1682"/>
    <x v="8"/>
  </r>
  <r>
    <x v="6"/>
    <x v="10"/>
    <x v="1683"/>
    <x v="8"/>
  </r>
  <r>
    <x v="6"/>
    <x v="11"/>
    <x v="1684"/>
    <x v="8"/>
  </r>
  <r>
    <x v="6"/>
    <x v="12"/>
    <x v="80"/>
    <x v="8"/>
  </r>
  <r>
    <x v="6"/>
    <x v="13"/>
    <x v="1685"/>
    <x v="8"/>
  </r>
  <r>
    <x v="6"/>
    <x v="14"/>
    <x v="1686"/>
    <x v="8"/>
  </r>
  <r>
    <x v="6"/>
    <x v="15"/>
    <x v="1687"/>
    <x v="8"/>
  </r>
  <r>
    <x v="6"/>
    <x v="16"/>
    <x v="1688"/>
    <x v="8"/>
  </r>
  <r>
    <x v="0"/>
    <x v="0"/>
    <x v="0"/>
    <x v="9"/>
  </r>
  <r>
    <x v="0"/>
    <x v="1"/>
    <x v="1"/>
    <x v="9"/>
  </r>
  <r>
    <x v="0"/>
    <x v="2"/>
    <x v="1689"/>
    <x v="9"/>
  </r>
  <r>
    <x v="0"/>
    <x v="3"/>
    <x v="1690"/>
    <x v="9"/>
  </r>
  <r>
    <x v="0"/>
    <x v="4"/>
    <x v="125"/>
    <x v="9"/>
  </r>
  <r>
    <x v="0"/>
    <x v="5"/>
    <x v="1691"/>
    <x v="9"/>
  </r>
  <r>
    <x v="0"/>
    <x v="6"/>
    <x v="1348"/>
    <x v="9"/>
  </r>
  <r>
    <x v="0"/>
    <x v="7"/>
    <x v="227"/>
    <x v="9"/>
  </r>
  <r>
    <x v="0"/>
    <x v="8"/>
    <x v="23"/>
    <x v="9"/>
  </r>
  <r>
    <x v="0"/>
    <x v="9"/>
    <x v="1692"/>
    <x v="9"/>
  </r>
  <r>
    <x v="0"/>
    <x v="10"/>
    <x v="1693"/>
    <x v="9"/>
  </r>
  <r>
    <x v="0"/>
    <x v="11"/>
    <x v="1694"/>
    <x v="9"/>
  </r>
  <r>
    <x v="0"/>
    <x v="12"/>
    <x v="1695"/>
    <x v="9"/>
  </r>
  <r>
    <x v="0"/>
    <x v="13"/>
    <x v="1696"/>
    <x v="9"/>
  </r>
  <r>
    <x v="0"/>
    <x v="14"/>
    <x v="1697"/>
    <x v="9"/>
  </r>
  <r>
    <x v="0"/>
    <x v="15"/>
    <x v="1698"/>
    <x v="9"/>
  </r>
  <r>
    <x v="0"/>
    <x v="16"/>
    <x v="1699"/>
    <x v="9"/>
  </r>
  <r>
    <x v="2"/>
    <x v="0"/>
    <x v="32"/>
    <x v="9"/>
  </r>
  <r>
    <x v="2"/>
    <x v="1"/>
    <x v="1"/>
    <x v="9"/>
  </r>
  <r>
    <x v="2"/>
    <x v="2"/>
    <x v="1700"/>
    <x v="9"/>
  </r>
  <r>
    <x v="2"/>
    <x v="3"/>
    <x v="1701"/>
    <x v="9"/>
  </r>
  <r>
    <x v="2"/>
    <x v="4"/>
    <x v="292"/>
    <x v="9"/>
  </r>
  <r>
    <x v="2"/>
    <x v="5"/>
    <x v="1702"/>
    <x v="9"/>
  </r>
  <r>
    <x v="2"/>
    <x v="6"/>
    <x v="819"/>
    <x v="9"/>
  </r>
  <r>
    <x v="2"/>
    <x v="7"/>
    <x v="223"/>
    <x v="9"/>
  </r>
  <r>
    <x v="2"/>
    <x v="8"/>
    <x v="39"/>
    <x v="9"/>
  </r>
  <r>
    <x v="2"/>
    <x v="9"/>
    <x v="1703"/>
    <x v="9"/>
  </r>
  <r>
    <x v="2"/>
    <x v="10"/>
    <x v="1704"/>
    <x v="9"/>
  </r>
  <r>
    <x v="2"/>
    <x v="11"/>
    <x v="1705"/>
    <x v="9"/>
  </r>
  <r>
    <x v="2"/>
    <x v="12"/>
    <x v="986"/>
    <x v="9"/>
  </r>
  <r>
    <x v="2"/>
    <x v="13"/>
    <x v="1706"/>
    <x v="9"/>
  </r>
  <r>
    <x v="2"/>
    <x v="14"/>
    <x v="1707"/>
    <x v="9"/>
  </r>
  <r>
    <x v="2"/>
    <x v="15"/>
    <x v="1708"/>
    <x v="9"/>
  </r>
  <r>
    <x v="2"/>
    <x v="16"/>
    <x v="1709"/>
    <x v="9"/>
  </r>
  <r>
    <x v="3"/>
    <x v="0"/>
    <x v="32"/>
    <x v="9"/>
  </r>
  <r>
    <x v="3"/>
    <x v="1"/>
    <x v="1"/>
    <x v="9"/>
  </r>
  <r>
    <x v="3"/>
    <x v="2"/>
    <x v="1710"/>
    <x v="9"/>
  </r>
  <r>
    <x v="3"/>
    <x v="3"/>
    <x v="1141"/>
    <x v="9"/>
  </r>
  <r>
    <x v="3"/>
    <x v="4"/>
    <x v="761"/>
    <x v="9"/>
  </r>
  <r>
    <x v="3"/>
    <x v="5"/>
    <x v="1711"/>
    <x v="9"/>
  </r>
  <r>
    <x v="3"/>
    <x v="6"/>
    <x v="505"/>
    <x v="9"/>
  </r>
  <r>
    <x v="3"/>
    <x v="7"/>
    <x v="1580"/>
    <x v="9"/>
  </r>
  <r>
    <x v="3"/>
    <x v="8"/>
    <x v="54"/>
    <x v="9"/>
  </r>
  <r>
    <x v="3"/>
    <x v="9"/>
    <x v="1712"/>
    <x v="9"/>
  </r>
  <r>
    <x v="3"/>
    <x v="10"/>
    <x v="1713"/>
    <x v="9"/>
  </r>
  <r>
    <x v="3"/>
    <x v="11"/>
    <x v="1714"/>
    <x v="9"/>
  </r>
  <r>
    <x v="3"/>
    <x v="12"/>
    <x v="1715"/>
    <x v="9"/>
  </r>
  <r>
    <x v="3"/>
    <x v="13"/>
    <x v="1716"/>
    <x v="9"/>
  </r>
  <r>
    <x v="3"/>
    <x v="14"/>
    <x v="1717"/>
    <x v="9"/>
  </r>
  <r>
    <x v="3"/>
    <x v="15"/>
    <x v="1718"/>
    <x v="9"/>
  </r>
  <r>
    <x v="3"/>
    <x v="16"/>
    <x v="1719"/>
    <x v="9"/>
  </r>
  <r>
    <x v="4"/>
    <x v="0"/>
    <x v="0"/>
    <x v="9"/>
  </r>
  <r>
    <x v="4"/>
    <x v="1"/>
    <x v="1"/>
    <x v="9"/>
  </r>
  <r>
    <x v="4"/>
    <x v="2"/>
    <x v="1720"/>
    <x v="9"/>
  </r>
  <r>
    <x v="4"/>
    <x v="3"/>
    <x v="1139"/>
    <x v="9"/>
  </r>
  <r>
    <x v="4"/>
    <x v="4"/>
    <x v="4"/>
    <x v="9"/>
  </r>
  <r>
    <x v="4"/>
    <x v="5"/>
    <x v="1721"/>
    <x v="9"/>
  </r>
  <r>
    <x v="4"/>
    <x v="6"/>
    <x v="1722"/>
    <x v="9"/>
  </r>
  <r>
    <x v="4"/>
    <x v="7"/>
    <x v="967"/>
    <x v="9"/>
  </r>
  <r>
    <x v="4"/>
    <x v="8"/>
    <x v="69"/>
    <x v="9"/>
  </r>
  <r>
    <x v="4"/>
    <x v="9"/>
    <x v="1723"/>
    <x v="9"/>
  </r>
  <r>
    <x v="4"/>
    <x v="10"/>
    <x v="1724"/>
    <x v="9"/>
  </r>
  <r>
    <x v="4"/>
    <x v="11"/>
    <x v="411"/>
    <x v="9"/>
  </r>
  <r>
    <x v="4"/>
    <x v="12"/>
    <x v="1725"/>
    <x v="9"/>
  </r>
  <r>
    <x v="4"/>
    <x v="13"/>
    <x v="1726"/>
    <x v="9"/>
  </r>
  <r>
    <x v="4"/>
    <x v="14"/>
    <x v="1727"/>
    <x v="9"/>
  </r>
  <r>
    <x v="4"/>
    <x v="15"/>
    <x v="1728"/>
    <x v="9"/>
  </r>
  <r>
    <x v="4"/>
    <x v="16"/>
    <x v="1729"/>
    <x v="9"/>
  </r>
  <r>
    <x v="5"/>
    <x v="0"/>
    <x v="0"/>
    <x v="9"/>
  </r>
  <r>
    <x v="5"/>
    <x v="1"/>
    <x v="1"/>
    <x v="9"/>
  </r>
  <r>
    <x v="5"/>
    <x v="2"/>
    <x v="1730"/>
    <x v="9"/>
  </r>
  <r>
    <x v="5"/>
    <x v="3"/>
    <x v="1510"/>
    <x v="9"/>
  </r>
  <r>
    <x v="5"/>
    <x v="4"/>
    <x v="125"/>
    <x v="9"/>
  </r>
  <r>
    <x v="5"/>
    <x v="5"/>
    <x v="1731"/>
    <x v="9"/>
  </r>
  <r>
    <x v="5"/>
    <x v="6"/>
    <x v="1435"/>
    <x v="9"/>
  </r>
  <r>
    <x v="5"/>
    <x v="7"/>
    <x v="664"/>
    <x v="9"/>
  </r>
  <r>
    <x v="5"/>
    <x v="8"/>
    <x v="84"/>
    <x v="9"/>
  </r>
  <r>
    <x v="5"/>
    <x v="9"/>
    <x v="1732"/>
    <x v="9"/>
  </r>
  <r>
    <x v="5"/>
    <x v="10"/>
    <x v="1733"/>
    <x v="9"/>
  </r>
  <r>
    <x v="5"/>
    <x v="11"/>
    <x v="1734"/>
    <x v="9"/>
  </r>
  <r>
    <x v="5"/>
    <x v="12"/>
    <x v="1735"/>
    <x v="9"/>
  </r>
  <r>
    <x v="5"/>
    <x v="13"/>
    <x v="1736"/>
    <x v="9"/>
  </r>
  <r>
    <x v="5"/>
    <x v="14"/>
    <x v="1737"/>
    <x v="9"/>
  </r>
  <r>
    <x v="5"/>
    <x v="15"/>
    <x v="1738"/>
    <x v="9"/>
  </r>
  <r>
    <x v="5"/>
    <x v="16"/>
    <x v="1739"/>
    <x v="9"/>
  </r>
  <r>
    <x v="13"/>
    <x v="0"/>
    <x v="0"/>
    <x v="9"/>
  </r>
  <r>
    <x v="13"/>
    <x v="1"/>
    <x v="107"/>
    <x v="9"/>
  </r>
  <r>
    <x v="13"/>
    <x v="2"/>
    <x v="1740"/>
    <x v="9"/>
  </r>
  <r>
    <x v="13"/>
    <x v="3"/>
    <x v="152"/>
    <x v="9"/>
  </r>
  <r>
    <x v="13"/>
    <x v="4"/>
    <x v="304"/>
    <x v="9"/>
  </r>
  <r>
    <x v="13"/>
    <x v="5"/>
    <x v="1741"/>
    <x v="9"/>
  </r>
  <r>
    <x v="13"/>
    <x v="6"/>
    <x v="1348"/>
    <x v="9"/>
  </r>
  <r>
    <x v="13"/>
    <x v="7"/>
    <x v="686"/>
    <x v="9"/>
  </r>
  <r>
    <x v="13"/>
    <x v="8"/>
    <x v="98"/>
    <x v="9"/>
  </r>
  <r>
    <x v="13"/>
    <x v="9"/>
    <x v="1742"/>
    <x v="9"/>
  </r>
  <r>
    <x v="13"/>
    <x v="10"/>
    <x v="1743"/>
    <x v="9"/>
  </r>
  <r>
    <x v="13"/>
    <x v="11"/>
    <x v="188"/>
    <x v="9"/>
  </r>
  <r>
    <x v="13"/>
    <x v="12"/>
    <x v="1744"/>
    <x v="9"/>
  </r>
  <r>
    <x v="13"/>
    <x v="13"/>
    <x v="1745"/>
    <x v="9"/>
  </r>
  <r>
    <x v="13"/>
    <x v="14"/>
    <x v="1746"/>
    <x v="9"/>
  </r>
  <r>
    <x v="13"/>
    <x v="15"/>
    <x v="1747"/>
    <x v="9"/>
  </r>
  <r>
    <x v="13"/>
    <x v="16"/>
    <x v="1748"/>
    <x v="9"/>
  </r>
  <r>
    <x v="8"/>
    <x v="0"/>
    <x v="0"/>
    <x v="9"/>
  </r>
  <r>
    <x v="8"/>
    <x v="1"/>
    <x v="107"/>
    <x v="9"/>
  </r>
  <r>
    <x v="8"/>
    <x v="2"/>
    <x v="1749"/>
    <x v="9"/>
  </r>
  <r>
    <x v="8"/>
    <x v="3"/>
    <x v="1750"/>
    <x v="9"/>
  </r>
  <r>
    <x v="8"/>
    <x v="4"/>
    <x v="8"/>
    <x v="9"/>
  </r>
  <r>
    <x v="8"/>
    <x v="5"/>
    <x v="1751"/>
    <x v="9"/>
  </r>
  <r>
    <x v="8"/>
    <x v="6"/>
    <x v="1752"/>
    <x v="9"/>
  </r>
  <r>
    <x v="8"/>
    <x v="7"/>
    <x v="1228"/>
    <x v="9"/>
  </r>
  <r>
    <x v="8"/>
    <x v="8"/>
    <x v="129"/>
    <x v="9"/>
  </r>
  <r>
    <x v="8"/>
    <x v="9"/>
    <x v="1753"/>
    <x v="9"/>
  </r>
  <r>
    <x v="8"/>
    <x v="10"/>
    <x v="1754"/>
    <x v="9"/>
  </r>
  <r>
    <x v="8"/>
    <x v="11"/>
    <x v="1755"/>
    <x v="9"/>
  </r>
  <r>
    <x v="8"/>
    <x v="12"/>
    <x v="1756"/>
    <x v="9"/>
  </r>
  <r>
    <x v="8"/>
    <x v="13"/>
    <x v="1757"/>
    <x v="9"/>
  </r>
  <r>
    <x v="8"/>
    <x v="14"/>
    <x v="1758"/>
    <x v="9"/>
  </r>
  <r>
    <x v="8"/>
    <x v="15"/>
    <x v="1759"/>
    <x v="9"/>
  </r>
  <r>
    <x v="8"/>
    <x v="16"/>
    <x v="1760"/>
    <x v="9"/>
  </r>
  <r>
    <x v="9"/>
    <x v="0"/>
    <x v="0"/>
    <x v="9"/>
  </r>
  <r>
    <x v="9"/>
    <x v="1"/>
    <x v="107"/>
    <x v="9"/>
  </r>
  <r>
    <x v="9"/>
    <x v="2"/>
    <x v="1761"/>
    <x v="9"/>
  </r>
  <r>
    <x v="9"/>
    <x v="3"/>
    <x v="1762"/>
    <x v="9"/>
  </r>
  <r>
    <x v="9"/>
    <x v="4"/>
    <x v="651"/>
    <x v="9"/>
  </r>
  <r>
    <x v="9"/>
    <x v="5"/>
    <x v="1763"/>
    <x v="9"/>
  </r>
  <r>
    <x v="9"/>
    <x v="6"/>
    <x v="1017"/>
    <x v="9"/>
  </r>
  <r>
    <x v="9"/>
    <x v="7"/>
    <x v="1764"/>
    <x v="9"/>
  </r>
  <r>
    <x v="9"/>
    <x v="8"/>
    <x v="142"/>
    <x v="9"/>
  </r>
  <r>
    <x v="9"/>
    <x v="9"/>
    <x v="1765"/>
    <x v="9"/>
  </r>
  <r>
    <x v="9"/>
    <x v="10"/>
    <x v="1766"/>
    <x v="9"/>
  </r>
  <r>
    <x v="9"/>
    <x v="11"/>
    <x v="1767"/>
    <x v="9"/>
  </r>
  <r>
    <x v="9"/>
    <x v="12"/>
    <x v="1221"/>
    <x v="9"/>
  </r>
  <r>
    <x v="9"/>
    <x v="13"/>
    <x v="1768"/>
    <x v="9"/>
  </r>
  <r>
    <x v="9"/>
    <x v="14"/>
    <x v="1769"/>
    <x v="9"/>
  </r>
  <r>
    <x v="9"/>
    <x v="15"/>
    <x v="1770"/>
    <x v="9"/>
  </r>
  <r>
    <x v="9"/>
    <x v="16"/>
    <x v="1771"/>
    <x v="9"/>
  </r>
  <r>
    <x v="11"/>
    <x v="0"/>
    <x v="32"/>
    <x v="9"/>
  </r>
  <r>
    <x v="11"/>
    <x v="1"/>
    <x v="107"/>
    <x v="9"/>
  </r>
  <r>
    <x v="11"/>
    <x v="2"/>
    <x v="1727"/>
    <x v="9"/>
  </r>
  <r>
    <x v="11"/>
    <x v="3"/>
    <x v="1324"/>
    <x v="9"/>
  </r>
  <r>
    <x v="11"/>
    <x v="4"/>
    <x v="125"/>
    <x v="9"/>
  </r>
  <r>
    <x v="11"/>
    <x v="5"/>
    <x v="1772"/>
    <x v="9"/>
  </r>
  <r>
    <x v="11"/>
    <x v="6"/>
    <x v="67"/>
    <x v="9"/>
  </r>
  <r>
    <x v="11"/>
    <x v="7"/>
    <x v="1750"/>
    <x v="9"/>
  </r>
  <r>
    <x v="11"/>
    <x v="8"/>
    <x v="171"/>
    <x v="9"/>
  </r>
  <r>
    <x v="11"/>
    <x v="9"/>
    <x v="1773"/>
    <x v="9"/>
  </r>
  <r>
    <x v="11"/>
    <x v="10"/>
    <x v="1774"/>
    <x v="9"/>
  </r>
  <r>
    <x v="11"/>
    <x v="11"/>
    <x v="1775"/>
    <x v="9"/>
  </r>
  <r>
    <x v="11"/>
    <x v="12"/>
    <x v="1776"/>
    <x v="9"/>
  </r>
  <r>
    <x v="11"/>
    <x v="13"/>
    <x v="1777"/>
    <x v="9"/>
  </r>
  <r>
    <x v="11"/>
    <x v="14"/>
    <x v="1778"/>
    <x v="9"/>
  </r>
  <r>
    <x v="11"/>
    <x v="15"/>
    <x v="1779"/>
    <x v="9"/>
  </r>
  <r>
    <x v="11"/>
    <x v="16"/>
    <x v="1780"/>
    <x v="9"/>
  </r>
  <r>
    <x v="12"/>
    <x v="0"/>
    <x v="32"/>
    <x v="9"/>
  </r>
  <r>
    <x v="12"/>
    <x v="1"/>
    <x v="107"/>
    <x v="9"/>
  </r>
  <r>
    <x v="12"/>
    <x v="2"/>
    <x v="1781"/>
    <x v="9"/>
  </r>
  <r>
    <x v="12"/>
    <x v="3"/>
    <x v="1782"/>
    <x v="9"/>
  </r>
  <r>
    <x v="12"/>
    <x v="4"/>
    <x v="292"/>
    <x v="9"/>
  </r>
  <r>
    <x v="12"/>
    <x v="5"/>
    <x v="1292"/>
    <x v="9"/>
  </r>
  <r>
    <x v="12"/>
    <x v="6"/>
    <x v="969"/>
    <x v="9"/>
  </r>
  <r>
    <x v="12"/>
    <x v="7"/>
    <x v="1346"/>
    <x v="9"/>
  </r>
  <r>
    <x v="12"/>
    <x v="8"/>
    <x v="185"/>
    <x v="9"/>
  </r>
  <r>
    <x v="12"/>
    <x v="9"/>
    <x v="1783"/>
    <x v="9"/>
  </r>
  <r>
    <x v="12"/>
    <x v="10"/>
    <x v="1784"/>
    <x v="9"/>
  </r>
  <r>
    <x v="12"/>
    <x v="11"/>
    <x v="1785"/>
    <x v="9"/>
  </r>
  <r>
    <x v="12"/>
    <x v="12"/>
    <x v="621"/>
    <x v="9"/>
  </r>
  <r>
    <x v="12"/>
    <x v="13"/>
    <x v="1786"/>
    <x v="9"/>
  </r>
  <r>
    <x v="12"/>
    <x v="14"/>
    <x v="1787"/>
    <x v="9"/>
  </r>
  <r>
    <x v="12"/>
    <x v="15"/>
    <x v="1788"/>
    <x v="9"/>
  </r>
  <r>
    <x v="12"/>
    <x v="16"/>
    <x v="1789"/>
    <x v="9"/>
  </r>
  <r>
    <x v="7"/>
    <x v="0"/>
    <x v="32"/>
    <x v="9"/>
  </r>
  <r>
    <x v="7"/>
    <x v="1"/>
    <x v="107"/>
    <x v="9"/>
  </r>
  <r>
    <x v="7"/>
    <x v="2"/>
    <x v="1790"/>
    <x v="9"/>
  </r>
  <r>
    <x v="7"/>
    <x v="3"/>
    <x v="1791"/>
    <x v="9"/>
  </r>
  <r>
    <x v="7"/>
    <x v="4"/>
    <x v="239"/>
    <x v="9"/>
  </r>
  <r>
    <x v="7"/>
    <x v="5"/>
    <x v="1792"/>
    <x v="9"/>
  </r>
  <r>
    <x v="7"/>
    <x v="6"/>
    <x v="1793"/>
    <x v="9"/>
  </r>
  <r>
    <x v="7"/>
    <x v="7"/>
    <x v="1016"/>
    <x v="9"/>
  </r>
  <r>
    <x v="7"/>
    <x v="8"/>
    <x v="199"/>
    <x v="9"/>
  </r>
  <r>
    <x v="7"/>
    <x v="9"/>
    <x v="1272"/>
    <x v="9"/>
  </r>
  <r>
    <x v="7"/>
    <x v="10"/>
    <x v="1273"/>
    <x v="9"/>
  </r>
  <r>
    <x v="7"/>
    <x v="11"/>
    <x v="1794"/>
    <x v="9"/>
  </r>
  <r>
    <x v="7"/>
    <x v="12"/>
    <x v="779"/>
    <x v="9"/>
  </r>
  <r>
    <x v="7"/>
    <x v="13"/>
    <x v="1795"/>
    <x v="9"/>
  </r>
  <r>
    <x v="7"/>
    <x v="14"/>
    <x v="1796"/>
    <x v="9"/>
  </r>
  <r>
    <x v="7"/>
    <x v="15"/>
    <x v="1797"/>
    <x v="9"/>
  </r>
  <r>
    <x v="7"/>
    <x v="16"/>
    <x v="1798"/>
    <x v="9"/>
  </r>
  <r>
    <x v="14"/>
    <x v="0"/>
    <x v="32"/>
    <x v="9"/>
  </r>
  <r>
    <x v="14"/>
    <x v="1"/>
    <x v="107"/>
    <x v="9"/>
  </r>
  <r>
    <x v="14"/>
    <x v="2"/>
    <x v="1799"/>
    <x v="9"/>
  </r>
  <r>
    <x v="14"/>
    <x v="3"/>
    <x v="1491"/>
    <x v="9"/>
  </r>
  <r>
    <x v="14"/>
    <x v="4"/>
    <x v="95"/>
    <x v="9"/>
  </r>
  <r>
    <x v="14"/>
    <x v="5"/>
    <x v="1800"/>
    <x v="9"/>
  </r>
  <r>
    <x v="14"/>
    <x v="6"/>
    <x v="603"/>
    <x v="9"/>
  </r>
  <r>
    <x v="14"/>
    <x v="7"/>
    <x v="1801"/>
    <x v="9"/>
  </r>
  <r>
    <x v="14"/>
    <x v="8"/>
    <x v="213"/>
    <x v="9"/>
  </r>
  <r>
    <x v="14"/>
    <x v="9"/>
    <x v="1802"/>
    <x v="9"/>
  </r>
  <r>
    <x v="14"/>
    <x v="10"/>
    <x v="1803"/>
    <x v="9"/>
  </r>
  <r>
    <x v="14"/>
    <x v="11"/>
    <x v="1804"/>
    <x v="9"/>
  </r>
  <r>
    <x v="14"/>
    <x v="12"/>
    <x v="1805"/>
    <x v="9"/>
  </r>
  <r>
    <x v="14"/>
    <x v="13"/>
    <x v="1806"/>
    <x v="9"/>
  </r>
  <r>
    <x v="14"/>
    <x v="14"/>
    <x v="1807"/>
    <x v="9"/>
  </r>
  <r>
    <x v="14"/>
    <x v="15"/>
    <x v="1808"/>
    <x v="9"/>
  </r>
  <r>
    <x v="14"/>
    <x v="16"/>
    <x v="1809"/>
    <x v="9"/>
  </r>
  <r>
    <x v="15"/>
    <x v="0"/>
    <x v="0"/>
    <x v="9"/>
  </r>
  <r>
    <x v="15"/>
    <x v="1"/>
    <x v="107"/>
    <x v="9"/>
  </r>
  <r>
    <x v="15"/>
    <x v="2"/>
    <x v="991"/>
    <x v="9"/>
  </r>
  <r>
    <x v="15"/>
    <x v="3"/>
    <x v="640"/>
    <x v="9"/>
  </r>
  <r>
    <x v="15"/>
    <x v="4"/>
    <x v="304"/>
    <x v="9"/>
  </r>
  <r>
    <x v="15"/>
    <x v="5"/>
    <x v="1810"/>
    <x v="9"/>
  </r>
  <r>
    <x v="15"/>
    <x v="6"/>
    <x v="1811"/>
    <x v="9"/>
  </r>
  <r>
    <x v="15"/>
    <x v="7"/>
    <x v="267"/>
    <x v="9"/>
  </r>
  <r>
    <x v="15"/>
    <x v="8"/>
    <x v="228"/>
    <x v="9"/>
  </r>
  <r>
    <x v="15"/>
    <x v="9"/>
    <x v="1812"/>
    <x v="9"/>
  </r>
  <r>
    <x v="15"/>
    <x v="10"/>
    <x v="1813"/>
    <x v="9"/>
  </r>
  <r>
    <x v="15"/>
    <x v="11"/>
    <x v="1814"/>
    <x v="9"/>
  </r>
  <r>
    <x v="15"/>
    <x v="12"/>
    <x v="1815"/>
    <x v="9"/>
  </r>
  <r>
    <x v="15"/>
    <x v="13"/>
    <x v="1816"/>
    <x v="9"/>
  </r>
  <r>
    <x v="15"/>
    <x v="14"/>
    <x v="1817"/>
    <x v="9"/>
  </r>
  <r>
    <x v="15"/>
    <x v="15"/>
    <x v="1818"/>
    <x v="9"/>
  </r>
  <r>
    <x v="15"/>
    <x v="16"/>
    <x v="1819"/>
    <x v="9"/>
  </r>
  <r>
    <x v="6"/>
    <x v="0"/>
    <x v="32"/>
    <x v="9"/>
  </r>
  <r>
    <x v="6"/>
    <x v="1"/>
    <x v="1"/>
    <x v="9"/>
  </r>
  <r>
    <x v="6"/>
    <x v="2"/>
    <x v="1820"/>
    <x v="9"/>
  </r>
  <r>
    <x v="6"/>
    <x v="3"/>
    <x v="674"/>
    <x v="9"/>
  </r>
  <r>
    <x v="6"/>
    <x v="4"/>
    <x v="224"/>
    <x v="9"/>
  </r>
  <r>
    <x v="6"/>
    <x v="5"/>
    <x v="293"/>
    <x v="9"/>
  </r>
  <r>
    <x v="6"/>
    <x v="6"/>
    <x v="154"/>
    <x v="9"/>
  </r>
  <r>
    <x v="6"/>
    <x v="7"/>
    <x v="1821"/>
    <x v="9"/>
  </r>
  <r>
    <x v="6"/>
    <x v="8"/>
    <x v="228"/>
    <x v="9"/>
  </r>
  <r>
    <x v="6"/>
    <x v="9"/>
    <x v="1822"/>
    <x v="9"/>
  </r>
  <r>
    <x v="6"/>
    <x v="10"/>
    <x v="1823"/>
    <x v="9"/>
  </r>
  <r>
    <x v="6"/>
    <x v="11"/>
    <x v="1824"/>
    <x v="9"/>
  </r>
  <r>
    <x v="6"/>
    <x v="12"/>
    <x v="1825"/>
    <x v="9"/>
  </r>
  <r>
    <x v="6"/>
    <x v="13"/>
    <x v="1826"/>
    <x v="9"/>
  </r>
  <r>
    <x v="6"/>
    <x v="14"/>
    <x v="1827"/>
    <x v="9"/>
  </r>
  <r>
    <x v="6"/>
    <x v="15"/>
    <x v="1828"/>
    <x v="9"/>
  </r>
  <r>
    <x v="6"/>
    <x v="16"/>
    <x v="1829"/>
    <x v="9"/>
  </r>
  <r>
    <x v="10"/>
    <x v="0"/>
    <x v="0"/>
    <x v="9"/>
  </r>
  <r>
    <x v="10"/>
    <x v="1"/>
    <x v="107"/>
    <x v="9"/>
  </r>
  <r>
    <x v="10"/>
    <x v="2"/>
    <x v="1830"/>
    <x v="9"/>
  </r>
  <r>
    <x v="10"/>
    <x v="3"/>
    <x v="128"/>
    <x v="9"/>
  </r>
  <r>
    <x v="10"/>
    <x v="4"/>
    <x v="65"/>
    <x v="9"/>
  </r>
  <r>
    <x v="10"/>
    <x v="5"/>
    <x v="1831"/>
    <x v="9"/>
  </r>
  <r>
    <x v="10"/>
    <x v="6"/>
    <x v="1039"/>
    <x v="9"/>
  </r>
  <r>
    <x v="10"/>
    <x v="7"/>
    <x v="1129"/>
    <x v="9"/>
  </r>
  <r>
    <x v="10"/>
    <x v="8"/>
    <x v="228"/>
    <x v="9"/>
  </r>
  <r>
    <x v="10"/>
    <x v="9"/>
    <x v="1832"/>
    <x v="9"/>
  </r>
  <r>
    <x v="10"/>
    <x v="10"/>
    <x v="1833"/>
    <x v="9"/>
  </r>
  <r>
    <x v="10"/>
    <x v="11"/>
    <x v="1834"/>
    <x v="9"/>
  </r>
  <r>
    <x v="10"/>
    <x v="12"/>
    <x v="1835"/>
    <x v="9"/>
  </r>
  <r>
    <x v="10"/>
    <x v="13"/>
    <x v="1836"/>
    <x v="9"/>
  </r>
  <r>
    <x v="10"/>
    <x v="14"/>
    <x v="1837"/>
    <x v="9"/>
  </r>
  <r>
    <x v="10"/>
    <x v="15"/>
    <x v="1838"/>
    <x v="9"/>
  </r>
  <r>
    <x v="10"/>
    <x v="16"/>
    <x v="1839"/>
    <x v="9"/>
  </r>
  <r>
    <x v="1"/>
    <x v="0"/>
    <x v="0"/>
    <x v="9"/>
  </r>
  <r>
    <x v="1"/>
    <x v="1"/>
    <x v="1"/>
    <x v="9"/>
  </r>
  <r>
    <x v="1"/>
    <x v="2"/>
    <x v="1840"/>
    <x v="9"/>
  </r>
  <r>
    <x v="1"/>
    <x v="3"/>
    <x v="154"/>
    <x v="9"/>
  </r>
  <r>
    <x v="1"/>
    <x v="4"/>
    <x v="19"/>
    <x v="9"/>
  </r>
  <r>
    <x v="1"/>
    <x v="5"/>
    <x v="1841"/>
    <x v="9"/>
  </r>
  <r>
    <x v="1"/>
    <x v="6"/>
    <x v="1842"/>
    <x v="9"/>
  </r>
  <r>
    <x v="1"/>
    <x v="7"/>
    <x v="1002"/>
    <x v="9"/>
  </r>
  <r>
    <x v="1"/>
    <x v="8"/>
    <x v="228"/>
    <x v="9"/>
  </r>
  <r>
    <x v="1"/>
    <x v="9"/>
    <x v="1843"/>
    <x v="9"/>
  </r>
  <r>
    <x v="1"/>
    <x v="10"/>
    <x v="1844"/>
    <x v="9"/>
  </r>
  <r>
    <x v="1"/>
    <x v="11"/>
    <x v="1845"/>
    <x v="9"/>
  </r>
  <r>
    <x v="1"/>
    <x v="12"/>
    <x v="1846"/>
    <x v="9"/>
  </r>
  <r>
    <x v="1"/>
    <x v="13"/>
    <x v="1847"/>
    <x v="9"/>
  </r>
  <r>
    <x v="1"/>
    <x v="14"/>
    <x v="1848"/>
    <x v="9"/>
  </r>
  <r>
    <x v="1"/>
    <x v="15"/>
    <x v="1849"/>
    <x v="9"/>
  </r>
  <r>
    <x v="1"/>
    <x v="16"/>
    <x v="1850"/>
    <x v="9"/>
  </r>
  <r>
    <x v="0"/>
    <x v="0"/>
    <x v="0"/>
    <x v="10"/>
  </r>
  <r>
    <x v="0"/>
    <x v="1"/>
    <x v="1"/>
    <x v="10"/>
  </r>
  <r>
    <x v="0"/>
    <x v="2"/>
    <x v="1851"/>
    <x v="10"/>
  </r>
  <r>
    <x v="0"/>
    <x v="3"/>
    <x v="1591"/>
    <x v="10"/>
  </r>
  <r>
    <x v="0"/>
    <x v="4"/>
    <x v="19"/>
    <x v="10"/>
  </r>
  <r>
    <x v="0"/>
    <x v="5"/>
    <x v="1852"/>
    <x v="10"/>
  </r>
  <r>
    <x v="0"/>
    <x v="6"/>
    <x v="1853"/>
    <x v="10"/>
  </r>
  <r>
    <x v="0"/>
    <x v="7"/>
    <x v="957"/>
    <x v="10"/>
  </r>
  <r>
    <x v="0"/>
    <x v="8"/>
    <x v="23"/>
    <x v="10"/>
  </r>
  <r>
    <x v="0"/>
    <x v="9"/>
    <x v="1854"/>
    <x v="10"/>
  </r>
  <r>
    <x v="0"/>
    <x v="10"/>
    <x v="1855"/>
    <x v="10"/>
  </r>
  <r>
    <x v="0"/>
    <x v="11"/>
    <x v="1856"/>
    <x v="10"/>
  </r>
  <r>
    <x v="0"/>
    <x v="12"/>
    <x v="1857"/>
    <x v="10"/>
  </r>
  <r>
    <x v="0"/>
    <x v="13"/>
    <x v="1858"/>
    <x v="10"/>
  </r>
  <r>
    <x v="0"/>
    <x v="14"/>
    <x v="1859"/>
    <x v="10"/>
  </r>
  <r>
    <x v="0"/>
    <x v="15"/>
    <x v="1860"/>
    <x v="10"/>
  </r>
  <r>
    <x v="0"/>
    <x v="16"/>
    <x v="1861"/>
    <x v="10"/>
  </r>
  <r>
    <x v="2"/>
    <x v="0"/>
    <x v="32"/>
    <x v="10"/>
  </r>
  <r>
    <x v="2"/>
    <x v="1"/>
    <x v="1"/>
    <x v="10"/>
  </r>
  <r>
    <x v="2"/>
    <x v="2"/>
    <x v="1862"/>
    <x v="10"/>
  </r>
  <r>
    <x v="2"/>
    <x v="3"/>
    <x v="358"/>
    <x v="10"/>
  </r>
  <r>
    <x v="2"/>
    <x v="4"/>
    <x v="224"/>
    <x v="10"/>
  </r>
  <r>
    <x v="2"/>
    <x v="5"/>
    <x v="1863"/>
    <x v="10"/>
  </r>
  <r>
    <x v="2"/>
    <x v="6"/>
    <x v="1864"/>
    <x v="10"/>
  </r>
  <r>
    <x v="2"/>
    <x v="7"/>
    <x v="1865"/>
    <x v="10"/>
  </r>
  <r>
    <x v="2"/>
    <x v="8"/>
    <x v="39"/>
    <x v="10"/>
  </r>
  <r>
    <x v="2"/>
    <x v="9"/>
    <x v="1866"/>
    <x v="10"/>
  </r>
  <r>
    <x v="2"/>
    <x v="10"/>
    <x v="1867"/>
    <x v="10"/>
  </r>
  <r>
    <x v="2"/>
    <x v="11"/>
    <x v="1868"/>
    <x v="10"/>
  </r>
  <r>
    <x v="2"/>
    <x v="12"/>
    <x v="1869"/>
    <x v="10"/>
  </r>
  <r>
    <x v="2"/>
    <x v="13"/>
    <x v="1870"/>
    <x v="10"/>
  </r>
  <r>
    <x v="2"/>
    <x v="14"/>
    <x v="364"/>
    <x v="10"/>
  </r>
  <r>
    <x v="2"/>
    <x v="15"/>
    <x v="1871"/>
    <x v="10"/>
  </r>
  <r>
    <x v="2"/>
    <x v="16"/>
    <x v="1872"/>
    <x v="10"/>
  </r>
  <r>
    <x v="3"/>
    <x v="0"/>
    <x v="32"/>
    <x v="10"/>
  </r>
  <r>
    <x v="3"/>
    <x v="1"/>
    <x v="1"/>
    <x v="10"/>
  </r>
  <r>
    <x v="3"/>
    <x v="2"/>
    <x v="1873"/>
    <x v="10"/>
  </r>
  <r>
    <x v="3"/>
    <x v="3"/>
    <x v="124"/>
    <x v="10"/>
  </r>
  <r>
    <x v="3"/>
    <x v="4"/>
    <x v="330"/>
    <x v="10"/>
  </r>
  <r>
    <x v="3"/>
    <x v="5"/>
    <x v="1874"/>
    <x v="10"/>
  </r>
  <r>
    <x v="3"/>
    <x v="6"/>
    <x v="1875"/>
    <x v="10"/>
  </r>
  <r>
    <x v="3"/>
    <x v="7"/>
    <x v="1876"/>
    <x v="10"/>
  </r>
  <r>
    <x v="3"/>
    <x v="8"/>
    <x v="54"/>
    <x v="10"/>
  </r>
  <r>
    <x v="3"/>
    <x v="9"/>
    <x v="1877"/>
    <x v="10"/>
  </r>
  <r>
    <x v="3"/>
    <x v="10"/>
    <x v="1878"/>
    <x v="10"/>
  </r>
  <r>
    <x v="3"/>
    <x v="11"/>
    <x v="1879"/>
    <x v="10"/>
  </r>
  <r>
    <x v="3"/>
    <x v="12"/>
    <x v="1880"/>
    <x v="10"/>
  </r>
  <r>
    <x v="3"/>
    <x v="13"/>
    <x v="1881"/>
    <x v="10"/>
  </r>
  <r>
    <x v="3"/>
    <x v="14"/>
    <x v="1882"/>
    <x v="10"/>
  </r>
  <r>
    <x v="3"/>
    <x v="15"/>
    <x v="1883"/>
    <x v="10"/>
  </r>
  <r>
    <x v="3"/>
    <x v="16"/>
    <x v="1884"/>
    <x v="10"/>
  </r>
  <r>
    <x v="4"/>
    <x v="0"/>
    <x v="0"/>
    <x v="10"/>
  </r>
  <r>
    <x v="4"/>
    <x v="1"/>
    <x v="1"/>
    <x v="10"/>
  </r>
  <r>
    <x v="4"/>
    <x v="2"/>
    <x v="1885"/>
    <x v="10"/>
  </r>
  <r>
    <x v="4"/>
    <x v="3"/>
    <x v="1886"/>
    <x v="10"/>
  </r>
  <r>
    <x v="4"/>
    <x v="4"/>
    <x v="167"/>
    <x v="10"/>
  </r>
  <r>
    <x v="4"/>
    <x v="5"/>
    <x v="1887"/>
    <x v="10"/>
  </r>
  <r>
    <x v="4"/>
    <x v="6"/>
    <x v="1888"/>
    <x v="10"/>
  </r>
  <r>
    <x v="4"/>
    <x v="7"/>
    <x v="1889"/>
    <x v="10"/>
  </r>
  <r>
    <x v="4"/>
    <x v="8"/>
    <x v="69"/>
    <x v="10"/>
  </r>
  <r>
    <x v="4"/>
    <x v="9"/>
    <x v="1890"/>
    <x v="10"/>
  </r>
  <r>
    <x v="4"/>
    <x v="10"/>
    <x v="1891"/>
    <x v="10"/>
  </r>
  <r>
    <x v="4"/>
    <x v="11"/>
    <x v="1892"/>
    <x v="10"/>
  </r>
  <r>
    <x v="4"/>
    <x v="12"/>
    <x v="1893"/>
    <x v="10"/>
  </r>
  <r>
    <x v="4"/>
    <x v="13"/>
    <x v="1894"/>
    <x v="10"/>
  </r>
  <r>
    <x v="4"/>
    <x v="14"/>
    <x v="1895"/>
    <x v="10"/>
  </r>
  <r>
    <x v="4"/>
    <x v="15"/>
    <x v="1896"/>
    <x v="10"/>
  </r>
  <r>
    <x v="4"/>
    <x v="16"/>
    <x v="1897"/>
    <x v="10"/>
  </r>
  <r>
    <x v="5"/>
    <x v="0"/>
    <x v="0"/>
    <x v="10"/>
  </r>
  <r>
    <x v="5"/>
    <x v="1"/>
    <x v="1"/>
    <x v="10"/>
  </r>
  <r>
    <x v="5"/>
    <x v="2"/>
    <x v="1898"/>
    <x v="10"/>
  </r>
  <r>
    <x v="5"/>
    <x v="3"/>
    <x v="1899"/>
    <x v="10"/>
  </r>
  <r>
    <x v="5"/>
    <x v="4"/>
    <x v="4"/>
    <x v="10"/>
  </r>
  <r>
    <x v="5"/>
    <x v="5"/>
    <x v="343"/>
    <x v="10"/>
  </r>
  <r>
    <x v="5"/>
    <x v="6"/>
    <x v="1900"/>
    <x v="10"/>
  </r>
  <r>
    <x v="5"/>
    <x v="7"/>
    <x v="169"/>
    <x v="10"/>
  </r>
  <r>
    <x v="5"/>
    <x v="8"/>
    <x v="84"/>
    <x v="10"/>
  </r>
  <r>
    <x v="5"/>
    <x v="9"/>
    <x v="1901"/>
    <x v="10"/>
  </r>
  <r>
    <x v="5"/>
    <x v="10"/>
    <x v="1902"/>
    <x v="10"/>
  </r>
  <r>
    <x v="5"/>
    <x v="11"/>
    <x v="1903"/>
    <x v="10"/>
  </r>
  <r>
    <x v="5"/>
    <x v="12"/>
    <x v="450"/>
    <x v="10"/>
  </r>
  <r>
    <x v="5"/>
    <x v="13"/>
    <x v="1904"/>
    <x v="10"/>
  </r>
  <r>
    <x v="5"/>
    <x v="14"/>
    <x v="1905"/>
    <x v="10"/>
  </r>
  <r>
    <x v="5"/>
    <x v="15"/>
    <x v="1906"/>
    <x v="10"/>
  </r>
  <r>
    <x v="5"/>
    <x v="16"/>
    <x v="1907"/>
    <x v="10"/>
  </r>
  <r>
    <x v="13"/>
    <x v="0"/>
    <x v="0"/>
    <x v="10"/>
  </r>
  <r>
    <x v="13"/>
    <x v="1"/>
    <x v="107"/>
    <x v="10"/>
  </r>
  <r>
    <x v="13"/>
    <x v="2"/>
    <x v="1908"/>
    <x v="10"/>
  </r>
  <r>
    <x v="13"/>
    <x v="3"/>
    <x v="1909"/>
    <x v="10"/>
  </r>
  <r>
    <x v="13"/>
    <x v="4"/>
    <x v="152"/>
    <x v="10"/>
  </r>
  <r>
    <x v="13"/>
    <x v="5"/>
    <x v="1910"/>
    <x v="10"/>
  </r>
  <r>
    <x v="13"/>
    <x v="6"/>
    <x v="763"/>
    <x v="10"/>
  </r>
  <r>
    <x v="13"/>
    <x v="7"/>
    <x v="1911"/>
    <x v="10"/>
  </r>
  <r>
    <x v="13"/>
    <x v="8"/>
    <x v="98"/>
    <x v="10"/>
  </r>
  <r>
    <x v="13"/>
    <x v="9"/>
    <x v="1912"/>
    <x v="10"/>
  </r>
  <r>
    <x v="13"/>
    <x v="10"/>
    <x v="1913"/>
    <x v="10"/>
  </r>
  <r>
    <x v="13"/>
    <x v="11"/>
    <x v="1914"/>
    <x v="10"/>
  </r>
  <r>
    <x v="13"/>
    <x v="12"/>
    <x v="1915"/>
    <x v="10"/>
  </r>
  <r>
    <x v="13"/>
    <x v="13"/>
    <x v="1916"/>
    <x v="10"/>
  </r>
  <r>
    <x v="13"/>
    <x v="14"/>
    <x v="1917"/>
    <x v="10"/>
  </r>
  <r>
    <x v="13"/>
    <x v="15"/>
    <x v="1918"/>
    <x v="10"/>
  </r>
  <r>
    <x v="13"/>
    <x v="16"/>
    <x v="1919"/>
    <x v="10"/>
  </r>
  <r>
    <x v="8"/>
    <x v="0"/>
    <x v="0"/>
    <x v="10"/>
  </r>
  <r>
    <x v="8"/>
    <x v="1"/>
    <x v="107"/>
    <x v="10"/>
  </r>
  <r>
    <x v="8"/>
    <x v="2"/>
    <x v="1920"/>
    <x v="10"/>
  </r>
  <r>
    <x v="8"/>
    <x v="3"/>
    <x v="110"/>
    <x v="10"/>
  </r>
  <r>
    <x v="8"/>
    <x v="4"/>
    <x v="292"/>
    <x v="10"/>
  </r>
  <r>
    <x v="8"/>
    <x v="5"/>
    <x v="1921"/>
    <x v="10"/>
  </r>
  <r>
    <x v="8"/>
    <x v="6"/>
    <x v="1922"/>
    <x v="10"/>
  </r>
  <r>
    <x v="8"/>
    <x v="7"/>
    <x v="508"/>
    <x v="10"/>
  </r>
  <r>
    <x v="8"/>
    <x v="8"/>
    <x v="129"/>
    <x v="10"/>
  </r>
  <r>
    <x v="8"/>
    <x v="9"/>
    <x v="1923"/>
    <x v="10"/>
  </r>
  <r>
    <x v="8"/>
    <x v="10"/>
    <x v="1924"/>
    <x v="10"/>
  </r>
  <r>
    <x v="8"/>
    <x v="11"/>
    <x v="117"/>
    <x v="10"/>
  </r>
  <r>
    <x v="8"/>
    <x v="12"/>
    <x v="1925"/>
    <x v="10"/>
  </r>
  <r>
    <x v="8"/>
    <x v="13"/>
    <x v="1926"/>
    <x v="10"/>
  </r>
  <r>
    <x v="8"/>
    <x v="14"/>
    <x v="1927"/>
    <x v="10"/>
  </r>
  <r>
    <x v="8"/>
    <x v="15"/>
    <x v="1928"/>
    <x v="10"/>
  </r>
  <r>
    <x v="8"/>
    <x v="16"/>
    <x v="1929"/>
    <x v="10"/>
  </r>
  <r>
    <x v="9"/>
    <x v="0"/>
    <x v="0"/>
    <x v="10"/>
  </r>
  <r>
    <x v="9"/>
    <x v="1"/>
    <x v="107"/>
    <x v="10"/>
  </r>
  <r>
    <x v="9"/>
    <x v="2"/>
    <x v="1930"/>
    <x v="10"/>
  </r>
  <r>
    <x v="9"/>
    <x v="3"/>
    <x v="934"/>
    <x v="10"/>
  </r>
  <r>
    <x v="9"/>
    <x v="4"/>
    <x v="736"/>
    <x v="10"/>
  </r>
  <r>
    <x v="9"/>
    <x v="5"/>
    <x v="1931"/>
    <x v="10"/>
  </r>
  <r>
    <x v="9"/>
    <x v="6"/>
    <x v="1106"/>
    <x v="10"/>
  </r>
  <r>
    <x v="9"/>
    <x v="7"/>
    <x v="1932"/>
    <x v="10"/>
  </r>
  <r>
    <x v="9"/>
    <x v="8"/>
    <x v="142"/>
    <x v="10"/>
  </r>
  <r>
    <x v="9"/>
    <x v="9"/>
    <x v="1160"/>
    <x v="10"/>
  </r>
  <r>
    <x v="9"/>
    <x v="10"/>
    <x v="775"/>
    <x v="10"/>
  </r>
  <r>
    <x v="9"/>
    <x v="11"/>
    <x v="1933"/>
    <x v="10"/>
  </r>
  <r>
    <x v="9"/>
    <x v="12"/>
    <x v="825"/>
    <x v="10"/>
  </r>
  <r>
    <x v="9"/>
    <x v="13"/>
    <x v="1934"/>
    <x v="10"/>
  </r>
  <r>
    <x v="9"/>
    <x v="14"/>
    <x v="1935"/>
    <x v="10"/>
  </r>
  <r>
    <x v="9"/>
    <x v="15"/>
    <x v="1936"/>
    <x v="10"/>
  </r>
  <r>
    <x v="9"/>
    <x v="16"/>
    <x v="1937"/>
    <x v="10"/>
  </r>
  <r>
    <x v="11"/>
    <x v="0"/>
    <x v="32"/>
    <x v="10"/>
  </r>
  <r>
    <x v="11"/>
    <x v="1"/>
    <x v="107"/>
    <x v="10"/>
  </r>
  <r>
    <x v="11"/>
    <x v="2"/>
    <x v="1938"/>
    <x v="10"/>
  </r>
  <r>
    <x v="11"/>
    <x v="3"/>
    <x v="473"/>
    <x v="10"/>
  </r>
  <r>
    <x v="11"/>
    <x v="4"/>
    <x v="8"/>
    <x v="10"/>
  </r>
  <r>
    <x v="11"/>
    <x v="5"/>
    <x v="1072"/>
    <x v="10"/>
  </r>
  <r>
    <x v="11"/>
    <x v="6"/>
    <x v="748"/>
    <x v="10"/>
  </r>
  <r>
    <x v="11"/>
    <x v="7"/>
    <x v="1282"/>
    <x v="10"/>
  </r>
  <r>
    <x v="11"/>
    <x v="8"/>
    <x v="171"/>
    <x v="10"/>
  </r>
  <r>
    <x v="11"/>
    <x v="9"/>
    <x v="751"/>
    <x v="10"/>
  </r>
  <r>
    <x v="11"/>
    <x v="10"/>
    <x v="752"/>
    <x v="10"/>
  </r>
  <r>
    <x v="11"/>
    <x v="11"/>
    <x v="893"/>
    <x v="10"/>
  </r>
  <r>
    <x v="11"/>
    <x v="12"/>
    <x v="1655"/>
    <x v="10"/>
  </r>
  <r>
    <x v="11"/>
    <x v="13"/>
    <x v="1939"/>
    <x v="10"/>
  </r>
  <r>
    <x v="11"/>
    <x v="14"/>
    <x v="1940"/>
    <x v="10"/>
  </r>
  <r>
    <x v="11"/>
    <x v="15"/>
    <x v="1941"/>
    <x v="10"/>
  </r>
  <r>
    <x v="11"/>
    <x v="16"/>
    <x v="1942"/>
    <x v="10"/>
  </r>
  <r>
    <x v="12"/>
    <x v="0"/>
    <x v="32"/>
    <x v="10"/>
  </r>
  <r>
    <x v="12"/>
    <x v="1"/>
    <x v="107"/>
    <x v="10"/>
  </r>
  <r>
    <x v="12"/>
    <x v="2"/>
    <x v="1943"/>
    <x v="10"/>
  </r>
  <r>
    <x v="12"/>
    <x v="3"/>
    <x v="1944"/>
    <x v="10"/>
  </r>
  <r>
    <x v="12"/>
    <x v="4"/>
    <x v="304"/>
    <x v="10"/>
  </r>
  <r>
    <x v="12"/>
    <x v="5"/>
    <x v="1945"/>
    <x v="10"/>
  </r>
  <r>
    <x v="12"/>
    <x v="6"/>
    <x v="355"/>
    <x v="10"/>
  </r>
  <r>
    <x v="12"/>
    <x v="7"/>
    <x v="1946"/>
    <x v="10"/>
  </r>
  <r>
    <x v="12"/>
    <x v="8"/>
    <x v="185"/>
    <x v="10"/>
  </r>
  <r>
    <x v="12"/>
    <x v="9"/>
    <x v="1947"/>
    <x v="10"/>
  </r>
  <r>
    <x v="12"/>
    <x v="10"/>
    <x v="1948"/>
    <x v="10"/>
  </r>
  <r>
    <x v="12"/>
    <x v="11"/>
    <x v="1949"/>
    <x v="10"/>
  </r>
  <r>
    <x v="12"/>
    <x v="12"/>
    <x v="711"/>
    <x v="10"/>
  </r>
  <r>
    <x v="12"/>
    <x v="13"/>
    <x v="1950"/>
    <x v="10"/>
  </r>
  <r>
    <x v="12"/>
    <x v="14"/>
    <x v="1951"/>
    <x v="10"/>
  </r>
  <r>
    <x v="12"/>
    <x v="15"/>
    <x v="1952"/>
    <x v="10"/>
  </r>
  <r>
    <x v="12"/>
    <x v="16"/>
    <x v="1953"/>
    <x v="10"/>
  </r>
  <r>
    <x v="7"/>
    <x v="0"/>
    <x v="32"/>
    <x v="10"/>
  </r>
  <r>
    <x v="7"/>
    <x v="1"/>
    <x v="107"/>
    <x v="10"/>
  </r>
  <r>
    <x v="7"/>
    <x v="2"/>
    <x v="1954"/>
    <x v="10"/>
  </r>
  <r>
    <x v="7"/>
    <x v="3"/>
    <x v="459"/>
    <x v="10"/>
  </r>
  <r>
    <x v="7"/>
    <x v="4"/>
    <x v="531"/>
    <x v="10"/>
  </r>
  <r>
    <x v="7"/>
    <x v="5"/>
    <x v="1216"/>
    <x v="10"/>
  </r>
  <r>
    <x v="7"/>
    <x v="6"/>
    <x v="1690"/>
    <x v="10"/>
  </r>
  <r>
    <x v="7"/>
    <x v="7"/>
    <x v="332"/>
    <x v="10"/>
  </r>
  <r>
    <x v="7"/>
    <x v="8"/>
    <x v="199"/>
    <x v="10"/>
  </r>
  <r>
    <x v="7"/>
    <x v="9"/>
    <x v="1955"/>
    <x v="10"/>
  </r>
  <r>
    <x v="7"/>
    <x v="10"/>
    <x v="1956"/>
    <x v="10"/>
  </r>
  <r>
    <x v="7"/>
    <x v="11"/>
    <x v="1407"/>
    <x v="10"/>
  </r>
  <r>
    <x v="7"/>
    <x v="12"/>
    <x v="1957"/>
    <x v="10"/>
  </r>
  <r>
    <x v="7"/>
    <x v="13"/>
    <x v="1958"/>
    <x v="10"/>
  </r>
  <r>
    <x v="7"/>
    <x v="14"/>
    <x v="1959"/>
    <x v="10"/>
  </r>
  <r>
    <x v="7"/>
    <x v="15"/>
    <x v="1960"/>
    <x v="10"/>
  </r>
  <r>
    <x v="7"/>
    <x v="16"/>
    <x v="1961"/>
    <x v="10"/>
  </r>
  <r>
    <x v="14"/>
    <x v="0"/>
    <x v="32"/>
    <x v="10"/>
  </r>
  <r>
    <x v="14"/>
    <x v="1"/>
    <x v="107"/>
    <x v="10"/>
  </r>
  <r>
    <x v="14"/>
    <x v="2"/>
    <x v="1962"/>
    <x v="10"/>
  </r>
  <r>
    <x v="14"/>
    <x v="3"/>
    <x v="383"/>
    <x v="10"/>
  </r>
  <r>
    <x v="14"/>
    <x v="4"/>
    <x v="50"/>
    <x v="10"/>
  </r>
  <r>
    <x v="14"/>
    <x v="5"/>
    <x v="1963"/>
    <x v="10"/>
  </r>
  <r>
    <x v="14"/>
    <x v="6"/>
    <x v="1964"/>
    <x v="10"/>
  </r>
  <r>
    <x v="14"/>
    <x v="7"/>
    <x v="1049"/>
    <x v="10"/>
  </r>
  <r>
    <x v="14"/>
    <x v="8"/>
    <x v="213"/>
    <x v="10"/>
  </r>
  <r>
    <x v="14"/>
    <x v="9"/>
    <x v="1965"/>
    <x v="10"/>
  </r>
  <r>
    <x v="14"/>
    <x v="10"/>
    <x v="1966"/>
    <x v="10"/>
  </r>
  <r>
    <x v="14"/>
    <x v="11"/>
    <x v="1967"/>
    <x v="10"/>
  </r>
  <r>
    <x v="14"/>
    <x v="12"/>
    <x v="1968"/>
    <x v="10"/>
  </r>
  <r>
    <x v="14"/>
    <x v="13"/>
    <x v="1969"/>
    <x v="10"/>
  </r>
  <r>
    <x v="14"/>
    <x v="14"/>
    <x v="1970"/>
    <x v="10"/>
  </r>
  <r>
    <x v="14"/>
    <x v="15"/>
    <x v="1971"/>
    <x v="10"/>
  </r>
  <r>
    <x v="14"/>
    <x v="16"/>
    <x v="1972"/>
    <x v="10"/>
  </r>
  <r>
    <x v="15"/>
    <x v="0"/>
    <x v="0"/>
    <x v="10"/>
  </r>
  <r>
    <x v="15"/>
    <x v="1"/>
    <x v="107"/>
    <x v="10"/>
  </r>
  <r>
    <x v="15"/>
    <x v="2"/>
    <x v="1973"/>
    <x v="10"/>
  </r>
  <r>
    <x v="15"/>
    <x v="3"/>
    <x v="358"/>
    <x v="10"/>
  </r>
  <r>
    <x v="15"/>
    <x v="4"/>
    <x v="65"/>
    <x v="10"/>
  </r>
  <r>
    <x v="15"/>
    <x v="5"/>
    <x v="1974"/>
    <x v="10"/>
  </r>
  <r>
    <x v="15"/>
    <x v="6"/>
    <x v="1094"/>
    <x v="10"/>
  </r>
  <r>
    <x v="15"/>
    <x v="7"/>
    <x v="1975"/>
    <x v="10"/>
  </r>
  <r>
    <x v="15"/>
    <x v="8"/>
    <x v="228"/>
    <x v="10"/>
  </r>
  <r>
    <x v="15"/>
    <x v="9"/>
    <x v="1976"/>
    <x v="10"/>
  </r>
  <r>
    <x v="15"/>
    <x v="10"/>
    <x v="1977"/>
    <x v="10"/>
  </r>
  <r>
    <x v="15"/>
    <x v="11"/>
    <x v="1978"/>
    <x v="10"/>
  </r>
  <r>
    <x v="15"/>
    <x v="12"/>
    <x v="1979"/>
    <x v="10"/>
  </r>
  <r>
    <x v="15"/>
    <x v="13"/>
    <x v="1980"/>
    <x v="10"/>
  </r>
  <r>
    <x v="15"/>
    <x v="14"/>
    <x v="1981"/>
    <x v="10"/>
  </r>
  <r>
    <x v="15"/>
    <x v="15"/>
    <x v="1982"/>
    <x v="10"/>
  </r>
  <r>
    <x v="15"/>
    <x v="16"/>
    <x v="1983"/>
    <x v="10"/>
  </r>
  <r>
    <x v="6"/>
    <x v="0"/>
    <x v="32"/>
    <x v="10"/>
  </r>
  <r>
    <x v="6"/>
    <x v="1"/>
    <x v="1"/>
    <x v="10"/>
  </r>
  <r>
    <x v="6"/>
    <x v="2"/>
    <x v="1984"/>
    <x v="10"/>
  </r>
  <r>
    <x v="6"/>
    <x v="3"/>
    <x v="1985"/>
    <x v="10"/>
  </r>
  <r>
    <x v="6"/>
    <x v="4"/>
    <x v="125"/>
    <x v="10"/>
  </r>
  <r>
    <x v="6"/>
    <x v="5"/>
    <x v="956"/>
    <x v="10"/>
  </r>
  <r>
    <x v="6"/>
    <x v="6"/>
    <x v="1986"/>
    <x v="10"/>
  </r>
  <r>
    <x v="6"/>
    <x v="7"/>
    <x v="1987"/>
    <x v="10"/>
  </r>
  <r>
    <x v="6"/>
    <x v="8"/>
    <x v="228"/>
    <x v="10"/>
  </r>
  <r>
    <x v="6"/>
    <x v="9"/>
    <x v="1988"/>
    <x v="10"/>
  </r>
  <r>
    <x v="6"/>
    <x v="10"/>
    <x v="1989"/>
    <x v="10"/>
  </r>
  <r>
    <x v="6"/>
    <x v="11"/>
    <x v="1990"/>
    <x v="10"/>
  </r>
  <r>
    <x v="6"/>
    <x v="12"/>
    <x v="1991"/>
    <x v="10"/>
  </r>
  <r>
    <x v="6"/>
    <x v="13"/>
    <x v="1992"/>
    <x v="10"/>
  </r>
  <r>
    <x v="6"/>
    <x v="14"/>
    <x v="1993"/>
    <x v="10"/>
  </r>
  <r>
    <x v="6"/>
    <x v="15"/>
    <x v="1994"/>
    <x v="10"/>
  </r>
  <r>
    <x v="6"/>
    <x v="16"/>
    <x v="1995"/>
    <x v="10"/>
  </r>
  <r>
    <x v="10"/>
    <x v="0"/>
    <x v="0"/>
    <x v="10"/>
  </r>
  <r>
    <x v="10"/>
    <x v="1"/>
    <x v="107"/>
    <x v="10"/>
  </r>
  <r>
    <x v="10"/>
    <x v="2"/>
    <x v="1996"/>
    <x v="10"/>
  </r>
  <r>
    <x v="10"/>
    <x v="3"/>
    <x v="304"/>
    <x v="10"/>
  </r>
  <r>
    <x v="10"/>
    <x v="4"/>
    <x v="380"/>
    <x v="10"/>
  </r>
  <r>
    <x v="10"/>
    <x v="5"/>
    <x v="1997"/>
    <x v="10"/>
  </r>
  <r>
    <x v="10"/>
    <x v="6"/>
    <x v="125"/>
    <x v="10"/>
  </r>
  <r>
    <x v="10"/>
    <x v="7"/>
    <x v="408"/>
    <x v="10"/>
  </r>
  <r>
    <x v="10"/>
    <x v="8"/>
    <x v="228"/>
    <x v="10"/>
  </r>
  <r>
    <x v="10"/>
    <x v="9"/>
    <x v="1998"/>
    <x v="10"/>
  </r>
  <r>
    <x v="10"/>
    <x v="10"/>
    <x v="1999"/>
    <x v="10"/>
  </r>
  <r>
    <x v="10"/>
    <x v="11"/>
    <x v="2000"/>
    <x v="10"/>
  </r>
  <r>
    <x v="10"/>
    <x v="12"/>
    <x v="2001"/>
    <x v="10"/>
  </r>
  <r>
    <x v="10"/>
    <x v="13"/>
    <x v="2002"/>
    <x v="10"/>
  </r>
  <r>
    <x v="10"/>
    <x v="14"/>
    <x v="2003"/>
    <x v="10"/>
  </r>
  <r>
    <x v="10"/>
    <x v="15"/>
    <x v="2004"/>
    <x v="10"/>
  </r>
  <r>
    <x v="10"/>
    <x v="16"/>
    <x v="2005"/>
    <x v="10"/>
  </r>
  <r>
    <x v="1"/>
    <x v="0"/>
    <x v="0"/>
    <x v="10"/>
  </r>
  <r>
    <x v="1"/>
    <x v="1"/>
    <x v="1"/>
    <x v="10"/>
  </r>
  <r>
    <x v="1"/>
    <x v="2"/>
    <x v="2006"/>
    <x v="10"/>
  </r>
  <r>
    <x v="1"/>
    <x v="3"/>
    <x v="420"/>
    <x v="10"/>
  </r>
  <r>
    <x v="1"/>
    <x v="4"/>
    <x v="4"/>
    <x v="10"/>
  </r>
  <r>
    <x v="1"/>
    <x v="5"/>
    <x v="1379"/>
    <x v="10"/>
  </r>
  <r>
    <x v="1"/>
    <x v="6"/>
    <x v="533"/>
    <x v="10"/>
  </r>
  <r>
    <x v="1"/>
    <x v="7"/>
    <x v="2007"/>
    <x v="10"/>
  </r>
  <r>
    <x v="1"/>
    <x v="8"/>
    <x v="228"/>
    <x v="10"/>
  </r>
  <r>
    <x v="1"/>
    <x v="9"/>
    <x v="2008"/>
    <x v="10"/>
  </r>
  <r>
    <x v="1"/>
    <x v="10"/>
    <x v="2009"/>
    <x v="10"/>
  </r>
  <r>
    <x v="1"/>
    <x v="11"/>
    <x v="2010"/>
    <x v="10"/>
  </r>
  <r>
    <x v="1"/>
    <x v="12"/>
    <x v="2011"/>
    <x v="10"/>
  </r>
  <r>
    <x v="1"/>
    <x v="13"/>
    <x v="2012"/>
    <x v="10"/>
  </r>
  <r>
    <x v="1"/>
    <x v="14"/>
    <x v="2013"/>
    <x v="10"/>
  </r>
  <r>
    <x v="1"/>
    <x v="15"/>
    <x v="2014"/>
    <x v="10"/>
  </r>
  <r>
    <x v="1"/>
    <x v="16"/>
    <x v="2015"/>
    <x v="10"/>
  </r>
  <r>
    <x v="0"/>
    <x v="0"/>
    <x v="0"/>
    <x v="11"/>
  </r>
  <r>
    <x v="0"/>
    <x v="1"/>
    <x v="1"/>
    <x v="11"/>
  </r>
  <r>
    <x v="0"/>
    <x v="2"/>
    <x v="2016"/>
    <x v="11"/>
  </r>
  <r>
    <x v="0"/>
    <x v="3"/>
    <x v="1071"/>
    <x v="11"/>
  </r>
  <r>
    <x v="0"/>
    <x v="4"/>
    <x v="224"/>
    <x v="11"/>
  </r>
  <r>
    <x v="0"/>
    <x v="5"/>
    <x v="494"/>
    <x v="11"/>
  </r>
  <r>
    <x v="0"/>
    <x v="6"/>
    <x v="183"/>
    <x v="11"/>
  </r>
  <r>
    <x v="0"/>
    <x v="7"/>
    <x v="94"/>
    <x v="11"/>
  </r>
  <r>
    <x v="0"/>
    <x v="8"/>
    <x v="23"/>
    <x v="11"/>
  </r>
  <r>
    <x v="0"/>
    <x v="9"/>
    <x v="2017"/>
    <x v="11"/>
  </r>
  <r>
    <x v="0"/>
    <x v="10"/>
    <x v="2018"/>
    <x v="11"/>
  </r>
  <r>
    <x v="0"/>
    <x v="11"/>
    <x v="2019"/>
    <x v="11"/>
  </r>
  <r>
    <x v="0"/>
    <x v="12"/>
    <x v="2020"/>
    <x v="11"/>
  </r>
  <r>
    <x v="0"/>
    <x v="13"/>
    <x v="2021"/>
    <x v="11"/>
  </r>
  <r>
    <x v="0"/>
    <x v="14"/>
    <x v="2022"/>
    <x v="11"/>
  </r>
  <r>
    <x v="0"/>
    <x v="15"/>
    <x v="2023"/>
    <x v="11"/>
  </r>
  <r>
    <x v="0"/>
    <x v="16"/>
    <x v="2024"/>
    <x v="11"/>
  </r>
  <r>
    <x v="2"/>
    <x v="0"/>
    <x v="32"/>
    <x v="11"/>
  </r>
  <r>
    <x v="2"/>
    <x v="1"/>
    <x v="1"/>
    <x v="11"/>
  </r>
  <r>
    <x v="2"/>
    <x v="2"/>
    <x v="2025"/>
    <x v="11"/>
  </r>
  <r>
    <x v="2"/>
    <x v="3"/>
    <x v="946"/>
    <x v="11"/>
  </r>
  <r>
    <x v="2"/>
    <x v="4"/>
    <x v="195"/>
    <x v="11"/>
  </r>
  <r>
    <x v="2"/>
    <x v="5"/>
    <x v="2026"/>
    <x v="11"/>
  </r>
  <r>
    <x v="2"/>
    <x v="6"/>
    <x v="1173"/>
    <x v="11"/>
  </r>
  <r>
    <x v="2"/>
    <x v="7"/>
    <x v="1750"/>
    <x v="11"/>
  </r>
  <r>
    <x v="2"/>
    <x v="8"/>
    <x v="39"/>
    <x v="11"/>
  </r>
  <r>
    <x v="2"/>
    <x v="9"/>
    <x v="2027"/>
    <x v="11"/>
  </r>
  <r>
    <x v="2"/>
    <x v="10"/>
    <x v="2028"/>
    <x v="11"/>
  </r>
  <r>
    <x v="2"/>
    <x v="11"/>
    <x v="2029"/>
    <x v="11"/>
  </r>
  <r>
    <x v="2"/>
    <x v="12"/>
    <x v="2030"/>
    <x v="11"/>
  </r>
  <r>
    <x v="2"/>
    <x v="13"/>
    <x v="2031"/>
    <x v="11"/>
  </r>
  <r>
    <x v="2"/>
    <x v="14"/>
    <x v="2032"/>
    <x v="11"/>
  </r>
  <r>
    <x v="2"/>
    <x v="15"/>
    <x v="2033"/>
    <x v="11"/>
  </r>
  <r>
    <x v="2"/>
    <x v="16"/>
    <x v="2034"/>
    <x v="11"/>
  </r>
  <r>
    <x v="3"/>
    <x v="0"/>
    <x v="32"/>
    <x v="11"/>
  </r>
  <r>
    <x v="3"/>
    <x v="1"/>
    <x v="1"/>
    <x v="11"/>
  </r>
  <r>
    <x v="3"/>
    <x v="2"/>
    <x v="2035"/>
    <x v="11"/>
  </r>
  <r>
    <x v="3"/>
    <x v="3"/>
    <x v="355"/>
    <x v="11"/>
  </r>
  <r>
    <x v="3"/>
    <x v="4"/>
    <x v="239"/>
    <x v="11"/>
  </r>
  <r>
    <x v="3"/>
    <x v="5"/>
    <x v="2036"/>
    <x v="11"/>
  </r>
  <r>
    <x v="3"/>
    <x v="6"/>
    <x v="760"/>
    <x v="11"/>
  </r>
  <r>
    <x v="3"/>
    <x v="7"/>
    <x v="67"/>
    <x v="11"/>
  </r>
  <r>
    <x v="3"/>
    <x v="8"/>
    <x v="54"/>
    <x v="11"/>
  </r>
  <r>
    <x v="3"/>
    <x v="9"/>
    <x v="2037"/>
    <x v="11"/>
  </r>
  <r>
    <x v="3"/>
    <x v="10"/>
    <x v="2038"/>
    <x v="11"/>
  </r>
  <r>
    <x v="3"/>
    <x v="11"/>
    <x v="2039"/>
    <x v="11"/>
  </r>
  <r>
    <x v="3"/>
    <x v="12"/>
    <x v="2040"/>
    <x v="11"/>
  </r>
  <r>
    <x v="3"/>
    <x v="13"/>
    <x v="2041"/>
    <x v="11"/>
  </r>
  <r>
    <x v="3"/>
    <x v="14"/>
    <x v="2042"/>
    <x v="11"/>
  </r>
  <r>
    <x v="3"/>
    <x v="15"/>
    <x v="2043"/>
    <x v="11"/>
  </r>
  <r>
    <x v="3"/>
    <x v="16"/>
    <x v="2044"/>
    <x v="11"/>
  </r>
  <r>
    <x v="4"/>
    <x v="0"/>
    <x v="0"/>
    <x v="11"/>
  </r>
  <r>
    <x v="4"/>
    <x v="1"/>
    <x v="1"/>
    <x v="11"/>
  </r>
  <r>
    <x v="4"/>
    <x v="2"/>
    <x v="2045"/>
    <x v="11"/>
  </r>
  <r>
    <x v="4"/>
    <x v="3"/>
    <x v="2046"/>
    <x v="11"/>
  </r>
  <r>
    <x v="4"/>
    <x v="4"/>
    <x v="330"/>
    <x v="11"/>
  </r>
  <r>
    <x v="4"/>
    <x v="5"/>
    <x v="2047"/>
    <x v="11"/>
  </r>
  <r>
    <x v="4"/>
    <x v="6"/>
    <x v="184"/>
    <x v="11"/>
  </r>
  <r>
    <x v="4"/>
    <x v="7"/>
    <x v="809"/>
    <x v="11"/>
  </r>
  <r>
    <x v="4"/>
    <x v="8"/>
    <x v="69"/>
    <x v="11"/>
  </r>
  <r>
    <x v="4"/>
    <x v="9"/>
    <x v="2048"/>
    <x v="11"/>
  </r>
  <r>
    <x v="4"/>
    <x v="10"/>
    <x v="2049"/>
    <x v="11"/>
  </r>
  <r>
    <x v="4"/>
    <x v="11"/>
    <x v="2050"/>
    <x v="11"/>
  </r>
  <r>
    <x v="4"/>
    <x v="12"/>
    <x v="2051"/>
    <x v="11"/>
  </r>
  <r>
    <x v="4"/>
    <x v="13"/>
    <x v="2052"/>
    <x v="11"/>
  </r>
  <r>
    <x v="4"/>
    <x v="14"/>
    <x v="2053"/>
    <x v="11"/>
  </r>
  <r>
    <x v="4"/>
    <x v="15"/>
    <x v="2054"/>
    <x v="11"/>
  </r>
  <r>
    <x v="4"/>
    <x v="16"/>
    <x v="2055"/>
    <x v="11"/>
  </r>
  <r>
    <x v="5"/>
    <x v="0"/>
    <x v="0"/>
    <x v="11"/>
  </r>
  <r>
    <x v="5"/>
    <x v="1"/>
    <x v="1"/>
    <x v="11"/>
  </r>
  <r>
    <x v="5"/>
    <x v="2"/>
    <x v="2056"/>
    <x v="11"/>
  </r>
  <r>
    <x v="5"/>
    <x v="3"/>
    <x v="2057"/>
    <x v="11"/>
  </r>
  <r>
    <x v="5"/>
    <x v="4"/>
    <x v="125"/>
    <x v="11"/>
  </r>
  <r>
    <x v="5"/>
    <x v="5"/>
    <x v="2058"/>
    <x v="11"/>
  </r>
  <r>
    <x v="5"/>
    <x v="6"/>
    <x v="382"/>
    <x v="11"/>
  </r>
  <r>
    <x v="5"/>
    <x v="7"/>
    <x v="1876"/>
    <x v="11"/>
  </r>
  <r>
    <x v="5"/>
    <x v="8"/>
    <x v="84"/>
    <x v="11"/>
  </r>
  <r>
    <x v="5"/>
    <x v="9"/>
    <x v="2059"/>
    <x v="11"/>
  </r>
  <r>
    <x v="5"/>
    <x v="10"/>
    <x v="2060"/>
    <x v="11"/>
  </r>
  <r>
    <x v="5"/>
    <x v="11"/>
    <x v="2061"/>
    <x v="11"/>
  </r>
  <r>
    <x v="5"/>
    <x v="12"/>
    <x v="2062"/>
    <x v="11"/>
  </r>
  <r>
    <x v="5"/>
    <x v="13"/>
    <x v="2063"/>
    <x v="11"/>
  </r>
  <r>
    <x v="5"/>
    <x v="14"/>
    <x v="2064"/>
    <x v="11"/>
  </r>
  <r>
    <x v="5"/>
    <x v="15"/>
    <x v="2065"/>
    <x v="11"/>
  </r>
  <r>
    <x v="5"/>
    <x v="16"/>
    <x v="2066"/>
    <x v="11"/>
  </r>
  <r>
    <x v="13"/>
    <x v="0"/>
    <x v="0"/>
    <x v="11"/>
  </r>
  <r>
    <x v="13"/>
    <x v="1"/>
    <x v="107"/>
    <x v="11"/>
  </r>
  <r>
    <x v="13"/>
    <x v="2"/>
    <x v="2067"/>
    <x v="11"/>
  </r>
  <r>
    <x v="13"/>
    <x v="3"/>
    <x v="2068"/>
    <x v="11"/>
  </r>
  <r>
    <x v="13"/>
    <x v="4"/>
    <x v="152"/>
    <x v="11"/>
  </r>
  <r>
    <x v="13"/>
    <x v="5"/>
    <x v="1413"/>
    <x v="11"/>
  </r>
  <r>
    <x v="13"/>
    <x v="6"/>
    <x v="2046"/>
    <x v="11"/>
  </r>
  <r>
    <x v="13"/>
    <x v="7"/>
    <x v="2069"/>
    <x v="11"/>
  </r>
  <r>
    <x v="13"/>
    <x v="8"/>
    <x v="98"/>
    <x v="11"/>
  </r>
  <r>
    <x v="13"/>
    <x v="9"/>
    <x v="2070"/>
    <x v="11"/>
  </r>
  <r>
    <x v="13"/>
    <x v="10"/>
    <x v="2071"/>
    <x v="11"/>
  </r>
  <r>
    <x v="13"/>
    <x v="11"/>
    <x v="2072"/>
    <x v="11"/>
  </r>
  <r>
    <x v="13"/>
    <x v="12"/>
    <x v="2073"/>
    <x v="11"/>
  </r>
  <r>
    <x v="13"/>
    <x v="13"/>
    <x v="2074"/>
    <x v="11"/>
  </r>
  <r>
    <x v="13"/>
    <x v="14"/>
    <x v="2075"/>
    <x v="11"/>
  </r>
  <r>
    <x v="13"/>
    <x v="15"/>
    <x v="2076"/>
    <x v="11"/>
  </r>
  <r>
    <x v="13"/>
    <x v="16"/>
    <x v="2077"/>
    <x v="11"/>
  </r>
  <r>
    <x v="8"/>
    <x v="0"/>
    <x v="0"/>
    <x v="11"/>
  </r>
  <r>
    <x v="8"/>
    <x v="1"/>
    <x v="107"/>
    <x v="11"/>
  </r>
  <r>
    <x v="8"/>
    <x v="2"/>
    <x v="2078"/>
    <x v="11"/>
  </r>
  <r>
    <x v="8"/>
    <x v="3"/>
    <x v="1369"/>
    <x v="11"/>
  </r>
  <r>
    <x v="8"/>
    <x v="4"/>
    <x v="35"/>
    <x v="11"/>
  </r>
  <r>
    <x v="8"/>
    <x v="5"/>
    <x v="2079"/>
    <x v="11"/>
  </r>
  <r>
    <x v="8"/>
    <x v="6"/>
    <x v="1782"/>
    <x v="11"/>
  </r>
  <r>
    <x v="8"/>
    <x v="7"/>
    <x v="1249"/>
    <x v="11"/>
  </r>
  <r>
    <x v="8"/>
    <x v="8"/>
    <x v="129"/>
    <x v="11"/>
  </r>
  <r>
    <x v="8"/>
    <x v="9"/>
    <x v="2080"/>
    <x v="11"/>
  </r>
  <r>
    <x v="8"/>
    <x v="10"/>
    <x v="2081"/>
    <x v="11"/>
  </r>
  <r>
    <x v="8"/>
    <x v="11"/>
    <x v="1153"/>
    <x v="11"/>
  </r>
  <r>
    <x v="8"/>
    <x v="12"/>
    <x v="2082"/>
    <x v="11"/>
  </r>
  <r>
    <x v="8"/>
    <x v="13"/>
    <x v="2083"/>
    <x v="11"/>
  </r>
  <r>
    <x v="8"/>
    <x v="14"/>
    <x v="2084"/>
    <x v="11"/>
  </r>
  <r>
    <x v="8"/>
    <x v="15"/>
    <x v="2085"/>
    <x v="11"/>
  </r>
  <r>
    <x v="8"/>
    <x v="16"/>
    <x v="2086"/>
    <x v="11"/>
  </r>
  <r>
    <x v="9"/>
    <x v="0"/>
    <x v="0"/>
    <x v="11"/>
  </r>
  <r>
    <x v="9"/>
    <x v="1"/>
    <x v="107"/>
    <x v="11"/>
  </r>
  <r>
    <x v="9"/>
    <x v="2"/>
    <x v="2087"/>
    <x v="11"/>
  </r>
  <r>
    <x v="9"/>
    <x v="3"/>
    <x v="181"/>
    <x v="11"/>
  </r>
  <r>
    <x v="9"/>
    <x v="4"/>
    <x v="152"/>
    <x v="11"/>
  </r>
  <r>
    <x v="9"/>
    <x v="5"/>
    <x v="2088"/>
    <x v="11"/>
  </r>
  <r>
    <x v="9"/>
    <x v="6"/>
    <x v="1701"/>
    <x v="11"/>
  </r>
  <r>
    <x v="9"/>
    <x v="7"/>
    <x v="253"/>
    <x v="11"/>
  </r>
  <r>
    <x v="9"/>
    <x v="8"/>
    <x v="142"/>
    <x v="11"/>
  </r>
  <r>
    <x v="9"/>
    <x v="9"/>
    <x v="2089"/>
    <x v="11"/>
  </r>
  <r>
    <x v="9"/>
    <x v="10"/>
    <x v="2090"/>
    <x v="11"/>
  </r>
  <r>
    <x v="9"/>
    <x v="11"/>
    <x v="2091"/>
    <x v="11"/>
  </r>
  <r>
    <x v="9"/>
    <x v="12"/>
    <x v="2092"/>
    <x v="11"/>
  </r>
  <r>
    <x v="9"/>
    <x v="13"/>
    <x v="2093"/>
    <x v="11"/>
  </r>
  <r>
    <x v="9"/>
    <x v="14"/>
    <x v="2094"/>
    <x v="11"/>
  </r>
  <r>
    <x v="9"/>
    <x v="15"/>
    <x v="2095"/>
    <x v="11"/>
  </r>
  <r>
    <x v="9"/>
    <x v="16"/>
    <x v="2096"/>
    <x v="11"/>
  </r>
  <r>
    <x v="11"/>
    <x v="0"/>
    <x v="32"/>
    <x v="11"/>
  </r>
  <r>
    <x v="11"/>
    <x v="1"/>
    <x v="107"/>
    <x v="11"/>
  </r>
  <r>
    <x v="11"/>
    <x v="2"/>
    <x v="2097"/>
    <x v="11"/>
  </r>
  <r>
    <x v="11"/>
    <x v="3"/>
    <x v="1061"/>
    <x v="11"/>
  </r>
  <r>
    <x v="11"/>
    <x v="4"/>
    <x v="224"/>
    <x v="11"/>
  </r>
  <r>
    <x v="11"/>
    <x v="5"/>
    <x v="2098"/>
    <x v="11"/>
  </r>
  <r>
    <x v="11"/>
    <x v="6"/>
    <x v="1004"/>
    <x v="11"/>
  </r>
  <r>
    <x v="11"/>
    <x v="7"/>
    <x v="2099"/>
    <x v="11"/>
  </r>
  <r>
    <x v="11"/>
    <x v="8"/>
    <x v="171"/>
    <x v="11"/>
  </r>
  <r>
    <x v="11"/>
    <x v="9"/>
    <x v="2100"/>
    <x v="11"/>
  </r>
  <r>
    <x v="11"/>
    <x v="10"/>
    <x v="2101"/>
    <x v="11"/>
  </r>
  <r>
    <x v="11"/>
    <x v="11"/>
    <x v="2102"/>
    <x v="11"/>
  </r>
  <r>
    <x v="11"/>
    <x v="12"/>
    <x v="2103"/>
    <x v="11"/>
  </r>
  <r>
    <x v="11"/>
    <x v="13"/>
    <x v="2104"/>
    <x v="11"/>
  </r>
  <r>
    <x v="11"/>
    <x v="14"/>
    <x v="2105"/>
    <x v="11"/>
  </r>
  <r>
    <x v="11"/>
    <x v="15"/>
    <x v="2106"/>
    <x v="11"/>
  </r>
  <r>
    <x v="11"/>
    <x v="16"/>
    <x v="2107"/>
    <x v="11"/>
  </r>
  <r>
    <x v="12"/>
    <x v="0"/>
    <x v="32"/>
    <x v="11"/>
  </r>
  <r>
    <x v="12"/>
    <x v="1"/>
    <x v="107"/>
    <x v="11"/>
  </r>
  <r>
    <x v="12"/>
    <x v="2"/>
    <x v="2108"/>
    <x v="11"/>
  </r>
  <r>
    <x v="12"/>
    <x v="3"/>
    <x v="1944"/>
    <x v="11"/>
  </r>
  <r>
    <x v="12"/>
    <x v="4"/>
    <x v="167"/>
    <x v="11"/>
  </r>
  <r>
    <x v="12"/>
    <x v="5"/>
    <x v="593"/>
    <x v="11"/>
  </r>
  <r>
    <x v="12"/>
    <x v="6"/>
    <x v="64"/>
    <x v="11"/>
  </r>
  <r>
    <x v="12"/>
    <x v="7"/>
    <x v="446"/>
    <x v="11"/>
  </r>
  <r>
    <x v="12"/>
    <x v="8"/>
    <x v="185"/>
    <x v="11"/>
  </r>
  <r>
    <x v="12"/>
    <x v="9"/>
    <x v="398"/>
    <x v="11"/>
  </r>
  <r>
    <x v="12"/>
    <x v="10"/>
    <x v="2109"/>
    <x v="11"/>
  </r>
  <r>
    <x v="12"/>
    <x v="11"/>
    <x v="2110"/>
    <x v="11"/>
  </r>
  <r>
    <x v="12"/>
    <x v="12"/>
    <x v="2111"/>
    <x v="11"/>
  </r>
  <r>
    <x v="12"/>
    <x v="13"/>
    <x v="2112"/>
    <x v="11"/>
  </r>
  <r>
    <x v="12"/>
    <x v="14"/>
    <x v="2113"/>
    <x v="11"/>
  </r>
  <r>
    <x v="12"/>
    <x v="15"/>
    <x v="2114"/>
    <x v="11"/>
  </r>
  <r>
    <x v="12"/>
    <x v="16"/>
    <x v="2115"/>
    <x v="11"/>
  </r>
  <r>
    <x v="7"/>
    <x v="0"/>
    <x v="32"/>
    <x v="11"/>
  </r>
  <r>
    <x v="7"/>
    <x v="1"/>
    <x v="107"/>
    <x v="11"/>
  </r>
  <r>
    <x v="7"/>
    <x v="2"/>
    <x v="2116"/>
    <x v="11"/>
  </r>
  <r>
    <x v="7"/>
    <x v="3"/>
    <x v="446"/>
    <x v="11"/>
  </r>
  <r>
    <x v="7"/>
    <x v="4"/>
    <x v="304"/>
    <x v="11"/>
  </r>
  <r>
    <x v="7"/>
    <x v="5"/>
    <x v="2117"/>
    <x v="11"/>
  </r>
  <r>
    <x v="7"/>
    <x v="6"/>
    <x v="1764"/>
    <x v="11"/>
  </r>
  <r>
    <x v="7"/>
    <x v="7"/>
    <x v="495"/>
    <x v="11"/>
  </r>
  <r>
    <x v="7"/>
    <x v="8"/>
    <x v="199"/>
    <x v="11"/>
  </r>
  <r>
    <x v="7"/>
    <x v="9"/>
    <x v="2118"/>
    <x v="11"/>
  </r>
  <r>
    <x v="7"/>
    <x v="10"/>
    <x v="2119"/>
    <x v="11"/>
  </r>
  <r>
    <x v="7"/>
    <x v="11"/>
    <x v="2120"/>
    <x v="11"/>
  </r>
  <r>
    <x v="7"/>
    <x v="12"/>
    <x v="2121"/>
    <x v="11"/>
  </r>
  <r>
    <x v="7"/>
    <x v="13"/>
    <x v="2122"/>
    <x v="11"/>
  </r>
  <r>
    <x v="7"/>
    <x v="14"/>
    <x v="2123"/>
    <x v="11"/>
  </r>
  <r>
    <x v="7"/>
    <x v="15"/>
    <x v="2124"/>
    <x v="11"/>
  </r>
  <r>
    <x v="7"/>
    <x v="16"/>
    <x v="2125"/>
    <x v="11"/>
  </r>
  <r>
    <x v="14"/>
    <x v="0"/>
    <x v="32"/>
    <x v="11"/>
  </r>
  <r>
    <x v="14"/>
    <x v="1"/>
    <x v="107"/>
    <x v="11"/>
  </r>
  <r>
    <x v="14"/>
    <x v="2"/>
    <x v="2126"/>
    <x v="11"/>
  </r>
  <r>
    <x v="14"/>
    <x v="3"/>
    <x v="183"/>
    <x v="11"/>
  </r>
  <r>
    <x v="14"/>
    <x v="4"/>
    <x v="195"/>
    <x v="11"/>
  </r>
  <r>
    <x v="14"/>
    <x v="5"/>
    <x v="2079"/>
    <x v="11"/>
  </r>
  <r>
    <x v="14"/>
    <x v="6"/>
    <x v="2127"/>
    <x v="11"/>
  </r>
  <r>
    <x v="14"/>
    <x v="7"/>
    <x v="1782"/>
    <x v="11"/>
  </r>
  <r>
    <x v="14"/>
    <x v="8"/>
    <x v="213"/>
    <x v="11"/>
  </r>
  <r>
    <x v="14"/>
    <x v="9"/>
    <x v="868"/>
    <x v="11"/>
  </r>
  <r>
    <x v="14"/>
    <x v="10"/>
    <x v="869"/>
    <x v="11"/>
  </r>
  <r>
    <x v="14"/>
    <x v="11"/>
    <x v="2128"/>
    <x v="11"/>
  </r>
  <r>
    <x v="14"/>
    <x v="12"/>
    <x v="2129"/>
    <x v="11"/>
  </r>
  <r>
    <x v="14"/>
    <x v="13"/>
    <x v="2130"/>
    <x v="11"/>
  </r>
  <r>
    <x v="14"/>
    <x v="14"/>
    <x v="721"/>
    <x v="11"/>
  </r>
  <r>
    <x v="14"/>
    <x v="15"/>
    <x v="2131"/>
    <x v="11"/>
  </r>
  <r>
    <x v="14"/>
    <x v="16"/>
    <x v="2132"/>
    <x v="11"/>
  </r>
  <r>
    <x v="15"/>
    <x v="0"/>
    <x v="0"/>
    <x v="11"/>
  </r>
  <r>
    <x v="15"/>
    <x v="1"/>
    <x v="107"/>
    <x v="11"/>
  </r>
  <r>
    <x v="15"/>
    <x v="2"/>
    <x v="2133"/>
    <x v="11"/>
  </r>
  <r>
    <x v="15"/>
    <x v="3"/>
    <x v="224"/>
    <x v="11"/>
  </r>
  <r>
    <x v="15"/>
    <x v="4"/>
    <x v="4"/>
    <x v="11"/>
  </r>
  <r>
    <x v="15"/>
    <x v="5"/>
    <x v="2134"/>
    <x v="11"/>
  </r>
  <r>
    <x v="15"/>
    <x v="6"/>
    <x v="2135"/>
    <x v="11"/>
  </r>
  <r>
    <x v="15"/>
    <x v="7"/>
    <x v="867"/>
    <x v="11"/>
  </r>
  <r>
    <x v="15"/>
    <x v="8"/>
    <x v="228"/>
    <x v="11"/>
  </r>
  <r>
    <x v="15"/>
    <x v="9"/>
    <x v="2136"/>
    <x v="11"/>
  </r>
  <r>
    <x v="15"/>
    <x v="10"/>
    <x v="2137"/>
    <x v="11"/>
  </r>
  <r>
    <x v="15"/>
    <x v="11"/>
    <x v="2138"/>
    <x v="11"/>
  </r>
  <r>
    <x v="15"/>
    <x v="12"/>
    <x v="2139"/>
    <x v="11"/>
  </r>
  <r>
    <x v="15"/>
    <x v="13"/>
    <x v="2140"/>
    <x v="11"/>
  </r>
  <r>
    <x v="15"/>
    <x v="14"/>
    <x v="2141"/>
    <x v="11"/>
  </r>
  <r>
    <x v="15"/>
    <x v="15"/>
    <x v="2142"/>
    <x v="11"/>
  </r>
  <r>
    <x v="15"/>
    <x v="16"/>
    <x v="2143"/>
    <x v="11"/>
  </r>
  <r>
    <x v="6"/>
    <x v="0"/>
    <x v="32"/>
    <x v="11"/>
  </r>
  <r>
    <x v="6"/>
    <x v="1"/>
    <x v="1"/>
    <x v="11"/>
  </r>
  <r>
    <x v="6"/>
    <x v="2"/>
    <x v="2144"/>
    <x v="11"/>
  </r>
  <r>
    <x v="6"/>
    <x v="3"/>
    <x v="785"/>
    <x v="11"/>
  </r>
  <r>
    <x v="6"/>
    <x v="4"/>
    <x v="292"/>
    <x v="11"/>
  </r>
  <r>
    <x v="6"/>
    <x v="5"/>
    <x v="2145"/>
    <x v="11"/>
  </r>
  <r>
    <x v="6"/>
    <x v="6"/>
    <x v="1026"/>
    <x v="11"/>
  </r>
  <r>
    <x v="6"/>
    <x v="7"/>
    <x v="2146"/>
    <x v="11"/>
  </r>
  <r>
    <x v="6"/>
    <x v="8"/>
    <x v="228"/>
    <x v="11"/>
  </r>
  <r>
    <x v="6"/>
    <x v="9"/>
    <x v="2147"/>
    <x v="11"/>
  </r>
  <r>
    <x v="6"/>
    <x v="10"/>
    <x v="2148"/>
    <x v="11"/>
  </r>
  <r>
    <x v="6"/>
    <x v="11"/>
    <x v="2149"/>
    <x v="11"/>
  </r>
  <r>
    <x v="6"/>
    <x v="12"/>
    <x v="2150"/>
    <x v="11"/>
  </r>
  <r>
    <x v="6"/>
    <x v="13"/>
    <x v="2151"/>
    <x v="11"/>
  </r>
  <r>
    <x v="6"/>
    <x v="14"/>
    <x v="2152"/>
    <x v="11"/>
  </r>
  <r>
    <x v="6"/>
    <x v="15"/>
    <x v="2153"/>
    <x v="11"/>
  </r>
  <r>
    <x v="6"/>
    <x v="16"/>
    <x v="2154"/>
    <x v="11"/>
  </r>
  <r>
    <x v="10"/>
    <x v="0"/>
    <x v="0"/>
    <x v="11"/>
  </r>
  <r>
    <x v="10"/>
    <x v="1"/>
    <x v="107"/>
    <x v="11"/>
  </r>
  <r>
    <x v="10"/>
    <x v="2"/>
    <x v="2155"/>
    <x v="11"/>
  </r>
  <r>
    <x v="10"/>
    <x v="3"/>
    <x v="242"/>
    <x v="11"/>
  </r>
  <r>
    <x v="10"/>
    <x v="4"/>
    <x v="95"/>
    <x v="11"/>
  </r>
  <r>
    <x v="10"/>
    <x v="5"/>
    <x v="1629"/>
    <x v="11"/>
  </r>
  <r>
    <x v="10"/>
    <x v="6"/>
    <x v="2068"/>
    <x v="11"/>
  </r>
  <r>
    <x v="10"/>
    <x v="7"/>
    <x v="2057"/>
    <x v="11"/>
  </r>
  <r>
    <x v="10"/>
    <x v="8"/>
    <x v="228"/>
    <x v="11"/>
  </r>
  <r>
    <x v="10"/>
    <x v="9"/>
    <x v="2156"/>
    <x v="11"/>
  </r>
  <r>
    <x v="10"/>
    <x v="10"/>
    <x v="2157"/>
    <x v="11"/>
  </r>
  <r>
    <x v="10"/>
    <x v="11"/>
    <x v="2158"/>
    <x v="11"/>
  </r>
  <r>
    <x v="10"/>
    <x v="12"/>
    <x v="2159"/>
    <x v="11"/>
  </r>
  <r>
    <x v="10"/>
    <x v="13"/>
    <x v="2160"/>
    <x v="11"/>
  </r>
  <r>
    <x v="10"/>
    <x v="14"/>
    <x v="2161"/>
    <x v="11"/>
  </r>
  <r>
    <x v="10"/>
    <x v="15"/>
    <x v="2162"/>
    <x v="11"/>
  </r>
  <r>
    <x v="10"/>
    <x v="16"/>
    <x v="2163"/>
    <x v="11"/>
  </r>
  <r>
    <x v="1"/>
    <x v="0"/>
    <x v="0"/>
    <x v="11"/>
  </r>
  <r>
    <x v="1"/>
    <x v="1"/>
    <x v="1"/>
    <x v="11"/>
  </r>
  <r>
    <x v="1"/>
    <x v="2"/>
    <x v="2164"/>
    <x v="11"/>
  </r>
  <r>
    <x v="1"/>
    <x v="3"/>
    <x v="227"/>
    <x v="11"/>
  </r>
  <r>
    <x v="1"/>
    <x v="4"/>
    <x v="239"/>
    <x v="11"/>
  </r>
  <r>
    <x v="1"/>
    <x v="5"/>
    <x v="2165"/>
    <x v="11"/>
  </r>
  <r>
    <x v="1"/>
    <x v="6"/>
    <x v="992"/>
    <x v="11"/>
  </r>
  <r>
    <x v="1"/>
    <x v="7"/>
    <x v="181"/>
    <x v="11"/>
  </r>
  <r>
    <x v="1"/>
    <x v="8"/>
    <x v="228"/>
    <x v="11"/>
  </r>
  <r>
    <x v="1"/>
    <x v="9"/>
    <x v="2166"/>
    <x v="11"/>
  </r>
  <r>
    <x v="1"/>
    <x v="10"/>
    <x v="2167"/>
    <x v="11"/>
  </r>
  <r>
    <x v="1"/>
    <x v="11"/>
    <x v="2168"/>
    <x v="11"/>
  </r>
  <r>
    <x v="1"/>
    <x v="12"/>
    <x v="2169"/>
    <x v="11"/>
  </r>
  <r>
    <x v="1"/>
    <x v="13"/>
    <x v="2170"/>
    <x v="11"/>
  </r>
  <r>
    <x v="1"/>
    <x v="14"/>
    <x v="2171"/>
    <x v="11"/>
  </r>
  <r>
    <x v="1"/>
    <x v="15"/>
    <x v="2172"/>
    <x v="11"/>
  </r>
  <r>
    <x v="1"/>
    <x v="16"/>
    <x v="2173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32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6"/>
    <x v="0"/>
  </r>
  <r>
    <x v="0"/>
    <x v="7"/>
    <x v="7"/>
    <x v="0"/>
  </r>
  <r>
    <x v="0"/>
    <x v="8"/>
    <x v="8"/>
    <x v="0"/>
  </r>
  <r>
    <x v="0"/>
    <x v="9"/>
    <x v="9"/>
    <x v="0"/>
  </r>
  <r>
    <x v="0"/>
    <x v="10"/>
    <x v="10"/>
    <x v="0"/>
  </r>
  <r>
    <x v="0"/>
    <x v="11"/>
    <x v="11"/>
    <x v="0"/>
  </r>
  <r>
    <x v="0"/>
    <x v="12"/>
    <x v="12"/>
    <x v="0"/>
  </r>
  <r>
    <x v="0"/>
    <x v="13"/>
    <x v="13"/>
    <x v="0"/>
  </r>
  <r>
    <x v="0"/>
    <x v="14"/>
    <x v="14"/>
    <x v="0"/>
  </r>
  <r>
    <x v="0"/>
    <x v="15"/>
    <x v="15"/>
    <x v="0"/>
  </r>
  <r>
    <x v="0"/>
    <x v="16"/>
    <x v="16"/>
    <x v="0"/>
  </r>
  <r>
    <x v="1"/>
    <x v="0"/>
    <x v="0"/>
    <x v="0"/>
  </r>
  <r>
    <x v="1"/>
    <x v="1"/>
    <x v="1"/>
    <x v="0"/>
  </r>
  <r>
    <x v="1"/>
    <x v="2"/>
    <x v="17"/>
    <x v="0"/>
  </r>
  <r>
    <x v="1"/>
    <x v="3"/>
    <x v="18"/>
    <x v="0"/>
  </r>
  <r>
    <x v="1"/>
    <x v="4"/>
    <x v="19"/>
    <x v="0"/>
  </r>
  <r>
    <x v="1"/>
    <x v="5"/>
    <x v="20"/>
    <x v="0"/>
  </r>
  <r>
    <x v="1"/>
    <x v="6"/>
    <x v="21"/>
    <x v="0"/>
  </r>
  <r>
    <x v="1"/>
    <x v="7"/>
    <x v="22"/>
    <x v="0"/>
  </r>
  <r>
    <x v="1"/>
    <x v="8"/>
    <x v="23"/>
    <x v="0"/>
  </r>
  <r>
    <x v="1"/>
    <x v="9"/>
    <x v="24"/>
    <x v="0"/>
  </r>
  <r>
    <x v="1"/>
    <x v="10"/>
    <x v="25"/>
    <x v="0"/>
  </r>
  <r>
    <x v="1"/>
    <x v="11"/>
    <x v="26"/>
    <x v="0"/>
  </r>
  <r>
    <x v="1"/>
    <x v="12"/>
    <x v="27"/>
    <x v="0"/>
  </r>
  <r>
    <x v="1"/>
    <x v="13"/>
    <x v="28"/>
    <x v="0"/>
  </r>
  <r>
    <x v="1"/>
    <x v="14"/>
    <x v="29"/>
    <x v="0"/>
  </r>
  <r>
    <x v="1"/>
    <x v="15"/>
    <x v="30"/>
    <x v="0"/>
  </r>
  <r>
    <x v="1"/>
    <x v="16"/>
    <x v="31"/>
    <x v="0"/>
  </r>
  <r>
    <x v="2"/>
    <x v="0"/>
    <x v="32"/>
    <x v="0"/>
  </r>
  <r>
    <x v="2"/>
    <x v="1"/>
    <x v="1"/>
    <x v="0"/>
  </r>
  <r>
    <x v="2"/>
    <x v="2"/>
    <x v="33"/>
    <x v="0"/>
  </r>
  <r>
    <x v="2"/>
    <x v="3"/>
    <x v="34"/>
    <x v="0"/>
  </r>
  <r>
    <x v="2"/>
    <x v="4"/>
    <x v="35"/>
    <x v="0"/>
  </r>
  <r>
    <x v="2"/>
    <x v="5"/>
    <x v="36"/>
    <x v="0"/>
  </r>
  <r>
    <x v="2"/>
    <x v="6"/>
    <x v="37"/>
    <x v="0"/>
  </r>
  <r>
    <x v="2"/>
    <x v="7"/>
    <x v="38"/>
    <x v="0"/>
  </r>
  <r>
    <x v="2"/>
    <x v="8"/>
    <x v="39"/>
    <x v="0"/>
  </r>
  <r>
    <x v="2"/>
    <x v="9"/>
    <x v="40"/>
    <x v="0"/>
  </r>
  <r>
    <x v="2"/>
    <x v="10"/>
    <x v="41"/>
    <x v="0"/>
  </r>
  <r>
    <x v="2"/>
    <x v="11"/>
    <x v="42"/>
    <x v="0"/>
  </r>
  <r>
    <x v="2"/>
    <x v="12"/>
    <x v="43"/>
    <x v="0"/>
  </r>
  <r>
    <x v="2"/>
    <x v="13"/>
    <x v="44"/>
    <x v="0"/>
  </r>
  <r>
    <x v="2"/>
    <x v="14"/>
    <x v="45"/>
    <x v="0"/>
  </r>
  <r>
    <x v="2"/>
    <x v="15"/>
    <x v="46"/>
    <x v="0"/>
  </r>
  <r>
    <x v="2"/>
    <x v="16"/>
    <x v="47"/>
    <x v="0"/>
  </r>
  <r>
    <x v="3"/>
    <x v="0"/>
    <x v="32"/>
    <x v="0"/>
  </r>
  <r>
    <x v="3"/>
    <x v="1"/>
    <x v="1"/>
    <x v="0"/>
  </r>
  <r>
    <x v="3"/>
    <x v="2"/>
    <x v="48"/>
    <x v="0"/>
  </r>
  <r>
    <x v="3"/>
    <x v="3"/>
    <x v="49"/>
    <x v="0"/>
  </r>
  <r>
    <x v="3"/>
    <x v="4"/>
    <x v="50"/>
    <x v="0"/>
  </r>
  <r>
    <x v="3"/>
    <x v="5"/>
    <x v="51"/>
    <x v="0"/>
  </r>
  <r>
    <x v="3"/>
    <x v="6"/>
    <x v="52"/>
    <x v="0"/>
  </r>
  <r>
    <x v="3"/>
    <x v="7"/>
    <x v="53"/>
    <x v="0"/>
  </r>
  <r>
    <x v="3"/>
    <x v="8"/>
    <x v="54"/>
    <x v="0"/>
  </r>
  <r>
    <x v="3"/>
    <x v="9"/>
    <x v="55"/>
    <x v="0"/>
  </r>
  <r>
    <x v="3"/>
    <x v="10"/>
    <x v="56"/>
    <x v="0"/>
  </r>
  <r>
    <x v="3"/>
    <x v="11"/>
    <x v="57"/>
    <x v="0"/>
  </r>
  <r>
    <x v="3"/>
    <x v="12"/>
    <x v="58"/>
    <x v="0"/>
  </r>
  <r>
    <x v="3"/>
    <x v="13"/>
    <x v="59"/>
    <x v="0"/>
  </r>
  <r>
    <x v="3"/>
    <x v="14"/>
    <x v="60"/>
    <x v="0"/>
  </r>
  <r>
    <x v="3"/>
    <x v="15"/>
    <x v="61"/>
    <x v="0"/>
  </r>
  <r>
    <x v="3"/>
    <x v="16"/>
    <x v="62"/>
    <x v="0"/>
  </r>
  <r>
    <x v="4"/>
    <x v="0"/>
    <x v="0"/>
    <x v="0"/>
  </r>
  <r>
    <x v="4"/>
    <x v="1"/>
    <x v="1"/>
    <x v="0"/>
  </r>
  <r>
    <x v="4"/>
    <x v="2"/>
    <x v="63"/>
    <x v="0"/>
  </r>
  <r>
    <x v="4"/>
    <x v="3"/>
    <x v="64"/>
    <x v="0"/>
  </r>
  <r>
    <x v="4"/>
    <x v="4"/>
    <x v="65"/>
    <x v="0"/>
  </r>
  <r>
    <x v="4"/>
    <x v="5"/>
    <x v="66"/>
    <x v="0"/>
  </r>
  <r>
    <x v="4"/>
    <x v="6"/>
    <x v="67"/>
    <x v="0"/>
  </r>
  <r>
    <x v="4"/>
    <x v="7"/>
    <x v="68"/>
    <x v="0"/>
  </r>
  <r>
    <x v="4"/>
    <x v="8"/>
    <x v="69"/>
    <x v="0"/>
  </r>
  <r>
    <x v="4"/>
    <x v="9"/>
    <x v="70"/>
    <x v="0"/>
  </r>
  <r>
    <x v="4"/>
    <x v="10"/>
    <x v="71"/>
    <x v="0"/>
  </r>
  <r>
    <x v="4"/>
    <x v="11"/>
    <x v="72"/>
    <x v="0"/>
  </r>
  <r>
    <x v="4"/>
    <x v="12"/>
    <x v="73"/>
    <x v="0"/>
  </r>
  <r>
    <x v="4"/>
    <x v="13"/>
    <x v="74"/>
    <x v="0"/>
  </r>
  <r>
    <x v="4"/>
    <x v="14"/>
    <x v="75"/>
    <x v="0"/>
  </r>
  <r>
    <x v="4"/>
    <x v="15"/>
    <x v="76"/>
    <x v="0"/>
  </r>
  <r>
    <x v="4"/>
    <x v="16"/>
    <x v="77"/>
    <x v="0"/>
  </r>
  <r>
    <x v="5"/>
    <x v="0"/>
    <x v="0"/>
    <x v="0"/>
  </r>
  <r>
    <x v="5"/>
    <x v="1"/>
    <x v="1"/>
    <x v="0"/>
  </r>
  <r>
    <x v="5"/>
    <x v="2"/>
    <x v="78"/>
    <x v="0"/>
  </r>
  <r>
    <x v="5"/>
    <x v="3"/>
    <x v="79"/>
    <x v="0"/>
  </r>
  <r>
    <x v="5"/>
    <x v="4"/>
    <x v="80"/>
    <x v="0"/>
  </r>
  <r>
    <x v="5"/>
    <x v="5"/>
    <x v="81"/>
    <x v="0"/>
  </r>
  <r>
    <x v="5"/>
    <x v="6"/>
    <x v="82"/>
    <x v="0"/>
  </r>
  <r>
    <x v="5"/>
    <x v="7"/>
    <x v="83"/>
    <x v="0"/>
  </r>
  <r>
    <x v="5"/>
    <x v="8"/>
    <x v="84"/>
    <x v="0"/>
  </r>
  <r>
    <x v="5"/>
    <x v="9"/>
    <x v="85"/>
    <x v="0"/>
  </r>
  <r>
    <x v="5"/>
    <x v="10"/>
    <x v="86"/>
    <x v="0"/>
  </r>
  <r>
    <x v="5"/>
    <x v="11"/>
    <x v="87"/>
    <x v="0"/>
  </r>
  <r>
    <x v="5"/>
    <x v="12"/>
    <x v="88"/>
    <x v="0"/>
  </r>
  <r>
    <x v="5"/>
    <x v="13"/>
    <x v="89"/>
    <x v="0"/>
  </r>
  <r>
    <x v="5"/>
    <x v="14"/>
    <x v="90"/>
    <x v="0"/>
  </r>
  <r>
    <x v="5"/>
    <x v="15"/>
    <x v="91"/>
    <x v="0"/>
  </r>
  <r>
    <x v="5"/>
    <x v="16"/>
    <x v="92"/>
    <x v="0"/>
  </r>
  <r>
    <x v="6"/>
    <x v="0"/>
    <x v="32"/>
    <x v="0"/>
  </r>
  <r>
    <x v="6"/>
    <x v="1"/>
    <x v="1"/>
    <x v="0"/>
  </r>
  <r>
    <x v="6"/>
    <x v="2"/>
    <x v="93"/>
    <x v="0"/>
  </r>
  <r>
    <x v="6"/>
    <x v="3"/>
    <x v="94"/>
    <x v="0"/>
  </r>
  <r>
    <x v="6"/>
    <x v="4"/>
    <x v="95"/>
    <x v="0"/>
  </r>
  <r>
    <x v="6"/>
    <x v="5"/>
    <x v="96"/>
    <x v="0"/>
  </r>
  <r>
    <x v="6"/>
    <x v="6"/>
    <x v="37"/>
    <x v="0"/>
  </r>
  <r>
    <x v="6"/>
    <x v="7"/>
    <x v="97"/>
    <x v="0"/>
  </r>
  <r>
    <x v="6"/>
    <x v="8"/>
    <x v="98"/>
    <x v="0"/>
  </r>
  <r>
    <x v="6"/>
    <x v="9"/>
    <x v="99"/>
    <x v="0"/>
  </r>
  <r>
    <x v="6"/>
    <x v="10"/>
    <x v="100"/>
    <x v="0"/>
  </r>
  <r>
    <x v="6"/>
    <x v="11"/>
    <x v="101"/>
    <x v="0"/>
  </r>
  <r>
    <x v="6"/>
    <x v="12"/>
    <x v="102"/>
    <x v="0"/>
  </r>
  <r>
    <x v="6"/>
    <x v="13"/>
    <x v="103"/>
    <x v="0"/>
  </r>
  <r>
    <x v="6"/>
    <x v="14"/>
    <x v="104"/>
    <x v="0"/>
  </r>
  <r>
    <x v="6"/>
    <x v="15"/>
    <x v="105"/>
    <x v="0"/>
  </r>
  <r>
    <x v="6"/>
    <x v="16"/>
    <x v="106"/>
    <x v="0"/>
  </r>
  <r>
    <x v="7"/>
    <x v="0"/>
    <x v="32"/>
    <x v="0"/>
  </r>
  <r>
    <x v="7"/>
    <x v="1"/>
    <x v="107"/>
    <x v="0"/>
  </r>
  <r>
    <x v="7"/>
    <x v="2"/>
    <x v="108"/>
    <x v="0"/>
  </r>
  <r>
    <x v="7"/>
    <x v="3"/>
    <x v="109"/>
    <x v="0"/>
  </r>
  <r>
    <x v="7"/>
    <x v="4"/>
    <x v="110"/>
    <x v="0"/>
  </r>
  <r>
    <x v="7"/>
    <x v="5"/>
    <x v="111"/>
    <x v="0"/>
  </r>
  <r>
    <x v="7"/>
    <x v="6"/>
    <x v="112"/>
    <x v="0"/>
  </r>
  <r>
    <x v="7"/>
    <x v="7"/>
    <x v="113"/>
    <x v="0"/>
  </r>
  <r>
    <x v="7"/>
    <x v="8"/>
    <x v="114"/>
    <x v="0"/>
  </r>
  <r>
    <x v="7"/>
    <x v="9"/>
    <x v="115"/>
    <x v="0"/>
  </r>
  <r>
    <x v="7"/>
    <x v="10"/>
    <x v="116"/>
    <x v="0"/>
  </r>
  <r>
    <x v="7"/>
    <x v="11"/>
    <x v="117"/>
    <x v="0"/>
  </r>
  <r>
    <x v="7"/>
    <x v="12"/>
    <x v="118"/>
    <x v="0"/>
  </r>
  <r>
    <x v="7"/>
    <x v="13"/>
    <x v="119"/>
    <x v="0"/>
  </r>
  <r>
    <x v="7"/>
    <x v="14"/>
    <x v="120"/>
    <x v="0"/>
  </r>
  <r>
    <x v="7"/>
    <x v="15"/>
    <x v="121"/>
    <x v="0"/>
  </r>
  <r>
    <x v="7"/>
    <x v="16"/>
    <x v="122"/>
    <x v="0"/>
  </r>
  <r>
    <x v="8"/>
    <x v="0"/>
    <x v="0"/>
    <x v="0"/>
  </r>
  <r>
    <x v="8"/>
    <x v="1"/>
    <x v="107"/>
    <x v="0"/>
  </r>
  <r>
    <x v="8"/>
    <x v="2"/>
    <x v="123"/>
    <x v="0"/>
  </r>
  <r>
    <x v="8"/>
    <x v="3"/>
    <x v="124"/>
    <x v="0"/>
  </r>
  <r>
    <x v="8"/>
    <x v="4"/>
    <x v="125"/>
    <x v="0"/>
  </r>
  <r>
    <x v="8"/>
    <x v="5"/>
    <x v="126"/>
    <x v="0"/>
  </r>
  <r>
    <x v="8"/>
    <x v="6"/>
    <x v="127"/>
    <x v="0"/>
  </r>
  <r>
    <x v="8"/>
    <x v="7"/>
    <x v="128"/>
    <x v="0"/>
  </r>
  <r>
    <x v="8"/>
    <x v="8"/>
    <x v="129"/>
    <x v="0"/>
  </r>
  <r>
    <x v="8"/>
    <x v="9"/>
    <x v="130"/>
    <x v="0"/>
  </r>
  <r>
    <x v="8"/>
    <x v="10"/>
    <x v="131"/>
    <x v="0"/>
  </r>
  <r>
    <x v="8"/>
    <x v="11"/>
    <x v="132"/>
    <x v="0"/>
  </r>
  <r>
    <x v="8"/>
    <x v="12"/>
    <x v="133"/>
    <x v="0"/>
  </r>
  <r>
    <x v="8"/>
    <x v="13"/>
    <x v="134"/>
    <x v="0"/>
  </r>
  <r>
    <x v="8"/>
    <x v="14"/>
    <x v="135"/>
    <x v="0"/>
  </r>
  <r>
    <x v="8"/>
    <x v="15"/>
    <x v="136"/>
    <x v="0"/>
  </r>
  <r>
    <x v="8"/>
    <x v="16"/>
    <x v="137"/>
    <x v="0"/>
  </r>
  <r>
    <x v="9"/>
    <x v="0"/>
    <x v="0"/>
    <x v="0"/>
  </r>
  <r>
    <x v="9"/>
    <x v="1"/>
    <x v="107"/>
    <x v="0"/>
  </r>
  <r>
    <x v="9"/>
    <x v="2"/>
    <x v="138"/>
    <x v="0"/>
  </r>
  <r>
    <x v="9"/>
    <x v="3"/>
    <x v="113"/>
    <x v="0"/>
  </r>
  <r>
    <x v="9"/>
    <x v="4"/>
    <x v="80"/>
    <x v="0"/>
  </r>
  <r>
    <x v="9"/>
    <x v="5"/>
    <x v="139"/>
    <x v="0"/>
  </r>
  <r>
    <x v="9"/>
    <x v="6"/>
    <x v="140"/>
    <x v="0"/>
  </r>
  <r>
    <x v="9"/>
    <x v="7"/>
    <x v="141"/>
    <x v="0"/>
  </r>
  <r>
    <x v="9"/>
    <x v="8"/>
    <x v="142"/>
    <x v="0"/>
  </r>
  <r>
    <x v="9"/>
    <x v="9"/>
    <x v="143"/>
    <x v="0"/>
  </r>
  <r>
    <x v="9"/>
    <x v="10"/>
    <x v="144"/>
    <x v="0"/>
  </r>
  <r>
    <x v="9"/>
    <x v="11"/>
    <x v="145"/>
    <x v="0"/>
  </r>
  <r>
    <x v="9"/>
    <x v="12"/>
    <x v="146"/>
    <x v="0"/>
  </r>
  <r>
    <x v="9"/>
    <x v="13"/>
    <x v="147"/>
    <x v="0"/>
  </r>
  <r>
    <x v="9"/>
    <x v="14"/>
    <x v="148"/>
    <x v="0"/>
  </r>
  <r>
    <x v="9"/>
    <x v="15"/>
    <x v="149"/>
    <x v="0"/>
  </r>
  <r>
    <x v="9"/>
    <x v="16"/>
    <x v="150"/>
    <x v="0"/>
  </r>
  <r>
    <x v="10"/>
    <x v="0"/>
    <x v="0"/>
    <x v="0"/>
  </r>
  <r>
    <x v="10"/>
    <x v="1"/>
    <x v="107"/>
    <x v="0"/>
  </r>
  <r>
    <x v="10"/>
    <x v="2"/>
    <x v="151"/>
    <x v="0"/>
  </r>
  <r>
    <x v="10"/>
    <x v="3"/>
    <x v="95"/>
    <x v="0"/>
  </r>
  <r>
    <x v="10"/>
    <x v="4"/>
    <x v="152"/>
    <x v="0"/>
  </r>
  <r>
    <x v="10"/>
    <x v="5"/>
    <x v="153"/>
    <x v="0"/>
  </r>
  <r>
    <x v="10"/>
    <x v="6"/>
    <x v="154"/>
    <x v="0"/>
  </r>
  <r>
    <x v="10"/>
    <x v="7"/>
    <x v="155"/>
    <x v="0"/>
  </r>
  <r>
    <x v="10"/>
    <x v="8"/>
    <x v="156"/>
    <x v="0"/>
  </r>
  <r>
    <x v="10"/>
    <x v="9"/>
    <x v="157"/>
    <x v="0"/>
  </r>
  <r>
    <x v="10"/>
    <x v="10"/>
    <x v="158"/>
    <x v="0"/>
  </r>
  <r>
    <x v="10"/>
    <x v="11"/>
    <x v="159"/>
    <x v="0"/>
  </r>
  <r>
    <x v="10"/>
    <x v="12"/>
    <x v="160"/>
    <x v="0"/>
  </r>
  <r>
    <x v="10"/>
    <x v="13"/>
    <x v="161"/>
    <x v="0"/>
  </r>
  <r>
    <x v="10"/>
    <x v="14"/>
    <x v="162"/>
    <x v="0"/>
  </r>
  <r>
    <x v="10"/>
    <x v="15"/>
    <x v="163"/>
    <x v="0"/>
  </r>
  <r>
    <x v="10"/>
    <x v="16"/>
    <x v="164"/>
    <x v="0"/>
  </r>
  <r>
    <x v="11"/>
    <x v="0"/>
    <x v="32"/>
    <x v="0"/>
  </r>
  <r>
    <x v="11"/>
    <x v="1"/>
    <x v="107"/>
    <x v="0"/>
  </r>
  <r>
    <x v="11"/>
    <x v="2"/>
    <x v="165"/>
    <x v="0"/>
  </r>
  <r>
    <x v="11"/>
    <x v="3"/>
    <x v="166"/>
    <x v="0"/>
  </r>
  <r>
    <x v="11"/>
    <x v="4"/>
    <x v="167"/>
    <x v="0"/>
  </r>
  <r>
    <x v="11"/>
    <x v="5"/>
    <x v="168"/>
    <x v="0"/>
  </r>
  <r>
    <x v="11"/>
    <x v="6"/>
    <x v="169"/>
    <x v="0"/>
  </r>
  <r>
    <x v="11"/>
    <x v="7"/>
    <x v="170"/>
    <x v="0"/>
  </r>
  <r>
    <x v="11"/>
    <x v="8"/>
    <x v="171"/>
    <x v="0"/>
  </r>
  <r>
    <x v="11"/>
    <x v="9"/>
    <x v="172"/>
    <x v="0"/>
  </r>
  <r>
    <x v="11"/>
    <x v="10"/>
    <x v="173"/>
    <x v="0"/>
  </r>
  <r>
    <x v="11"/>
    <x v="11"/>
    <x v="174"/>
    <x v="0"/>
  </r>
  <r>
    <x v="11"/>
    <x v="12"/>
    <x v="175"/>
    <x v="0"/>
  </r>
  <r>
    <x v="11"/>
    <x v="13"/>
    <x v="176"/>
    <x v="0"/>
  </r>
  <r>
    <x v="11"/>
    <x v="14"/>
    <x v="177"/>
    <x v="0"/>
  </r>
  <r>
    <x v="11"/>
    <x v="15"/>
    <x v="178"/>
    <x v="0"/>
  </r>
  <r>
    <x v="11"/>
    <x v="16"/>
    <x v="179"/>
    <x v="0"/>
  </r>
  <r>
    <x v="12"/>
    <x v="0"/>
    <x v="32"/>
    <x v="0"/>
  </r>
  <r>
    <x v="12"/>
    <x v="1"/>
    <x v="107"/>
    <x v="0"/>
  </r>
  <r>
    <x v="12"/>
    <x v="2"/>
    <x v="180"/>
    <x v="0"/>
  </r>
  <r>
    <x v="12"/>
    <x v="3"/>
    <x v="181"/>
    <x v="0"/>
  </r>
  <r>
    <x v="12"/>
    <x v="4"/>
    <x v="110"/>
    <x v="0"/>
  </r>
  <r>
    <x v="12"/>
    <x v="5"/>
    <x v="182"/>
    <x v="0"/>
  </r>
  <r>
    <x v="12"/>
    <x v="6"/>
    <x v="183"/>
    <x v="0"/>
  </r>
  <r>
    <x v="12"/>
    <x v="7"/>
    <x v="184"/>
    <x v="0"/>
  </r>
  <r>
    <x v="12"/>
    <x v="8"/>
    <x v="185"/>
    <x v="0"/>
  </r>
  <r>
    <x v="12"/>
    <x v="9"/>
    <x v="186"/>
    <x v="0"/>
  </r>
  <r>
    <x v="12"/>
    <x v="10"/>
    <x v="187"/>
    <x v="0"/>
  </r>
  <r>
    <x v="12"/>
    <x v="11"/>
    <x v="188"/>
    <x v="0"/>
  </r>
  <r>
    <x v="12"/>
    <x v="12"/>
    <x v="189"/>
    <x v="0"/>
  </r>
  <r>
    <x v="12"/>
    <x v="13"/>
    <x v="190"/>
    <x v="0"/>
  </r>
  <r>
    <x v="12"/>
    <x v="14"/>
    <x v="191"/>
    <x v="0"/>
  </r>
  <r>
    <x v="12"/>
    <x v="15"/>
    <x v="192"/>
    <x v="0"/>
  </r>
  <r>
    <x v="12"/>
    <x v="16"/>
    <x v="193"/>
    <x v="0"/>
  </r>
  <r>
    <x v="13"/>
    <x v="0"/>
    <x v="0"/>
    <x v="0"/>
  </r>
  <r>
    <x v="13"/>
    <x v="1"/>
    <x v="107"/>
    <x v="0"/>
  </r>
  <r>
    <x v="13"/>
    <x v="2"/>
    <x v="194"/>
    <x v="0"/>
  </r>
  <r>
    <x v="13"/>
    <x v="3"/>
    <x v="94"/>
    <x v="0"/>
  </r>
  <r>
    <x v="13"/>
    <x v="4"/>
    <x v="195"/>
    <x v="0"/>
  </r>
  <r>
    <x v="13"/>
    <x v="5"/>
    <x v="196"/>
    <x v="0"/>
  </r>
  <r>
    <x v="13"/>
    <x v="6"/>
    <x v="197"/>
    <x v="0"/>
  </r>
  <r>
    <x v="13"/>
    <x v="7"/>
    <x v="198"/>
    <x v="0"/>
  </r>
  <r>
    <x v="13"/>
    <x v="8"/>
    <x v="199"/>
    <x v="0"/>
  </r>
  <r>
    <x v="13"/>
    <x v="9"/>
    <x v="200"/>
    <x v="0"/>
  </r>
  <r>
    <x v="13"/>
    <x v="10"/>
    <x v="201"/>
    <x v="0"/>
  </r>
  <r>
    <x v="13"/>
    <x v="11"/>
    <x v="202"/>
    <x v="0"/>
  </r>
  <r>
    <x v="13"/>
    <x v="12"/>
    <x v="203"/>
    <x v="0"/>
  </r>
  <r>
    <x v="13"/>
    <x v="13"/>
    <x v="204"/>
    <x v="0"/>
  </r>
  <r>
    <x v="13"/>
    <x v="14"/>
    <x v="205"/>
    <x v="0"/>
  </r>
  <r>
    <x v="13"/>
    <x v="15"/>
    <x v="206"/>
    <x v="0"/>
  </r>
  <r>
    <x v="13"/>
    <x v="16"/>
    <x v="207"/>
    <x v="0"/>
  </r>
  <r>
    <x v="14"/>
    <x v="0"/>
    <x v="32"/>
    <x v="0"/>
  </r>
  <r>
    <x v="14"/>
    <x v="1"/>
    <x v="107"/>
    <x v="0"/>
  </r>
  <r>
    <x v="14"/>
    <x v="2"/>
    <x v="208"/>
    <x v="0"/>
  </r>
  <r>
    <x v="14"/>
    <x v="3"/>
    <x v="209"/>
    <x v="0"/>
  </r>
  <r>
    <x v="14"/>
    <x v="4"/>
    <x v="110"/>
    <x v="0"/>
  </r>
  <r>
    <x v="14"/>
    <x v="5"/>
    <x v="210"/>
    <x v="0"/>
  </r>
  <r>
    <x v="14"/>
    <x v="6"/>
    <x v="211"/>
    <x v="0"/>
  </r>
  <r>
    <x v="14"/>
    <x v="7"/>
    <x v="212"/>
    <x v="0"/>
  </r>
  <r>
    <x v="14"/>
    <x v="8"/>
    <x v="213"/>
    <x v="0"/>
  </r>
  <r>
    <x v="14"/>
    <x v="9"/>
    <x v="214"/>
    <x v="0"/>
  </r>
  <r>
    <x v="14"/>
    <x v="10"/>
    <x v="215"/>
    <x v="0"/>
  </r>
  <r>
    <x v="14"/>
    <x v="11"/>
    <x v="216"/>
    <x v="0"/>
  </r>
  <r>
    <x v="14"/>
    <x v="12"/>
    <x v="217"/>
    <x v="0"/>
  </r>
  <r>
    <x v="14"/>
    <x v="13"/>
    <x v="218"/>
    <x v="0"/>
  </r>
  <r>
    <x v="14"/>
    <x v="14"/>
    <x v="219"/>
    <x v="0"/>
  </r>
  <r>
    <x v="14"/>
    <x v="15"/>
    <x v="220"/>
    <x v="0"/>
  </r>
  <r>
    <x v="14"/>
    <x v="16"/>
    <x v="221"/>
    <x v="0"/>
  </r>
  <r>
    <x v="15"/>
    <x v="0"/>
    <x v="0"/>
    <x v="0"/>
  </r>
  <r>
    <x v="15"/>
    <x v="1"/>
    <x v="107"/>
    <x v="0"/>
  </r>
  <r>
    <x v="15"/>
    <x v="2"/>
    <x v="222"/>
    <x v="0"/>
  </r>
  <r>
    <x v="15"/>
    <x v="3"/>
    <x v="223"/>
    <x v="0"/>
  </r>
  <r>
    <x v="15"/>
    <x v="4"/>
    <x v="224"/>
    <x v="0"/>
  </r>
  <r>
    <x v="15"/>
    <x v="5"/>
    <x v="225"/>
    <x v="0"/>
  </r>
  <r>
    <x v="15"/>
    <x v="6"/>
    <x v="226"/>
    <x v="0"/>
  </r>
  <r>
    <x v="15"/>
    <x v="7"/>
    <x v="227"/>
    <x v="0"/>
  </r>
  <r>
    <x v="15"/>
    <x v="8"/>
    <x v="228"/>
    <x v="0"/>
  </r>
  <r>
    <x v="15"/>
    <x v="9"/>
    <x v="229"/>
    <x v="0"/>
  </r>
  <r>
    <x v="15"/>
    <x v="10"/>
    <x v="230"/>
    <x v="0"/>
  </r>
  <r>
    <x v="15"/>
    <x v="11"/>
    <x v="231"/>
    <x v="0"/>
  </r>
  <r>
    <x v="15"/>
    <x v="12"/>
    <x v="232"/>
    <x v="0"/>
  </r>
  <r>
    <x v="15"/>
    <x v="13"/>
    <x v="233"/>
    <x v="0"/>
  </r>
  <r>
    <x v="15"/>
    <x v="14"/>
    <x v="234"/>
    <x v="0"/>
  </r>
  <r>
    <x v="15"/>
    <x v="15"/>
    <x v="235"/>
    <x v="0"/>
  </r>
  <r>
    <x v="15"/>
    <x v="16"/>
    <x v="236"/>
    <x v="0"/>
  </r>
  <r>
    <x v="0"/>
    <x v="0"/>
    <x v="0"/>
    <x v="1"/>
  </r>
  <r>
    <x v="0"/>
    <x v="1"/>
    <x v="1"/>
    <x v="1"/>
  </r>
  <r>
    <x v="0"/>
    <x v="2"/>
    <x v="237"/>
    <x v="1"/>
  </r>
  <r>
    <x v="0"/>
    <x v="3"/>
    <x v="238"/>
    <x v="1"/>
  </r>
  <r>
    <x v="0"/>
    <x v="4"/>
    <x v="239"/>
    <x v="1"/>
  </r>
  <r>
    <x v="0"/>
    <x v="5"/>
    <x v="240"/>
    <x v="1"/>
  </r>
  <r>
    <x v="0"/>
    <x v="6"/>
    <x v="68"/>
    <x v="1"/>
  </r>
  <r>
    <x v="0"/>
    <x v="7"/>
    <x v="241"/>
    <x v="1"/>
  </r>
  <r>
    <x v="0"/>
    <x v="8"/>
    <x v="8"/>
    <x v="1"/>
  </r>
  <r>
    <x v="0"/>
    <x v="9"/>
    <x v="242"/>
    <x v="1"/>
  </r>
  <r>
    <x v="0"/>
    <x v="10"/>
    <x v="243"/>
    <x v="1"/>
  </r>
  <r>
    <x v="0"/>
    <x v="11"/>
    <x v="244"/>
    <x v="1"/>
  </r>
  <r>
    <x v="0"/>
    <x v="12"/>
    <x v="245"/>
    <x v="1"/>
  </r>
  <r>
    <x v="0"/>
    <x v="13"/>
    <x v="246"/>
    <x v="1"/>
  </r>
  <r>
    <x v="0"/>
    <x v="14"/>
    <x v="247"/>
    <x v="1"/>
  </r>
  <r>
    <x v="0"/>
    <x v="15"/>
    <x v="248"/>
    <x v="1"/>
  </r>
  <r>
    <x v="0"/>
    <x v="16"/>
    <x v="249"/>
    <x v="1"/>
  </r>
  <r>
    <x v="1"/>
    <x v="0"/>
    <x v="0"/>
    <x v="1"/>
  </r>
  <r>
    <x v="1"/>
    <x v="1"/>
    <x v="1"/>
    <x v="1"/>
  </r>
  <r>
    <x v="1"/>
    <x v="2"/>
    <x v="250"/>
    <x v="1"/>
  </r>
  <r>
    <x v="1"/>
    <x v="3"/>
    <x v="251"/>
    <x v="1"/>
  </r>
  <r>
    <x v="1"/>
    <x v="4"/>
    <x v="239"/>
    <x v="1"/>
  </r>
  <r>
    <x v="1"/>
    <x v="5"/>
    <x v="252"/>
    <x v="1"/>
  </r>
  <r>
    <x v="1"/>
    <x v="6"/>
    <x v="253"/>
    <x v="1"/>
  </r>
  <r>
    <x v="1"/>
    <x v="7"/>
    <x v="254"/>
    <x v="1"/>
  </r>
  <r>
    <x v="1"/>
    <x v="8"/>
    <x v="23"/>
    <x v="1"/>
  </r>
  <r>
    <x v="1"/>
    <x v="9"/>
    <x v="255"/>
    <x v="1"/>
  </r>
  <r>
    <x v="1"/>
    <x v="10"/>
    <x v="256"/>
    <x v="1"/>
  </r>
  <r>
    <x v="1"/>
    <x v="11"/>
    <x v="257"/>
    <x v="1"/>
  </r>
  <r>
    <x v="1"/>
    <x v="12"/>
    <x v="258"/>
    <x v="1"/>
  </r>
  <r>
    <x v="1"/>
    <x v="13"/>
    <x v="259"/>
    <x v="1"/>
  </r>
  <r>
    <x v="1"/>
    <x v="14"/>
    <x v="260"/>
    <x v="1"/>
  </r>
  <r>
    <x v="1"/>
    <x v="15"/>
    <x v="261"/>
    <x v="1"/>
  </r>
  <r>
    <x v="1"/>
    <x v="16"/>
    <x v="262"/>
    <x v="1"/>
  </r>
  <r>
    <x v="2"/>
    <x v="0"/>
    <x v="32"/>
    <x v="1"/>
  </r>
  <r>
    <x v="2"/>
    <x v="1"/>
    <x v="1"/>
    <x v="1"/>
  </r>
  <r>
    <x v="2"/>
    <x v="2"/>
    <x v="263"/>
    <x v="1"/>
  </r>
  <r>
    <x v="2"/>
    <x v="3"/>
    <x v="264"/>
    <x v="1"/>
  </r>
  <r>
    <x v="2"/>
    <x v="4"/>
    <x v="80"/>
    <x v="1"/>
  </r>
  <r>
    <x v="2"/>
    <x v="5"/>
    <x v="265"/>
    <x v="1"/>
  </r>
  <r>
    <x v="2"/>
    <x v="6"/>
    <x v="266"/>
    <x v="1"/>
  </r>
  <r>
    <x v="2"/>
    <x v="7"/>
    <x v="267"/>
    <x v="1"/>
  </r>
  <r>
    <x v="2"/>
    <x v="8"/>
    <x v="39"/>
    <x v="1"/>
  </r>
  <r>
    <x v="2"/>
    <x v="9"/>
    <x v="268"/>
    <x v="1"/>
  </r>
  <r>
    <x v="2"/>
    <x v="10"/>
    <x v="269"/>
    <x v="1"/>
  </r>
  <r>
    <x v="2"/>
    <x v="11"/>
    <x v="270"/>
    <x v="1"/>
  </r>
  <r>
    <x v="2"/>
    <x v="12"/>
    <x v="271"/>
    <x v="1"/>
  </r>
  <r>
    <x v="2"/>
    <x v="13"/>
    <x v="272"/>
    <x v="1"/>
  </r>
  <r>
    <x v="2"/>
    <x v="14"/>
    <x v="273"/>
    <x v="1"/>
  </r>
  <r>
    <x v="2"/>
    <x v="15"/>
    <x v="274"/>
    <x v="1"/>
  </r>
  <r>
    <x v="2"/>
    <x v="16"/>
    <x v="275"/>
    <x v="1"/>
  </r>
  <r>
    <x v="3"/>
    <x v="0"/>
    <x v="32"/>
    <x v="1"/>
  </r>
  <r>
    <x v="3"/>
    <x v="1"/>
    <x v="1"/>
    <x v="1"/>
  </r>
  <r>
    <x v="3"/>
    <x v="2"/>
    <x v="276"/>
    <x v="1"/>
  </r>
  <r>
    <x v="3"/>
    <x v="3"/>
    <x v="277"/>
    <x v="1"/>
  </r>
  <r>
    <x v="3"/>
    <x v="4"/>
    <x v="278"/>
    <x v="1"/>
  </r>
  <r>
    <x v="3"/>
    <x v="5"/>
    <x v="279"/>
    <x v="1"/>
  </r>
  <r>
    <x v="3"/>
    <x v="6"/>
    <x v="280"/>
    <x v="1"/>
  </r>
  <r>
    <x v="3"/>
    <x v="7"/>
    <x v="281"/>
    <x v="1"/>
  </r>
  <r>
    <x v="3"/>
    <x v="8"/>
    <x v="54"/>
    <x v="1"/>
  </r>
  <r>
    <x v="3"/>
    <x v="9"/>
    <x v="282"/>
    <x v="1"/>
  </r>
  <r>
    <x v="3"/>
    <x v="10"/>
    <x v="283"/>
    <x v="1"/>
  </r>
  <r>
    <x v="3"/>
    <x v="11"/>
    <x v="284"/>
    <x v="1"/>
  </r>
  <r>
    <x v="3"/>
    <x v="12"/>
    <x v="285"/>
    <x v="1"/>
  </r>
  <r>
    <x v="3"/>
    <x v="13"/>
    <x v="286"/>
    <x v="1"/>
  </r>
  <r>
    <x v="3"/>
    <x v="14"/>
    <x v="287"/>
    <x v="1"/>
  </r>
  <r>
    <x v="3"/>
    <x v="15"/>
    <x v="288"/>
    <x v="1"/>
  </r>
  <r>
    <x v="3"/>
    <x v="16"/>
    <x v="289"/>
    <x v="1"/>
  </r>
  <r>
    <x v="4"/>
    <x v="0"/>
    <x v="0"/>
    <x v="1"/>
  </r>
  <r>
    <x v="4"/>
    <x v="1"/>
    <x v="1"/>
    <x v="1"/>
  </r>
  <r>
    <x v="4"/>
    <x v="2"/>
    <x v="290"/>
    <x v="1"/>
  </r>
  <r>
    <x v="4"/>
    <x v="3"/>
    <x v="291"/>
    <x v="1"/>
  </r>
  <r>
    <x v="4"/>
    <x v="4"/>
    <x v="292"/>
    <x v="1"/>
  </r>
  <r>
    <x v="4"/>
    <x v="5"/>
    <x v="293"/>
    <x v="1"/>
  </r>
  <r>
    <x v="4"/>
    <x v="6"/>
    <x v="267"/>
    <x v="1"/>
  </r>
  <r>
    <x v="4"/>
    <x v="7"/>
    <x v="294"/>
    <x v="1"/>
  </r>
  <r>
    <x v="4"/>
    <x v="8"/>
    <x v="69"/>
    <x v="1"/>
  </r>
  <r>
    <x v="4"/>
    <x v="9"/>
    <x v="295"/>
    <x v="1"/>
  </r>
  <r>
    <x v="4"/>
    <x v="10"/>
    <x v="296"/>
    <x v="1"/>
  </r>
  <r>
    <x v="4"/>
    <x v="11"/>
    <x v="297"/>
    <x v="1"/>
  </r>
  <r>
    <x v="4"/>
    <x v="12"/>
    <x v="298"/>
    <x v="1"/>
  </r>
  <r>
    <x v="4"/>
    <x v="13"/>
    <x v="299"/>
    <x v="1"/>
  </r>
  <r>
    <x v="4"/>
    <x v="14"/>
    <x v="300"/>
    <x v="1"/>
  </r>
  <r>
    <x v="4"/>
    <x v="15"/>
    <x v="301"/>
    <x v="1"/>
  </r>
  <r>
    <x v="4"/>
    <x v="16"/>
    <x v="302"/>
    <x v="1"/>
  </r>
  <r>
    <x v="5"/>
    <x v="0"/>
    <x v="0"/>
    <x v="1"/>
  </r>
  <r>
    <x v="5"/>
    <x v="1"/>
    <x v="1"/>
    <x v="1"/>
  </r>
  <r>
    <x v="5"/>
    <x v="2"/>
    <x v="303"/>
    <x v="1"/>
  </r>
  <r>
    <x v="5"/>
    <x v="3"/>
    <x v="79"/>
    <x v="1"/>
  </r>
  <r>
    <x v="5"/>
    <x v="4"/>
    <x v="304"/>
    <x v="1"/>
  </r>
  <r>
    <x v="5"/>
    <x v="5"/>
    <x v="305"/>
    <x v="1"/>
  </r>
  <r>
    <x v="5"/>
    <x v="6"/>
    <x v="306"/>
    <x v="1"/>
  </r>
  <r>
    <x v="5"/>
    <x v="7"/>
    <x v="94"/>
    <x v="1"/>
  </r>
  <r>
    <x v="5"/>
    <x v="8"/>
    <x v="84"/>
    <x v="1"/>
  </r>
  <r>
    <x v="5"/>
    <x v="9"/>
    <x v="307"/>
    <x v="1"/>
  </r>
  <r>
    <x v="5"/>
    <x v="10"/>
    <x v="308"/>
    <x v="1"/>
  </r>
  <r>
    <x v="5"/>
    <x v="11"/>
    <x v="309"/>
    <x v="1"/>
  </r>
  <r>
    <x v="5"/>
    <x v="12"/>
    <x v="310"/>
    <x v="1"/>
  </r>
  <r>
    <x v="5"/>
    <x v="13"/>
    <x v="311"/>
    <x v="1"/>
  </r>
  <r>
    <x v="5"/>
    <x v="14"/>
    <x v="312"/>
    <x v="1"/>
  </r>
  <r>
    <x v="5"/>
    <x v="15"/>
    <x v="313"/>
    <x v="1"/>
  </r>
  <r>
    <x v="5"/>
    <x v="16"/>
    <x v="314"/>
    <x v="1"/>
  </r>
  <r>
    <x v="6"/>
    <x v="0"/>
    <x v="32"/>
    <x v="1"/>
  </r>
  <r>
    <x v="6"/>
    <x v="1"/>
    <x v="1"/>
    <x v="1"/>
  </r>
  <r>
    <x v="6"/>
    <x v="2"/>
    <x v="315"/>
    <x v="1"/>
  </r>
  <r>
    <x v="6"/>
    <x v="3"/>
    <x v="316"/>
    <x v="1"/>
  </r>
  <r>
    <x v="6"/>
    <x v="4"/>
    <x v="292"/>
    <x v="1"/>
  </r>
  <r>
    <x v="6"/>
    <x v="5"/>
    <x v="317"/>
    <x v="1"/>
  </r>
  <r>
    <x v="6"/>
    <x v="6"/>
    <x v="318"/>
    <x v="1"/>
  </r>
  <r>
    <x v="6"/>
    <x v="7"/>
    <x v="319"/>
    <x v="1"/>
  </r>
  <r>
    <x v="6"/>
    <x v="8"/>
    <x v="98"/>
    <x v="1"/>
  </r>
  <r>
    <x v="6"/>
    <x v="9"/>
    <x v="320"/>
    <x v="1"/>
  </r>
  <r>
    <x v="6"/>
    <x v="10"/>
    <x v="321"/>
    <x v="1"/>
  </r>
  <r>
    <x v="6"/>
    <x v="11"/>
    <x v="322"/>
    <x v="1"/>
  </r>
  <r>
    <x v="6"/>
    <x v="12"/>
    <x v="323"/>
    <x v="1"/>
  </r>
  <r>
    <x v="6"/>
    <x v="13"/>
    <x v="324"/>
    <x v="1"/>
  </r>
  <r>
    <x v="6"/>
    <x v="14"/>
    <x v="325"/>
    <x v="1"/>
  </r>
  <r>
    <x v="6"/>
    <x v="15"/>
    <x v="326"/>
    <x v="1"/>
  </r>
  <r>
    <x v="6"/>
    <x v="16"/>
    <x v="327"/>
    <x v="1"/>
  </r>
  <r>
    <x v="7"/>
    <x v="0"/>
    <x v="32"/>
    <x v="1"/>
  </r>
  <r>
    <x v="7"/>
    <x v="1"/>
    <x v="107"/>
    <x v="1"/>
  </r>
  <r>
    <x v="7"/>
    <x v="2"/>
    <x v="328"/>
    <x v="1"/>
  </r>
  <r>
    <x v="7"/>
    <x v="3"/>
    <x v="329"/>
    <x v="1"/>
  </r>
  <r>
    <x v="7"/>
    <x v="4"/>
    <x v="330"/>
    <x v="1"/>
  </r>
  <r>
    <x v="7"/>
    <x v="5"/>
    <x v="81"/>
    <x v="1"/>
  </r>
  <r>
    <x v="7"/>
    <x v="6"/>
    <x v="331"/>
    <x v="1"/>
  </r>
  <r>
    <x v="7"/>
    <x v="7"/>
    <x v="332"/>
    <x v="1"/>
  </r>
  <r>
    <x v="7"/>
    <x v="8"/>
    <x v="114"/>
    <x v="1"/>
  </r>
  <r>
    <x v="7"/>
    <x v="9"/>
    <x v="333"/>
    <x v="1"/>
  </r>
  <r>
    <x v="7"/>
    <x v="10"/>
    <x v="334"/>
    <x v="1"/>
  </r>
  <r>
    <x v="7"/>
    <x v="11"/>
    <x v="335"/>
    <x v="1"/>
  </r>
  <r>
    <x v="7"/>
    <x v="12"/>
    <x v="336"/>
    <x v="1"/>
  </r>
  <r>
    <x v="7"/>
    <x v="13"/>
    <x v="337"/>
    <x v="1"/>
  </r>
  <r>
    <x v="7"/>
    <x v="14"/>
    <x v="338"/>
    <x v="1"/>
  </r>
  <r>
    <x v="7"/>
    <x v="15"/>
    <x v="339"/>
    <x v="1"/>
  </r>
  <r>
    <x v="7"/>
    <x v="16"/>
    <x v="340"/>
    <x v="1"/>
  </r>
  <r>
    <x v="8"/>
    <x v="0"/>
    <x v="0"/>
    <x v="1"/>
  </r>
  <r>
    <x v="8"/>
    <x v="1"/>
    <x v="107"/>
    <x v="1"/>
  </r>
  <r>
    <x v="8"/>
    <x v="2"/>
    <x v="341"/>
    <x v="1"/>
  </r>
  <r>
    <x v="8"/>
    <x v="3"/>
    <x v="342"/>
    <x v="1"/>
  </r>
  <r>
    <x v="8"/>
    <x v="4"/>
    <x v="19"/>
    <x v="1"/>
  </r>
  <r>
    <x v="8"/>
    <x v="5"/>
    <x v="343"/>
    <x v="1"/>
  </r>
  <r>
    <x v="8"/>
    <x v="6"/>
    <x v="344"/>
    <x v="1"/>
  </r>
  <r>
    <x v="8"/>
    <x v="7"/>
    <x v="345"/>
    <x v="1"/>
  </r>
  <r>
    <x v="8"/>
    <x v="8"/>
    <x v="129"/>
    <x v="1"/>
  </r>
  <r>
    <x v="8"/>
    <x v="9"/>
    <x v="346"/>
    <x v="1"/>
  </r>
  <r>
    <x v="8"/>
    <x v="10"/>
    <x v="347"/>
    <x v="1"/>
  </r>
  <r>
    <x v="8"/>
    <x v="11"/>
    <x v="348"/>
    <x v="1"/>
  </r>
  <r>
    <x v="8"/>
    <x v="12"/>
    <x v="349"/>
    <x v="1"/>
  </r>
  <r>
    <x v="8"/>
    <x v="13"/>
    <x v="350"/>
    <x v="1"/>
  </r>
  <r>
    <x v="8"/>
    <x v="14"/>
    <x v="351"/>
    <x v="1"/>
  </r>
  <r>
    <x v="8"/>
    <x v="15"/>
    <x v="352"/>
    <x v="1"/>
  </r>
  <r>
    <x v="8"/>
    <x v="16"/>
    <x v="353"/>
    <x v="1"/>
  </r>
  <r>
    <x v="9"/>
    <x v="0"/>
    <x v="0"/>
    <x v="1"/>
  </r>
  <r>
    <x v="9"/>
    <x v="1"/>
    <x v="107"/>
    <x v="1"/>
  </r>
  <r>
    <x v="9"/>
    <x v="2"/>
    <x v="354"/>
    <x v="1"/>
  </r>
  <r>
    <x v="9"/>
    <x v="3"/>
    <x v="355"/>
    <x v="1"/>
  </r>
  <r>
    <x v="9"/>
    <x v="4"/>
    <x v="4"/>
    <x v="1"/>
  </r>
  <r>
    <x v="9"/>
    <x v="5"/>
    <x v="356"/>
    <x v="1"/>
  </r>
  <r>
    <x v="9"/>
    <x v="6"/>
    <x v="357"/>
    <x v="1"/>
  </r>
  <r>
    <x v="9"/>
    <x v="7"/>
    <x v="358"/>
    <x v="1"/>
  </r>
  <r>
    <x v="9"/>
    <x v="8"/>
    <x v="142"/>
    <x v="1"/>
  </r>
  <r>
    <x v="9"/>
    <x v="9"/>
    <x v="359"/>
    <x v="1"/>
  </r>
  <r>
    <x v="9"/>
    <x v="10"/>
    <x v="360"/>
    <x v="1"/>
  </r>
  <r>
    <x v="9"/>
    <x v="11"/>
    <x v="361"/>
    <x v="1"/>
  </r>
  <r>
    <x v="9"/>
    <x v="12"/>
    <x v="362"/>
    <x v="1"/>
  </r>
  <r>
    <x v="9"/>
    <x v="13"/>
    <x v="363"/>
    <x v="1"/>
  </r>
  <r>
    <x v="9"/>
    <x v="14"/>
    <x v="364"/>
    <x v="1"/>
  </r>
  <r>
    <x v="9"/>
    <x v="15"/>
    <x v="365"/>
    <x v="1"/>
  </r>
  <r>
    <x v="9"/>
    <x v="16"/>
    <x v="366"/>
    <x v="1"/>
  </r>
  <r>
    <x v="10"/>
    <x v="0"/>
    <x v="0"/>
    <x v="1"/>
  </r>
  <r>
    <x v="10"/>
    <x v="1"/>
    <x v="107"/>
    <x v="1"/>
  </r>
  <r>
    <x v="10"/>
    <x v="2"/>
    <x v="367"/>
    <x v="1"/>
  </r>
  <r>
    <x v="10"/>
    <x v="3"/>
    <x v="329"/>
    <x v="1"/>
  </r>
  <r>
    <x v="10"/>
    <x v="4"/>
    <x v="224"/>
    <x v="1"/>
  </r>
  <r>
    <x v="10"/>
    <x v="5"/>
    <x v="368"/>
    <x v="1"/>
  </r>
  <r>
    <x v="10"/>
    <x v="6"/>
    <x v="369"/>
    <x v="1"/>
  </r>
  <r>
    <x v="10"/>
    <x v="7"/>
    <x v="370"/>
    <x v="1"/>
  </r>
  <r>
    <x v="10"/>
    <x v="8"/>
    <x v="156"/>
    <x v="1"/>
  </r>
  <r>
    <x v="10"/>
    <x v="9"/>
    <x v="371"/>
    <x v="1"/>
  </r>
  <r>
    <x v="10"/>
    <x v="10"/>
    <x v="372"/>
    <x v="1"/>
  </r>
  <r>
    <x v="10"/>
    <x v="11"/>
    <x v="373"/>
    <x v="1"/>
  </r>
  <r>
    <x v="10"/>
    <x v="12"/>
    <x v="374"/>
    <x v="1"/>
  </r>
  <r>
    <x v="10"/>
    <x v="13"/>
    <x v="375"/>
    <x v="1"/>
  </r>
  <r>
    <x v="10"/>
    <x v="14"/>
    <x v="376"/>
    <x v="1"/>
  </r>
  <r>
    <x v="10"/>
    <x v="15"/>
    <x v="377"/>
    <x v="1"/>
  </r>
  <r>
    <x v="10"/>
    <x v="16"/>
    <x v="378"/>
    <x v="1"/>
  </r>
  <r>
    <x v="11"/>
    <x v="0"/>
    <x v="32"/>
    <x v="1"/>
  </r>
  <r>
    <x v="11"/>
    <x v="1"/>
    <x v="107"/>
    <x v="1"/>
  </r>
  <r>
    <x v="11"/>
    <x v="2"/>
    <x v="379"/>
    <x v="1"/>
  </r>
  <r>
    <x v="11"/>
    <x v="3"/>
    <x v="332"/>
    <x v="1"/>
  </r>
  <r>
    <x v="11"/>
    <x v="4"/>
    <x v="380"/>
    <x v="1"/>
  </r>
  <r>
    <x v="11"/>
    <x v="5"/>
    <x v="381"/>
    <x v="1"/>
  </r>
  <r>
    <x v="11"/>
    <x v="6"/>
    <x v="382"/>
    <x v="1"/>
  </r>
  <r>
    <x v="11"/>
    <x v="7"/>
    <x v="383"/>
    <x v="1"/>
  </r>
  <r>
    <x v="11"/>
    <x v="8"/>
    <x v="171"/>
    <x v="1"/>
  </r>
  <r>
    <x v="11"/>
    <x v="9"/>
    <x v="384"/>
    <x v="1"/>
  </r>
  <r>
    <x v="11"/>
    <x v="10"/>
    <x v="385"/>
    <x v="1"/>
  </r>
  <r>
    <x v="11"/>
    <x v="11"/>
    <x v="386"/>
    <x v="1"/>
  </r>
  <r>
    <x v="11"/>
    <x v="12"/>
    <x v="387"/>
    <x v="1"/>
  </r>
  <r>
    <x v="11"/>
    <x v="13"/>
    <x v="388"/>
    <x v="1"/>
  </r>
  <r>
    <x v="11"/>
    <x v="14"/>
    <x v="389"/>
    <x v="1"/>
  </r>
  <r>
    <x v="11"/>
    <x v="15"/>
    <x v="390"/>
    <x v="1"/>
  </r>
  <r>
    <x v="11"/>
    <x v="16"/>
    <x v="391"/>
    <x v="1"/>
  </r>
  <r>
    <x v="12"/>
    <x v="0"/>
    <x v="32"/>
    <x v="1"/>
  </r>
  <r>
    <x v="12"/>
    <x v="1"/>
    <x v="107"/>
    <x v="1"/>
  </r>
  <r>
    <x v="12"/>
    <x v="2"/>
    <x v="392"/>
    <x v="1"/>
  </r>
  <r>
    <x v="12"/>
    <x v="3"/>
    <x v="393"/>
    <x v="1"/>
  </r>
  <r>
    <x v="12"/>
    <x v="4"/>
    <x v="8"/>
    <x v="1"/>
  </r>
  <r>
    <x v="12"/>
    <x v="5"/>
    <x v="394"/>
    <x v="1"/>
  </r>
  <r>
    <x v="12"/>
    <x v="6"/>
    <x v="395"/>
    <x v="1"/>
  </r>
  <r>
    <x v="12"/>
    <x v="7"/>
    <x v="396"/>
    <x v="1"/>
  </r>
  <r>
    <x v="12"/>
    <x v="8"/>
    <x v="185"/>
    <x v="1"/>
  </r>
  <r>
    <x v="12"/>
    <x v="9"/>
    <x v="397"/>
    <x v="1"/>
  </r>
  <r>
    <x v="12"/>
    <x v="10"/>
    <x v="398"/>
    <x v="1"/>
  </r>
  <r>
    <x v="12"/>
    <x v="11"/>
    <x v="159"/>
    <x v="1"/>
  </r>
  <r>
    <x v="12"/>
    <x v="12"/>
    <x v="399"/>
    <x v="1"/>
  </r>
  <r>
    <x v="12"/>
    <x v="13"/>
    <x v="400"/>
    <x v="1"/>
  </r>
  <r>
    <x v="12"/>
    <x v="14"/>
    <x v="401"/>
    <x v="1"/>
  </r>
  <r>
    <x v="12"/>
    <x v="15"/>
    <x v="402"/>
    <x v="1"/>
  </r>
  <r>
    <x v="12"/>
    <x v="16"/>
    <x v="403"/>
    <x v="1"/>
  </r>
  <r>
    <x v="13"/>
    <x v="0"/>
    <x v="0"/>
    <x v="1"/>
  </r>
  <r>
    <x v="13"/>
    <x v="1"/>
    <x v="107"/>
    <x v="1"/>
  </r>
  <r>
    <x v="13"/>
    <x v="2"/>
    <x v="404"/>
    <x v="1"/>
  </r>
  <r>
    <x v="13"/>
    <x v="3"/>
    <x v="405"/>
    <x v="1"/>
  </r>
  <r>
    <x v="13"/>
    <x v="4"/>
    <x v="292"/>
    <x v="1"/>
  </r>
  <r>
    <x v="13"/>
    <x v="5"/>
    <x v="406"/>
    <x v="1"/>
  </r>
  <r>
    <x v="13"/>
    <x v="6"/>
    <x v="407"/>
    <x v="1"/>
  </r>
  <r>
    <x v="13"/>
    <x v="7"/>
    <x v="408"/>
    <x v="1"/>
  </r>
  <r>
    <x v="13"/>
    <x v="8"/>
    <x v="199"/>
    <x v="1"/>
  </r>
  <r>
    <x v="13"/>
    <x v="9"/>
    <x v="409"/>
    <x v="1"/>
  </r>
  <r>
    <x v="13"/>
    <x v="10"/>
    <x v="410"/>
    <x v="1"/>
  </r>
  <r>
    <x v="13"/>
    <x v="11"/>
    <x v="411"/>
    <x v="1"/>
  </r>
  <r>
    <x v="13"/>
    <x v="12"/>
    <x v="412"/>
    <x v="1"/>
  </r>
  <r>
    <x v="13"/>
    <x v="13"/>
    <x v="413"/>
    <x v="1"/>
  </r>
  <r>
    <x v="13"/>
    <x v="14"/>
    <x v="414"/>
    <x v="1"/>
  </r>
  <r>
    <x v="13"/>
    <x v="15"/>
    <x v="415"/>
    <x v="1"/>
  </r>
  <r>
    <x v="13"/>
    <x v="16"/>
    <x v="416"/>
    <x v="1"/>
  </r>
  <r>
    <x v="14"/>
    <x v="0"/>
    <x v="32"/>
    <x v="1"/>
  </r>
  <r>
    <x v="14"/>
    <x v="1"/>
    <x v="107"/>
    <x v="1"/>
  </r>
  <r>
    <x v="14"/>
    <x v="2"/>
    <x v="417"/>
    <x v="1"/>
  </r>
  <r>
    <x v="14"/>
    <x v="3"/>
    <x v="418"/>
    <x v="1"/>
  </r>
  <r>
    <x v="14"/>
    <x v="4"/>
    <x v="98"/>
    <x v="1"/>
  </r>
  <r>
    <x v="14"/>
    <x v="5"/>
    <x v="419"/>
    <x v="1"/>
  </r>
  <r>
    <x v="14"/>
    <x v="6"/>
    <x v="420"/>
    <x v="1"/>
  </r>
  <r>
    <x v="14"/>
    <x v="7"/>
    <x v="358"/>
    <x v="1"/>
  </r>
  <r>
    <x v="14"/>
    <x v="8"/>
    <x v="213"/>
    <x v="1"/>
  </r>
  <r>
    <x v="14"/>
    <x v="9"/>
    <x v="421"/>
    <x v="1"/>
  </r>
  <r>
    <x v="14"/>
    <x v="10"/>
    <x v="422"/>
    <x v="1"/>
  </r>
  <r>
    <x v="14"/>
    <x v="11"/>
    <x v="423"/>
    <x v="1"/>
  </r>
  <r>
    <x v="14"/>
    <x v="12"/>
    <x v="424"/>
    <x v="1"/>
  </r>
  <r>
    <x v="14"/>
    <x v="13"/>
    <x v="425"/>
    <x v="1"/>
  </r>
  <r>
    <x v="14"/>
    <x v="14"/>
    <x v="426"/>
    <x v="1"/>
  </r>
  <r>
    <x v="14"/>
    <x v="15"/>
    <x v="427"/>
    <x v="1"/>
  </r>
  <r>
    <x v="14"/>
    <x v="16"/>
    <x v="428"/>
    <x v="1"/>
  </r>
  <r>
    <x v="15"/>
    <x v="0"/>
    <x v="0"/>
    <x v="1"/>
  </r>
  <r>
    <x v="15"/>
    <x v="1"/>
    <x v="107"/>
    <x v="1"/>
  </r>
  <r>
    <x v="15"/>
    <x v="2"/>
    <x v="429"/>
    <x v="1"/>
  </r>
  <r>
    <x v="15"/>
    <x v="3"/>
    <x v="430"/>
    <x v="1"/>
  </r>
  <r>
    <x v="15"/>
    <x v="4"/>
    <x v="4"/>
    <x v="1"/>
  </r>
  <r>
    <x v="15"/>
    <x v="5"/>
    <x v="431"/>
    <x v="1"/>
  </r>
  <r>
    <x v="15"/>
    <x v="6"/>
    <x v="432"/>
    <x v="1"/>
  </r>
  <r>
    <x v="15"/>
    <x v="7"/>
    <x v="433"/>
    <x v="1"/>
  </r>
  <r>
    <x v="15"/>
    <x v="8"/>
    <x v="228"/>
    <x v="1"/>
  </r>
  <r>
    <x v="15"/>
    <x v="9"/>
    <x v="434"/>
    <x v="1"/>
  </r>
  <r>
    <x v="15"/>
    <x v="10"/>
    <x v="435"/>
    <x v="1"/>
  </r>
  <r>
    <x v="15"/>
    <x v="11"/>
    <x v="436"/>
    <x v="1"/>
  </r>
  <r>
    <x v="15"/>
    <x v="12"/>
    <x v="437"/>
    <x v="1"/>
  </r>
  <r>
    <x v="15"/>
    <x v="13"/>
    <x v="438"/>
    <x v="1"/>
  </r>
  <r>
    <x v="15"/>
    <x v="14"/>
    <x v="439"/>
    <x v="1"/>
  </r>
  <r>
    <x v="15"/>
    <x v="15"/>
    <x v="440"/>
    <x v="1"/>
  </r>
  <r>
    <x v="15"/>
    <x v="16"/>
    <x v="441"/>
    <x v="1"/>
  </r>
  <r>
    <x v="0"/>
    <x v="0"/>
    <x v="0"/>
    <x v="2"/>
  </r>
  <r>
    <x v="0"/>
    <x v="1"/>
    <x v="1"/>
    <x v="2"/>
  </r>
  <r>
    <x v="0"/>
    <x v="2"/>
    <x v="442"/>
    <x v="2"/>
  </r>
  <r>
    <x v="0"/>
    <x v="3"/>
    <x v="443"/>
    <x v="2"/>
  </r>
  <r>
    <x v="0"/>
    <x v="4"/>
    <x v="278"/>
    <x v="2"/>
  </r>
  <r>
    <x v="0"/>
    <x v="5"/>
    <x v="444"/>
    <x v="2"/>
  </r>
  <r>
    <x v="0"/>
    <x v="6"/>
    <x v="445"/>
    <x v="2"/>
  </r>
  <r>
    <x v="0"/>
    <x v="7"/>
    <x v="446"/>
    <x v="2"/>
  </r>
  <r>
    <x v="0"/>
    <x v="8"/>
    <x v="8"/>
    <x v="2"/>
  </r>
  <r>
    <x v="0"/>
    <x v="9"/>
    <x v="447"/>
    <x v="2"/>
  </r>
  <r>
    <x v="0"/>
    <x v="10"/>
    <x v="448"/>
    <x v="2"/>
  </r>
  <r>
    <x v="0"/>
    <x v="11"/>
    <x v="449"/>
    <x v="2"/>
  </r>
  <r>
    <x v="0"/>
    <x v="12"/>
    <x v="450"/>
    <x v="2"/>
  </r>
  <r>
    <x v="0"/>
    <x v="13"/>
    <x v="451"/>
    <x v="2"/>
  </r>
  <r>
    <x v="0"/>
    <x v="14"/>
    <x v="452"/>
    <x v="2"/>
  </r>
  <r>
    <x v="0"/>
    <x v="15"/>
    <x v="453"/>
    <x v="2"/>
  </r>
  <r>
    <x v="0"/>
    <x v="16"/>
    <x v="454"/>
    <x v="2"/>
  </r>
  <r>
    <x v="1"/>
    <x v="0"/>
    <x v="0"/>
    <x v="2"/>
  </r>
  <r>
    <x v="1"/>
    <x v="1"/>
    <x v="1"/>
    <x v="2"/>
  </r>
  <r>
    <x v="1"/>
    <x v="2"/>
    <x v="455"/>
    <x v="2"/>
  </r>
  <r>
    <x v="1"/>
    <x v="3"/>
    <x v="456"/>
    <x v="2"/>
  </r>
  <r>
    <x v="1"/>
    <x v="4"/>
    <x v="110"/>
    <x v="2"/>
  </r>
  <r>
    <x v="1"/>
    <x v="5"/>
    <x v="457"/>
    <x v="2"/>
  </r>
  <r>
    <x v="1"/>
    <x v="6"/>
    <x v="458"/>
    <x v="2"/>
  </r>
  <r>
    <x v="1"/>
    <x v="7"/>
    <x v="459"/>
    <x v="2"/>
  </r>
  <r>
    <x v="1"/>
    <x v="8"/>
    <x v="23"/>
    <x v="2"/>
  </r>
  <r>
    <x v="1"/>
    <x v="9"/>
    <x v="460"/>
    <x v="2"/>
  </r>
  <r>
    <x v="1"/>
    <x v="10"/>
    <x v="461"/>
    <x v="2"/>
  </r>
  <r>
    <x v="1"/>
    <x v="11"/>
    <x v="462"/>
    <x v="2"/>
  </r>
  <r>
    <x v="1"/>
    <x v="12"/>
    <x v="463"/>
    <x v="2"/>
  </r>
  <r>
    <x v="1"/>
    <x v="13"/>
    <x v="464"/>
    <x v="2"/>
  </r>
  <r>
    <x v="1"/>
    <x v="14"/>
    <x v="465"/>
    <x v="2"/>
  </r>
  <r>
    <x v="1"/>
    <x v="15"/>
    <x v="466"/>
    <x v="2"/>
  </r>
  <r>
    <x v="1"/>
    <x v="16"/>
    <x v="467"/>
    <x v="2"/>
  </r>
  <r>
    <x v="2"/>
    <x v="0"/>
    <x v="32"/>
    <x v="2"/>
  </r>
  <r>
    <x v="2"/>
    <x v="1"/>
    <x v="1"/>
    <x v="2"/>
  </r>
  <r>
    <x v="2"/>
    <x v="2"/>
    <x v="468"/>
    <x v="2"/>
  </r>
  <r>
    <x v="2"/>
    <x v="3"/>
    <x v="469"/>
    <x v="2"/>
  </r>
  <r>
    <x v="2"/>
    <x v="4"/>
    <x v="292"/>
    <x v="2"/>
  </r>
  <r>
    <x v="2"/>
    <x v="5"/>
    <x v="470"/>
    <x v="2"/>
  </r>
  <r>
    <x v="2"/>
    <x v="6"/>
    <x v="471"/>
    <x v="2"/>
  </r>
  <r>
    <x v="2"/>
    <x v="7"/>
    <x v="472"/>
    <x v="2"/>
  </r>
  <r>
    <x v="2"/>
    <x v="8"/>
    <x v="39"/>
    <x v="2"/>
  </r>
  <r>
    <x v="2"/>
    <x v="9"/>
    <x v="473"/>
    <x v="2"/>
  </r>
  <r>
    <x v="2"/>
    <x v="10"/>
    <x v="474"/>
    <x v="2"/>
  </r>
  <r>
    <x v="2"/>
    <x v="11"/>
    <x v="475"/>
    <x v="2"/>
  </r>
  <r>
    <x v="2"/>
    <x v="12"/>
    <x v="476"/>
    <x v="2"/>
  </r>
  <r>
    <x v="2"/>
    <x v="13"/>
    <x v="477"/>
    <x v="2"/>
  </r>
  <r>
    <x v="2"/>
    <x v="14"/>
    <x v="478"/>
    <x v="2"/>
  </r>
  <r>
    <x v="2"/>
    <x v="15"/>
    <x v="479"/>
    <x v="2"/>
  </r>
  <r>
    <x v="2"/>
    <x v="16"/>
    <x v="480"/>
    <x v="2"/>
  </r>
  <r>
    <x v="3"/>
    <x v="0"/>
    <x v="32"/>
    <x v="2"/>
  </r>
  <r>
    <x v="3"/>
    <x v="1"/>
    <x v="1"/>
    <x v="2"/>
  </r>
  <r>
    <x v="3"/>
    <x v="2"/>
    <x v="481"/>
    <x v="2"/>
  </r>
  <r>
    <x v="3"/>
    <x v="3"/>
    <x v="482"/>
    <x v="2"/>
  </r>
  <r>
    <x v="3"/>
    <x v="4"/>
    <x v="50"/>
    <x v="2"/>
  </r>
  <r>
    <x v="3"/>
    <x v="5"/>
    <x v="483"/>
    <x v="2"/>
  </r>
  <r>
    <x v="3"/>
    <x v="6"/>
    <x v="251"/>
    <x v="2"/>
  </r>
  <r>
    <x v="3"/>
    <x v="7"/>
    <x v="484"/>
    <x v="2"/>
  </r>
  <r>
    <x v="3"/>
    <x v="8"/>
    <x v="54"/>
    <x v="2"/>
  </r>
  <r>
    <x v="3"/>
    <x v="9"/>
    <x v="485"/>
    <x v="2"/>
  </r>
  <r>
    <x v="3"/>
    <x v="10"/>
    <x v="486"/>
    <x v="2"/>
  </r>
  <r>
    <x v="3"/>
    <x v="11"/>
    <x v="487"/>
    <x v="2"/>
  </r>
  <r>
    <x v="3"/>
    <x v="12"/>
    <x v="488"/>
    <x v="2"/>
  </r>
  <r>
    <x v="3"/>
    <x v="13"/>
    <x v="489"/>
    <x v="2"/>
  </r>
  <r>
    <x v="3"/>
    <x v="14"/>
    <x v="490"/>
    <x v="2"/>
  </r>
  <r>
    <x v="3"/>
    <x v="15"/>
    <x v="491"/>
    <x v="2"/>
  </r>
  <r>
    <x v="3"/>
    <x v="16"/>
    <x v="492"/>
    <x v="2"/>
  </r>
  <r>
    <x v="4"/>
    <x v="0"/>
    <x v="0"/>
    <x v="2"/>
  </r>
  <r>
    <x v="4"/>
    <x v="1"/>
    <x v="1"/>
    <x v="2"/>
  </r>
  <r>
    <x v="4"/>
    <x v="2"/>
    <x v="493"/>
    <x v="2"/>
  </r>
  <r>
    <x v="4"/>
    <x v="3"/>
    <x v="443"/>
    <x v="2"/>
  </r>
  <r>
    <x v="4"/>
    <x v="4"/>
    <x v="110"/>
    <x v="2"/>
  </r>
  <r>
    <x v="4"/>
    <x v="5"/>
    <x v="494"/>
    <x v="2"/>
  </r>
  <r>
    <x v="4"/>
    <x v="6"/>
    <x v="495"/>
    <x v="2"/>
  </r>
  <r>
    <x v="4"/>
    <x v="7"/>
    <x v="459"/>
    <x v="2"/>
  </r>
  <r>
    <x v="4"/>
    <x v="8"/>
    <x v="69"/>
    <x v="2"/>
  </r>
  <r>
    <x v="4"/>
    <x v="9"/>
    <x v="496"/>
    <x v="2"/>
  </r>
  <r>
    <x v="4"/>
    <x v="10"/>
    <x v="497"/>
    <x v="2"/>
  </r>
  <r>
    <x v="4"/>
    <x v="11"/>
    <x v="498"/>
    <x v="2"/>
  </r>
  <r>
    <x v="4"/>
    <x v="12"/>
    <x v="499"/>
    <x v="2"/>
  </r>
  <r>
    <x v="4"/>
    <x v="13"/>
    <x v="500"/>
    <x v="2"/>
  </r>
  <r>
    <x v="4"/>
    <x v="14"/>
    <x v="501"/>
    <x v="2"/>
  </r>
  <r>
    <x v="4"/>
    <x v="15"/>
    <x v="502"/>
    <x v="2"/>
  </r>
  <r>
    <x v="4"/>
    <x v="16"/>
    <x v="503"/>
    <x v="2"/>
  </r>
  <r>
    <x v="5"/>
    <x v="0"/>
    <x v="0"/>
    <x v="2"/>
  </r>
  <r>
    <x v="5"/>
    <x v="1"/>
    <x v="1"/>
    <x v="2"/>
  </r>
  <r>
    <x v="5"/>
    <x v="2"/>
    <x v="504"/>
    <x v="2"/>
  </r>
  <r>
    <x v="5"/>
    <x v="3"/>
    <x v="505"/>
    <x v="2"/>
  </r>
  <r>
    <x v="5"/>
    <x v="4"/>
    <x v="50"/>
    <x v="2"/>
  </r>
  <r>
    <x v="5"/>
    <x v="5"/>
    <x v="506"/>
    <x v="2"/>
  </r>
  <r>
    <x v="5"/>
    <x v="6"/>
    <x v="507"/>
    <x v="2"/>
  </r>
  <r>
    <x v="5"/>
    <x v="7"/>
    <x v="508"/>
    <x v="2"/>
  </r>
  <r>
    <x v="5"/>
    <x v="8"/>
    <x v="84"/>
    <x v="2"/>
  </r>
  <r>
    <x v="5"/>
    <x v="9"/>
    <x v="509"/>
    <x v="2"/>
  </r>
  <r>
    <x v="5"/>
    <x v="10"/>
    <x v="510"/>
    <x v="2"/>
  </r>
  <r>
    <x v="5"/>
    <x v="11"/>
    <x v="511"/>
    <x v="2"/>
  </r>
  <r>
    <x v="5"/>
    <x v="12"/>
    <x v="512"/>
    <x v="2"/>
  </r>
  <r>
    <x v="5"/>
    <x v="13"/>
    <x v="513"/>
    <x v="2"/>
  </r>
  <r>
    <x v="5"/>
    <x v="14"/>
    <x v="514"/>
    <x v="2"/>
  </r>
  <r>
    <x v="5"/>
    <x v="15"/>
    <x v="515"/>
    <x v="2"/>
  </r>
  <r>
    <x v="5"/>
    <x v="16"/>
    <x v="516"/>
    <x v="2"/>
  </r>
  <r>
    <x v="6"/>
    <x v="0"/>
    <x v="32"/>
    <x v="2"/>
  </r>
  <r>
    <x v="6"/>
    <x v="1"/>
    <x v="1"/>
    <x v="2"/>
  </r>
  <r>
    <x v="6"/>
    <x v="2"/>
    <x v="517"/>
    <x v="2"/>
  </r>
  <r>
    <x v="6"/>
    <x v="3"/>
    <x v="518"/>
    <x v="2"/>
  </r>
  <r>
    <x v="6"/>
    <x v="4"/>
    <x v="110"/>
    <x v="2"/>
  </r>
  <r>
    <x v="6"/>
    <x v="5"/>
    <x v="519"/>
    <x v="2"/>
  </r>
  <r>
    <x v="6"/>
    <x v="6"/>
    <x v="520"/>
    <x v="2"/>
  </r>
  <r>
    <x v="6"/>
    <x v="7"/>
    <x v="521"/>
    <x v="2"/>
  </r>
  <r>
    <x v="6"/>
    <x v="8"/>
    <x v="98"/>
    <x v="2"/>
  </r>
  <r>
    <x v="6"/>
    <x v="9"/>
    <x v="522"/>
    <x v="2"/>
  </r>
  <r>
    <x v="6"/>
    <x v="10"/>
    <x v="523"/>
    <x v="2"/>
  </r>
  <r>
    <x v="6"/>
    <x v="11"/>
    <x v="524"/>
    <x v="2"/>
  </r>
  <r>
    <x v="6"/>
    <x v="12"/>
    <x v="525"/>
    <x v="2"/>
  </r>
  <r>
    <x v="6"/>
    <x v="13"/>
    <x v="526"/>
    <x v="2"/>
  </r>
  <r>
    <x v="6"/>
    <x v="14"/>
    <x v="527"/>
    <x v="2"/>
  </r>
  <r>
    <x v="6"/>
    <x v="15"/>
    <x v="528"/>
    <x v="2"/>
  </r>
  <r>
    <x v="6"/>
    <x v="16"/>
    <x v="529"/>
    <x v="2"/>
  </r>
  <r>
    <x v="7"/>
    <x v="0"/>
    <x v="32"/>
    <x v="2"/>
  </r>
  <r>
    <x v="7"/>
    <x v="1"/>
    <x v="107"/>
    <x v="2"/>
  </r>
  <r>
    <x v="7"/>
    <x v="2"/>
    <x v="530"/>
    <x v="2"/>
  </r>
  <r>
    <x v="7"/>
    <x v="3"/>
    <x v="267"/>
    <x v="2"/>
  </r>
  <r>
    <x v="7"/>
    <x v="4"/>
    <x v="531"/>
    <x v="2"/>
  </r>
  <r>
    <x v="7"/>
    <x v="5"/>
    <x v="532"/>
    <x v="2"/>
  </r>
  <r>
    <x v="7"/>
    <x v="6"/>
    <x v="533"/>
    <x v="2"/>
  </r>
  <r>
    <x v="7"/>
    <x v="7"/>
    <x v="534"/>
    <x v="2"/>
  </r>
  <r>
    <x v="7"/>
    <x v="8"/>
    <x v="114"/>
    <x v="2"/>
  </r>
  <r>
    <x v="7"/>
    <x v="9"/>
    <x v="535"/>
    <x v="2"/>
  </r>
  <r>
    <x v="7"/>
    <x v="10"/>
    <x v="536"/>
    <x v="2"/>
  </r>
  <r>
    <x v="7"/>
    <x v="11"/>
    <x v="537"/>
    <x v="2"/>
  </r>
  <r>
    <x v="7"/>
    <x v="12"/>
    <x v="538"/>
    <x v="2"/>
  </r>
  <r>
    <x v="7"/>
    <x v="13"/>
    <x v="539"/>
    <x v="2"/>
  </r>
  <r>
    <x v="7"/>
    <x v="14"/>
    <x v="540"/>
    <x v="2"/>
  </r>
  <r>
    <x v="7"/>
    <x v="15"/>
    <x v="541"/>
    <x v="2"/>
  </r>
  <r>
    <x v="7"/>
    <x v="16"/>
    <x v="542"/>
    <x v="2"/>
  </r>
  <r>
    <x v="8"/>
    <x v="0"/>
    <x v="0"/>
    <x v="2"/>
  </r>
  <r>
    <x v="8"/>
    <x v="1"/>
    <x v="107"/>
    <x v="2"/>
  </r>
  <r>
    <x v="8"/>
    <x v="2"/>
    <x v="543"/>
    <x v="2"/>
  </r>
  <r>
    <x v="8"/>
    <x v="3"/>
    <x v="266"/>
    <x v="2"/>
  </r>
  <r>
    <x v="8"/>
    <x v="4"/>
    <x v="195"/>
    <x v="2"/>
  </r>
  <r>
    <x v="8"/>
    <x v="5"/>
    <x v="544"/>
    <x v="2"/>
  </r>
  <r>
    <x v="8"/>
    <x v="6"/>
    <x v="545"/>
    <x v="2"/>
  </r>
  <r>
    <x v="8"/>
    <x v="7"/>
    <x v="155"/>
    <x v="2"/>
  </r>
  <r>
    <x v="8"/>
    <x v="8"/>
    <x v="129"/>
    <x v="2"/>
  </r>
  <r>
    <x v="8"/>
    <x v="9"/>
    <x v="546"/>
    <x v="2"/>
  </r>
  <r>
    <x v="8"/>
    <x v="10"/>
    <x v="547"/>
    <x v="2"/>
  </r>
  <r>
    <x v="8"/>
    <x v="11"/>
    <x v="548"/>
    <x v="2"/>
  </r>
  <r>
    <x v="8"/>
    <x v="12"/>
    <x v="549"/>
    <x v="2"/>
  </r>
  <r>
    <x v="8"/>
    <x v="13"/>
    <x v="550"/>
    <x v="2"/>
  </r>
  <r>
    <x v="8"/>
    <x v="14"/>
    <x v="551"/>
    <x v="2"/>
  </r>
  <r>
    <x v="8"/>
    <x v="15"/>
    <x v="552"/>
    <x v="2"/>
  </r>
  <r>
    <x v="8"/>
    <x v="16"/>
    <x v="553"/>
    <x v="2"/>
  </r>
  <r>
    <x v="9"/>
    <x v="0"/>
    <x v="0"/>
    <x v="2"/>
  </r>
  <r>
    <x v="9"/>
    <x v="1"/>
    <x v="107"/>
    <x v="2"/>
  </r>
  <r>
    <x v="9"/>
    <x v="2"/>
    <x v="554"/>
    <x v="2"/>
  </r>
  <r>
    <x v="9"/>
    <x v="3"/>
    <x v="555"/>
    <x v="2"/>
  </r>
  <r>
    <x v="9"/>
    <x v="4"/>
    <x v="380"/>
    <x v="2"/>
  </r>
  <r>
    <x v="9"/>
    <x v="5"/>
    <x v="556"/>
    <x v="2"/>
  </r>
  <r>
    <x v="9"/>
    <x v="6"/>
    <x v="557"/>
    <x v="2"/>
  </r>
  <r>
    <x v="9"/>
    <x v="7"/>
    <x v="558"/>
    <x v="2"/>
  </r>
  <r>
    <x v="9"/>
    <x v="8"/>
    <x v="142"/>
    <x v="2"/>
  </r>
  <r>
    <x v="9"/>
    <x v="9"/>
    <x v="559"/>
    <x v="2"/>
  </r>
  <r>
    <x v="9"/>
    <x v="10"/>
    <x v="560"/>
    <x v="2"/>
  </r>
  <r>
    <x v="9"/>
    <x v="11"/>
    <x v="561"/>
    <x v="2"/>
  </r>
  <r>
    <x v="9"/>
    <x v="12"/>
    <x v="562"/>
    <x v="2"/>
  </r>
  <r>
    <x v="9"/>
    <x v="13"/>
    <x v="563"/>
    <x v="2"/>
  </r>
  <r>
    <x v="9"/>
    <x v="14"/>
    <x v="564"/>
    <x v="2"/>
  </r>
  <r>
    <x v="9"/>
    <x v="15"/>
    <x v="565"/>
    <x v="2"/>
  </r>
  <r>
    <x v="9"/>
    <x v="16"/>
    <x v="566"/>
    <x v="2"/>
  </r>
  <r>
    <x v="10"/>
    <x v="0"/>
    <x v="0"/>
    <x v="2"/>
  </r>
  <r>
    <x v="10"/>
    <x v="1"/>
    <x v="107"/>
    <x v="2"/>
  </r>
  <r>
    <x v="10"/>
    <x v="2"/>
    <x v="567"/>
    <x v="2"/>
  </r>
  <r>
    <x v="10"/>
    <x v="3"/>
    <x v="568"/>
    <x v="2"/>
  </r>
  <r>
    <x v="10"/>
    <x v="4"/>
    <x v="35"/>
    <x v="2"/>
  </r>
  <r>
    <x v="10"/>
    <x v="5"/>
    <x v="569"/>
    <x v="2"/>
  </r>
  <r>
    <x v="10"/>
    <x v="6"/>
    <x v="570"/>
    <x v="2"/>
  </r>
  <r>
    <x v="10"/>
    <x v="7"/>
    <x v="571"/>
    <x v="2"/>
  </r>
  <r>
    <x v="10"/>
    <x v="8"/>
    <x v="156"/>
    <x v="2"/>
  </r>
  <r>
    <x v="10"/>
    <x v="9"/>
    <x v="572"/>
    <x v="2"/>
  </r>
  <r>
    <x v="10"/>
    <x v="10"/>
    <x v="573"/>
    <x v="2"/>
  </r>
  <r>
    <x v="10"/>
    <x v="11"/>
    <x v="574"/>
    <x v="2"/>
  </r>
  <r>
    <x v="10"/>
    <x v="12"/>
    <x v="575"/>
    <x v="2"/>
  </r>
  <r>
    <x v="10"/>
    <x v="13"/>
    <x v="576"/>
    <x v="2"/>
  </r>
  <r>
    <x v="10"/>
    <x v="14"/>
    <x v="577"/>
    <x v="2"/>
  </r>
  <r>
    <x v="10"/>
    <x v="15"/>
    <x v="578"/>
    <x v="2"/>
  </r>
  <r>
    <x v="10"/>
    <x v="16"/>
    <x v="579"/>
    <x v="2"/>
  </r>
  <r>
    <x v="11"/>
    <x v="0"/>
    <x v="32"/>
    <x v="2"/>
  </r>
  <r>
    <x v="11"/>
    <x v="1"/>
    <x v="107"/>
    <x v="2"/>
  </r>
  <r>
    <x v="11"/>
    <x v="2"/>
    <x v="580"/>
    <x v="2"/>
  </r>
  <r>
    <x v="11"/>
    <x v="3"/>
    <x v="581"/>
    <x v="2"/>
  </r>
  <r>
    <x v="11"/>
    <x v="4"/>
    <x v="330"/>
    <x v="2"/>
  </r>
  <r>
    <x v="11"/>
    <x v="5"/>
    <x v="582"/>
    <x v="2"/>
  </r>
  <r>
    <x v="11"/>
    <x v="6"/>
    <x v="306"/>
    <x v="2"/>
  </r>
  <r>
    <x v="11"/>
    <x v="7"/>
    <x v="583"/>
    <x v="2"/>
  </r>
  <r>
    <x v="11"/>
    <x v="8"/>
    <x v="171"/>
    <x v="2"/>
  </r>
  <r>
    <x v="11"/>
    <x v="9"/>
    <x v="584"/>
    <x v="2"/>
  </r>
  <r>
    <x v="11"/>
    <x v="10"/>
    <x v="585"/>
    <x v="2"/>
  </r>
  <r>
    <x v="11"/>
    <x v="11"/>
    <x v="586"/>
    <x v="2"/>
  </r>
  <r>
    <x v="11"/>
    <x v="12"/>
    <x v="587"/>
    <x v="2"/>
  </r>
  <r>
    <x v="11"/>
    <x v="13"/>
    <x v="588"/>
    <x v="2"/>
  </r>
  <r>
    <x v="11"/>
    <x v="14"/>
    <x v="589"/>
    <x v="2"/>
  </r>
  <r>
    <x v="11"/>
    <x v="15"/>
    <x v="590"/>
    <x v="2"/>
  </r>
  <r>
    <x v="11"/>
    <x v="16"/>
    <x v="591"/>
    <x v="2"/>
  </r>
  <r>
    <x v="12"/>
    <x v="0"/>
    <x v="32"/>
    <x v="2"/>
  </r>
  <r>
    <x v="12"/>
    <x v="1"/>
    <x v="107"/>
    <x v="2"/>
  </r>
  <r>
    <x v="12"/>
    <x v="2"/>
    <x v="592"/>
    <x v="2"/>
  </r>
  <r>
    <x v="12"/>
    <x v="3"/>
    <x v="6"/>
    <x v="2"/>
  </r>
  <r>
    <x v="12"/>
    <x v="4"/>
    <x v="65"/>
    <x v="2"/>
  </r>
  <r>
    <x v="12"/>
    <x v="5"/>
    <x v="593"/>
    <x v="2"/>
  </r>
  <r>
    <x v="12"/>
    <x v="6"/>
    <x v="166"/>
    <x v="2"/>
  </r>
  <r>
    <x v="12"/>
    <x v="7"/>
    <x v="443"/>
    <x v="2"/>
  </r>
  <r>
    <x v="12"/>
    <x v="8"/>
    <x v="185"/>
    <x v="2"/>
  </r>
  <r>
    <x v="12"/>
    <x v="9"/>
    <x v="594"/>
    <x v="2"/>
  </r>
  <r>
    <x v="12"/>
    <x v="10"/>
    <x v="595"/>
    <x v="2"/>
  </r>
  <r>
    <x v="12"/>
    <x v="11"/>
    <x v="596"/>
    <x v="2"/>
  </r>
  <r>
    <x v="12"/>
    <x v="12"/>
    <x v="597"/>
    <x v="2"/>
  </r>
  <r>
    <x v="12"/>
    <x v="13"/>
    <x v="598"/>
    <x v="2"/>
  </r>
  <r>
    <x v="12"/>
    <x v="14"/>
    <x v="599"/>
    <x v="2"/>
  </r>
  <r>
    <x v="12"/>
    <x v="15"/>
    <x v="600"/>
    <x v="2"/>
  </r>
  <r>
    <x v="12"/>
    <x v="16"/>
    <x v="601"/>
    <x v="2"/>
  </r>
  <r>
    <x v="13"/>
    <x v="0"/>
    <x v="0"/>
    <x v="2"/>
  </r>
  <r>
    <x v="13"/>
    <x v="1"/>
    <x v="107"/>
    <x v="2"/>
  </r>
  <r>
    <x v="13"/>
    <x v="2"/>
    <x v="602"/>
    <x v="2"/>
  </r>
  <r>
    <x v="13"/>
    <x v="3"/>
    <x v="603"/>
    <x v="2"/>
  </r>
  <r>
    <x v="13"/>
    <x v="4"/>
    <x v="98"/>
    <x v="2"/>
  </r>
  <r>
    <x v="13"/>
    <x v="5"/>
    <x v="604"/>
    <x v="2"/>
  </r>
  <r>
    <x v="13"/>
    <x v="6"/>
    <x v="605"/>
    <x v="2"/>
  </r>
  <r>
    <x v="13"/>
    <x v="7"/>
    <x v="606"/>
    <x v="2"/>
  </r>
  <r>
    <x v="13"/>
    <x v="8"/>
    <x v="199"/>
    <x v="2"/>
  </r>
  <r>
    <x v="13"/>
    <x v="9"/>
    <x v="607"/>
    <x v="2"/>
  </r>
  <r>
    <x v="13"/>
    <x v="10"/>
    <x v="608"/>
    <x v="2"/>
  </r>
  <r>
    <x v="13"/>
    <x v="11"/>
    <x v="609"/>
    <x v="2"/>
  </r>
  <r>
    <x v="13"/>
    <x v="12"/>
    <x v="610"/>
    <x v="2"/>
  </r>
  <r>
    <x v="13"/>
    <x v="13"/>
    <x v="611"/>
    <x v="2"/>
  </r>
  <r>
    <x v="13"/>
    <x v="14"/>
    <x v="612"/>
    <x v="2"/>
  </r>
  <r>
    <x v="13"/>
    <x v="15"/>
    <x v="613"/>
    <x v="2"/>
  </r>
  <r>
    <x v="13"/>
    <x v="16"/>
    <x v="614"/>
    <x v="2"/>
  </r>
  <r>
    <x v="14"/>
    <x v="0"/>
    <x v="32"/>
    <x v="2"/>
  </r>
  <r>
    <x v="14"/>
    <x v="1"/>
    <x v="107"/>
    <x v="2"/>
  </r>
  <r>
    <x v="14"/>
    <x v="2"/>
    <x v="615"/>
    <x v="2"/>
  </r>
  <r>
    <x v="14"/>
    <x v="3"/>
    <x v="370"/>
    <x v="2"/>
  </r>
  <r>
    <x v="14"/>
    <x v="4"/>
    <x v="19"/>
    <x v="2"/>
  </r>
  <r>
    <x v="14"/>
    <x v="5"/>
    <x v="616"/>
    <x v="2"/>
  </r>
  <r>
    <x v="14"/>
    <x v="6"/>
    <x v="68"/>
    <x v="2"/>
  </r>
  <r>
    <x v="14"/>
    <x v="7"/>
    <x v="617"/>
    <x v="2"/>
  </r>
  <r>
    <x v="14"/>
    <x v="8"/>
    <x v="213"/>
    <x v="2"/>
  </r>
  <r>
    <x v="14"/>
    <x v="9"/>
    <x v="618"/>
    <x v="2"/>
  </r>
  <r>
    <x v="14"/>
    <x v="10"/>
    <x v="619"/>
    <x v="2"/>
  </r>
  <r>
    <x v="14"/>
    <x v="11"/>
    <x v="620"/>
    <x v="2"/>
  </r>
  <r>
    <x v="14"/>
    <x v="12"/>
    <x v="621"/>
    <x v="2"/>
  </r>
  <r>
    <x v="14"/>
    <x v="13"/>
    <x v="622"/>
    <x v="2"/>
  </r>
  <r>
    <x v="14"/>
    <x v="14"/>
    <x v="623"/>
    <x v="2"/>
  </r>
  <r>
    <x v="14"/>
    <x v="15"/>
    <x v="624"/>
    <x v="2"/>
  </r>
  <r>
    <x v="14"/>
    <x v="16"/>
    <x v="625"/>
    <x v="2"/>
  </r>
  <r>
    <x v="15"/>
    <x v="0"/>
    <x v="0"/>
    <x v="2"/>
  </r>
  <r>
    <x v="15"/>
    <x v="1"/>
    <x v="107"/>
    <x v="2"/>
  </r>
  <r>
    <x v="15"/>
    <x v="2"/>
    <x v="626"/>
    <x v="2"/>
  </r>
  <r>
    <x v="15"/>
    <x v="3"/>
    <x v="473"/>
    <x v="2"/>
  </r>
  <r>
    <x v="15"/>
    <x v="4"/>
    <x v="167"/>
    <x v="2"/>
  </r>
  <r>
    <x v="15"/>
    <x v="5"/>
    <x v="627"/>
    <x v="2"/>
  </r>
  <r>
    <x v="15"/>
    <x v="6"/>
    <x v="628"/>
    <x v="2"/>
  </r>
  <r>
    <x v="15"/>
    <x v="7"/>
    <x v="629"/>
    <x v="2"/>
  </r>
  <r>
    <x v="15"/>
    <x v="8"/>
    <x v="228"/>
    <x v="2"/>
  </r>
  <r>
    <x v="15"/>
    <x v="9"/>
    <x v="630"/>
    <x v="2"/>
  </r>
  <r>
    <x v="15"/>
    <x v="10"/>
    <x v="18"/>
    <x v="2"/>
  </r>
  <r>
    <x v="15"/>
    <x v="11"/>
    <x v="631"/>
    <x v="2"/>
  </r>
  <r>
    <x v="15"/>
    <x v="12"/>
    <x v="632"/>
    <x v="2"/>
  </r>
  <r>
    <x v="15"/>
    <x v="13"/>
    <x v="633"/>
    <x v="2"/>
  </r>
  <r>
    <x v="15"/>
    <x v="14"/>
    <x v="634"/>
    <x v="2"/>
  </r>
  <r>
    <x v="15"/>
    <x v="15"/>
    <x v="635"/>
    <x v="2"/>
  </r>
  <r>
    <x v="15"/>
    <x v="16"/>
    <x v="636"/>
    <x v="2"/>
  </r>
  <r>
    <x v="0"/>
    <x v="0"/>
    <x v="0"/>
    <x v="3"/>
  </r>
  <r>
    <x v="0"/>
    <x v="1"/>
    <x v="1"/>
    <x v="3"/>
  </r>
  <r>
    <x v="0"/>
    <x v="2"/>
    <x v="637"/>
    <x v="3"/>
  </r>
  <r>
    <x v="0"/>
    <x v="3"/>
    <x v="83"/>
    <x v="3"/>
  </r>
  <r>
    <x v="0"/>
    <x v="4"/>
    <x v="95"/>
    <x v="3"/>
  </r>
  <r>
    <x v="0"/>
    <x v="5"/>
    <x v="638"/>
    <x v="3"/>
  </r>
  <r>
    <x v="0"/>
    <x v="6"/>
    <x v="639"/>
    <x v="3"/>
  </r>
  <r>
    <x v="0"/>
    <x v="7"/>
    <x v="640"/>
    <x v="3"/>
  </r>
  <r>
    <x v="0"/>
    <x v="8"/>
    <x v="8"/>
    <x v="3"/>
  </r>
  <r>
    <x v="0"/>
    <x v="9"/>
    <x v="641"/>
    <x v="3"/>
  </r>
  <r>
    <x v="0"/>
    <x v="10"/>
    <x v="642"/>
    <x v="3"/>
  </r>
  <r>
    <x v="0"/>
    <x v="11"/>
    <x v="643"/>
    <x v="3"/>
  </r>
  <r>
    <x v="0"/>
    <x v="12"/>
    <x v="644"/>
    <x v="3"/>
  </r>
  <r>
    <x v="0"/>
    <x v="13"/>
    <x v="645"/>
    <x v="3"/>
  </r>
  <r>
    <x v="0"/>
    <x v="14"/>
    <x v="646"/>
    <x v="3"/>
  </r>
  <r>
    <x v="0"/>
    <x v="15"/>
    <x v="647"/>
    <x v="3"/>
  </r>
  <r>
    <x v="0"/>
    <x v="16"/>
    <x v="648"/>
    <x v="3"/>
  </r>
  <r>
    <x v="8"/>
    <x v="0"/>
    <x v="0"/>
    <x v="3"/>
  </r>
  <r>
    <x v="8"/>
    <x v="1"/>
    <x v="107"/>
    <x v="3"/>
  </r>
  <r>
    <x v="8"/>
    <x v="2"/>
    <x v="649"/>
    <x v="3"/>
  </r>
  <r>
    <x v="8"/>
    <x v="3"/>
    <x v="650"/>
    <x v="3"/>
  </r>
  <r>
    <x v="8"/>
    <x v="4"/>
    <x v="651"/>
    <x v="3"/>
  </r>
  <r>
    <x v="8"/>
    <x v="5"/>
    <x v="652"/>
    <x v="3"/>
  </r>
  <r>
    <x v="8"/>
    <x v="6"/>
    <x v="267"/>
    <x v="3"/>
  </r>
  <r>
    <x v="8"/>
    <x v="7"/>
    <x v="21"/>
    <x v="3"/>
  </r>
  <r>
    <x v="8"/>
    <x v="8"/>
    <x v="23"/>
    <x v="3"/>
  </r>
  <r>
    <x v="8"/>
    <x v="9"/>
    <x v="653"/>
    <x v="3"/>
  </r>
  <r>
    <x v="8"/>
    <x v="10"/>
    <x v="654"/>
    <x v="3"/>
  </r>
  <r>
    <x v="8"/>
    <x v="11"/>
    <x v="655"/>
    <x v="3"/>
  </r>
  <r>
    <x v="8"/>
    <x v="12"/>
    <x v="656"/>
    <x v="3"/>
  </r>
  <r>
    <x v="8"/>
    <x v="13"/>
    <x v="657"/>
    <x v="3"/>
  </r>
  <r>
    <x v="8"/>
    <x v="14"/>
    <x v="658"/>
    <x v="3"/>
  </r>
  <r>
    <x v="8"/>
    <x v="15"/>
    <x v="659"/>
    <x v="3"/>
  </r>
  <r>
    <x v="8"/>
    <x v="16"/>
    <x v="660"/>
    <x v="3"/>
  </r>
  <r>
    <x v="2"/>
    <x v="0"/>
    <x v="32"/>
    <x v="3"/>
  </r>
  <r>
    <x v="2"/>
    <x v="1"/>
    <x v="1"/>
    <x v="3"/>
  </r>
  <r>
    <x v="2"/>
    <x v="2"/>
    <x v="661"/>
    <x v="3"/>
  </r>
  <r>
    <x v="2"/>
    <x v="3"/>
    <x v="662"/>
    <x v="3"/>
  </r>
  <r>
    <x v="2"/>
    <x v="4"/>
    <x v="125"/>
    <x v="3"/>
  </r>
  <r>
    <x v="2"/>
    <x v="5"/>
    <x v="663"/>
    <x v="3"/>
  </r>
  <r>
    <x v="2"/>
    <x v="6"/>
    <x v="664"/>
    <x v="3"/>
  </r>
  <r>
    <x v="2"/>
    <x v="7"/>
    <x v="570"/>
    <x v="3"/>
  </r>
  <r>
    <x v="2"/>
    <x v="8"/>
    <x v="39"/>
    <x v="3"/>
  </r>
  <r>
    <x v="2"/>
    <x v="9"/>
    <x v="665"/>
    <x v="3"/>
  </r>
  <r>
    <x v="2"/>
    <x v="10"/>
    <x v="666"/>
    <x v="3"/>
  </r>
  <r>
    <x v="2"/>
    <x v="11"/>
    <x v="667"/>
    <x v="3"/>
  </r>
  <r>
    <x v="2"/>
    <x v="12"/>
    <x v="668"/>
    <x v="3"/>
  </r>
  <r>
    <x v="2"/>
    <x v="13"/>
    <x v="669"/>
    <x v="3"/>
  </r>
  <r>
    <x v="2"/>
    <x v="14"/>
    <x v="670"/>
    <x v="3"/>
  </r>
  <r>
    <x v="2"/>
    <x v="15"/>
    <x v="671"/>
    <x v="3"/>
  </r>
  <r>
    <x v="2"/>
    <x v="16"/>
    <x v="672"/>
    <x v="3"/>
  </r>
  <r>
    <x v="3"/>
    <x v="0"/>
    <x v="32"/>
    <x v="3"/>
  </r>
  <r>
    <x v="3"/>
    <x v="1"/>
    <x v="1"/>
    <x v="3"/>
  </r>
  <r>
    <x v="3"/>
    <x v="2"/>
    <x v="673"/>
    <x v="3"/>
  </r>
  <r>
    <x v="3"/>
    <x v="3"/>
    <x v="674"/>
    <x v="3"/>
  </r>
  <r>
    <x v="3"/>
    <x v="4"/>
    <x v="167"/>
    <x v="3"/>
  </r>
  <r>
    <x v="3"/>
    <x v="5"/>
    <x v="675"/>
    <x v="3"/>
  </r>
  <r>
    <x v="3"/>
    <x v="6"/>
    <x v="676"/>
    <x v="3"/>
  </r>
  <r>
    <x v="3"/>
    <x v="7"/>
    <x v="6"/>
    <x v="3"/>
  </r>
  <r>
    <x v="3"/>
    <x v="8"/>
    <x v="54"/>
    <x v="3"/>
  </r>
  <r>
    <x v="3"/>
    <x v="9"/>
    <x v="677"/>
    <x v="3"/>
  </r>
  <r>
    <x v="3"/>
    <x v="10"/>
    <x v="678"/>
    <x v="3"/>
  </r>
  <r>
    <x v="3"/>
    <x v="11"/>
    <x v="449"/>
    <x v="3"/>
  </r>
  <r>
    <x v="3"/>
    <x v="12"/>
    <x v="679"/>
    <x v="3"/>
  </r>
  <r>
    <x v="3"/>
    <x v="13"/>
    <x v="680"/>
    <x v="3"/>
  </r>
  <r>
    <x v="3"/>
    <x v="14"/>
    <x v="681"/>
    <x v="3"/>
  </r>
  <r>
    <x v="3"/>
    <x v="15"/>
    <x v="682"/>
    <x v="3"/>
  </r>
  <r>
    <x v="3"/>
    <x v="16"/>
    <x v="683"/>
    <x v="3"/>
  </r>
  <r>
    <x v="4"/>
    <x v="0"/>
    <x v="0"/>
    <x v="3"/>
  </r>
  <r>
    <x v="4"/>
    <x v="1"/>
    <x v="1"/>
    <x v="3"/>
  </r>
  <r>
    <x v="4"/>
    <x v="2"/>
    <x v="684"/>
    <x v="3"/>
  </r>
  <r>
    <x v="4"/>
    <x v="3"/>
    <x v="685"/>
    <x v="3"/>
  </r>
  <r>
    <x v="4"/>
    <x v="4"/>
    <x v="195"/>
    <x v="3"/>
  </r>
  <r>
    <x v="4"/>
    <x v="5"/>
    <x v="139"/>
    <x v="3"/>
  </r>
  <r>
    <x v="4"/>
    <x v="6"/>
    <x v="686"/>
    <x v="3"/>
  </r>
  <r>
    <x v="4"/>
    <x v="7"/>
    <x v="35"/>
    <x v="3"/>
  </r>
  <r>
    <x v="4"/>
    <x v="8"/>
    <x v="69"/>
    <x v="3"/>
  </r>
  <r>
    <x v="4"/>
    <x v="9"/>
    <x v="687"/>
    <x v="3"/>
  </r>
  <r>
    <x v="4"/>
    <x v="10"/>
    <x v="688"/>
    <x v="3"/>
  </r>
  <r>
    <x v="4"/>
    <x v="11"/>
    <x v="689"/>
    <x v="3"/>
  </r>
  <r>
    <x v="4"/>
    <x v="12"/>
    <x v="380"/>
    <x v="3"/>
  </r>
  <r>
    <x v="4"/>
    <x v="13"/>
    <x v="690"/>
    <x v="3"/>
  </r>
  <r>
    <x v="4"/>
    <x v="14"/>
    <x v="691"/>
    <x v="3"/>
  </r>
  <r>
    <x v="4"/>
    <x v="15"/>
    <x v="692"/>
    <x v="3"/>
  </r>
  <r>
    <x v="4"/>
    <x v="16"/>
    <x v="693"/>
    <x v="3"/>
  </r>
  <r>
    <x v="5"/>
    <x v="0"/>
    <x v="0"/>
    <x v="3"/>
  </r>
  <r>
    <x v="5"/>
    <x v="1"/>
    <x v="1"/>
    <x v="3"/>
  </r>
  <r>
    <x v="5"/>
    <x v="2"/>
    <x v="694"/>
    <x v="3"/>
  </r>
  <r>
    <x v="5"/>
    <x v="3"/>
    <x v="695"/>
    <x v="3"/>
  </r>
  <r>
    <x v="5"/>
    <x v="4"/>
    <x v="98"/>
    <x v="3"/>
  </r>
  <r>
    <x v="5"/>
    <x v="5"/>
    <x v="696"/>
    <x v="3"/>
  </r>
  <r>
    <x v="5"/>
    <x v="6"/>
    <x v="697"/>
    <x v="3"/>
  </r>
  <r>
    <x v="5"/>
    <x v="7"/>
    <x v="471"/>
    <x v="3"/>
  </r>
  <r>
    <x v="5"/>
    <x v="8"/>
    <x v="84"/>
    <x v="3"/>
  </r>
  <r>
    <x v="5"/>
    <x v="9"/>
    <x v="698"/>
    <x v="3"/>
  </r>
  <r>
    <x v="5"/>
    <x v="10"/>
    <x v="699"/>
    <x v="3"/>
  </r>
  <r>
    <x v="5"/>
    <x v="11"/>
    <x v="700"/>
    <x v="3"/>
  </r>
  <r>
    <x v="5"/>
    <x v="12"/>
    <x v="701"/>
    <x v="3"/>
  </r>
  <r>
    <x v="5"/>
    <x v="13"/>
    <x v="702"/>
    <x v="3"/>
  </r>
  <r>
    <x v="5"/>
    <x v="14"/>
    <x v="703"/>
    <x v="3"/>
  </r>
  <r>
    <x v="5"/>
    <x v="15"/>
    <x v="704"/>
    <x v="3"/>
  </r>
  <r>
    <x v="5"/>
    <x v="16"/>
    <x v="705"/>
    <x v="3"/>
  </r>
  <r>
    <x v="6"/>
    <x v="0"/>
    <x v="32"/>
    <x v="3"/>
  </r>
  <r>
    <x v="6"/>
    <x v="1"/>
    <x v="1"/>
    <x v="3"/>
  </r>
  <r>
    <x v="6"/>
    <x v="2"/>
    <x v="602"/>
    <x v="3"/>
  </r>
  <r>
    <x v="6"/>
    <x v="3"/>
    <x v="79"/>
    <x v="3"/>
  </r>
  <r>
    <x v="6"/>
    <x v="4"/>
    <x v="95"/>
    <x v="3"/>
  </r>
  <r>
    <x v="6"/>
    <x v="5"/>
    <x v="706"/>
    <x v="3"/>
  </r>
  <r>
    <x v="6"/>
    <x v="6"/>
    <x v="707"/>
    <x v="3"/>
  </r>
  <r>
    <x v="6"/>
    <x v="7"/>
    <x v="82"/>
    <x v="3"/>
  </r>
  <r>
    <x v="6"/>
    <x v="8"/>
    <x v="98"/>
    <x v="3"/>
  </r>
  <r>
    <x v="6"/>
    <x v="9"/>
    <x v="708"/>
    <x v="3"/>
  </r>
  <r>
    <x v="6"/>
    <x v="10"/>
    <x v="709"/>
    <x v="3"/>
  </r>
  <r>
    <x v="6"/>
    <x v="11"/>
    <x v="710"/>
    <x v="3"/>
  </r>
  <r>
    <x v="6"/>
    <x v="12"/>
    <x v="711"/>
    <x v="3"/>
  </r>
  <r>
    <x v="6"/>
    <x v="13"/>
    <x v="712"/>
    <x v="3"/>
  </r>
  <r>
    <x v="6"/>
    <x v="14"/>
    <x v="691"/>
    <x v="3"/>
  </r>
  <r>
    <x v="6"/>
    <x v="15"/>
    <x v="713"/>
    <x v="3"/>
  </r>
  <r>
    <x v="6"/>
    <x v="16"/>
    <x v="714"/>
    <x v="3"/>
  </r>
  <r>
    <x v="1"/>
    <x v="0"/>
    <x v="0"/>
    <x v="3"/>
  </r>
  <r>
    <x v="1"/>
    <x v="1"/>
    <x v="1"/>
    <x v="3"/>
  </r>
  <r>
    <x v="1"/>
    <x v="2"/>
    <x v="715"/>
    <x v="3"/>
  </r>
  <r>
    <x v="1"/>
    <x v="3"/>
    <x v="292"/>
    <x v="3"/>
  </r>
  <r>
    <x v="1"/>
    <x v="4"/>
    <x v="304"/>
    <x v="3"/>
  </r>
  <r>
    <x v="1"/>
    <x v="5"/>
    <x v="716"/>
    <x v="3"/>
  </r>
  <r>
    <x v="1"/>
    <x v="6"/>
    <x v="570"/>
    <x v="3"/>
  </r>
  <r>
    <x v="1"/>
    <x v="7"/>
    <x v="555"/>
    <x v="3"/>
  </r>
  <r>
    <x v="1"/>
    <x v="8"/>
    <x v="114"/>
    <x v="3"/>
  </r>
  <r>
    <x v="1"/>
    <x v="9"/>
    <x v="717"/>
    <x v="3"/>
  </r>
  <r>
    <x v="1"/>
    <x v="10"/>
    <x v="718"/>
    <x v="3"/>
  </r>
  <r>
    <x v="1"/>
    <x v="11"/>
    <x v="586"/>
    <x v="3"/>
  </r>
  <r>
    <x v="1"/>
    <x v="12"/>
    <x v="719"/>
    <x v="3"/>
  </r>
  <r>
    <x v="1"/>
    <x v="13"/>
    <x v="720"/>
    <x v="3"/>
  </r>
  <r>
    <x v="1"/>
    <x v="14"/>
    <x v="721"/>
    <x v="3"/>
  </r>
  <r>
    <x v="1"/>
    <x v="15"/>
    <x v="722"/>
    <x v="3"/>
  </r>
  <r>
    <x v="1"/>
    <x v="16"/>
    <x v="723"/>
    <x v="3"/>
  </r>
  <r>
    <x v="9"/>
    <x v="0"/>
    <x v="0"/>
    <x v="3"/>
  </r>
  <r>
    <x v="9"/>
    <x v="1"/>
    <x v="107"/>
    <x v="3"/>
  </r>
  <r>
    <x v="9"/>
    <x v="2"/>
    <x v="724"/>
    <x v="3"/>
  </r>
  <r>
    <x v="9"/>
    <x v="3"/>
    <x v="184"/>
    <x v="3"/>
  </r>
  <r>
    <x v="9"/>
    <x v="4"/>
    <x v="195"/>
    <x v="3"/>
  </r>
  <r>
    <x v="9"/>
    <x v="5"/>
    <x v="725"/>
    <x v="3"/>
  </r>
  <r>
    <x v="9"/>
    <x v="6"/>
    <x v="726"/>
    <x v="3"/>
  </r>
  <r>
    <x v="9"/>
    <x v="7"/>
    <x v="557"/>
    <x v="3"/>
  </r>
  <r>
    <x v="9"/>
    <x v="8"/>
    <x v="129"/>
    <x v="3"/>
  </r>
  <r>
    <x v="9"/>
    <x v="9"/>
    <x v="727"/>
    <x v="3"/>
  </r>
  <r>
    <x v="9"/>
    <x v="10"/>
    <x v="728"/>
    <x v="3"/>
  </r>
  <r>
    <x v="9"/>
    <x v="11"/>
    <x v="729"/>
    <x v="3"/>
  </r>
  <r>
    <x v="9"/>
    <x v="12"/>
    <x v="730"/>
    <x v="3"/>
  </r>
  <r>
    <x v="9"/>
    <x v="13"/>
    <x v="731"/>
    <x v="3"/>
  </r>
  <r>
    <x v="9"/>
    <x v="14"/>
    <x v="732"/>
    <x v="3"/>
  </r>
  <r>
    <x v="9"/>
    <x v="15"/>
    <x v="733"/>
    <x v="3"/>
  </r>
  <r>
    <x v="9"/>
    <x v="16"/>
    <x v="734"/>
    <x v="3"/>
  </r>
  <r>
    <x v="13"/>
    <x v="0"/>
    <x v="0"/>
    <x v="3"/>
  </r>
  <r>
    <x v="13"/>
    <x v="1"/>
    <x v="107"/>
    <x v="3"/>
  </r>
  <r>
    <x v="13"/>
    <x v="2"/>
    <x v="735"/>
    <x v="3"/>
  </r>
  <r>
    <x v="13"/>
    <x v="3"/>
    <x v="605"/>
    <x v="3"/>
  </r>
  <r>
    <x v="13"/>
    <x v="4"/>
    <x v="736"/>
    <x v="3"/>
  </r>
  <r>
    <x v="13"/>
    <x v="5"/>
    <x v="737"/>
    <x v="3"/>
  </r>
  <r>
    <x v="13"/>
    <x v="6"/>
    <x v="738"/>
    <x v="3"/>
  </r>
  <r>
    <x v="13"/>
    <x v="7"/>
    <x v="739"/>
    <x v="3"/>
  </r>
  <r>
    <x v="13"/>
    <x v="8"/>
    <x v="142"/>
    <x v="3"/>
  </r>
  <r>
    <x v="13"/>
    <x v="9"/>
    <x v="740"/>
    <x v="3"/>
  </r>
  <r>
    <x v="13"/>
    <x v="10"/>
    <x v="741"/>
    <x v="3"/>
  </r>
  <r>
    <x v="13"/>
    <x v="11"/>
    <x v="742"/>
    <x v="3"/>
  </r>
  <r>
    <x v="13"/>
    <x v="12"/>
    <x v="743"/>
    <x v="3"/>
  </r>
  <r>
    <x v="13"/>
    <x v="13"/>
    <x v="744"/>
    <x v="3"/>
  </r>
  <r>
    <x v="13"/>
    <x v="14"/>
    <x v="745"/>
    <x v="3"/>
  </r>
  <r>
    <x v="13"/>
    <x v="15"/>
    <x v="746"/>
    <x v="3"/>
  </r>
  <r>
    <x v="13"/>
    <x v="16"/>
    <x v="747"/>
    <x v="3"/>
  </r>
  <r>
    <x v="10"/>
    <x v="0"/>
    <x v="0"/>
    <x v="3"/>
  </r>
  <r>
    <x v="10"/>
    <x v="1"/>
    <x v="107"/>
    <x v="3"/>
  </r>
  <r>
    <x v="10"/>
    <x v="2"/>
    <x v="429"/>
    <x v="3"/>
  </r>
  <r>
    <x v="10"/>
    <x v="3"/>
    <x v="748"/>
    <x v="3"/>
  </r>
  <r>
    <x v="10"/>
    <x v="4"/>
    <x v="65"/>
    <x v="3"/>
  </r>
  <r>
    <x v="10"/>
    <x v="5"/>
    <x v="749"/>
    <x v="3"/>
  </r>
  <r>
    <x v="10"/>
    <x v="6"/>
    <x v="750"/>
    <x v="3"/>
  </r>
  <r>
    <x v="10"/>
    <x v="7"/>
    <x v="267"/>
    <x v="3"/>
  </r>
  <r>
    <x v="10"/>
    <x v="8"/>
    <x v="156"/>
    <x v="3"/>
  </r>
  <r>
    <x v="10"/>
    <x v="9"/>
    <x v="751"/>
    <x v="3"/>
  </r>
  <r>
    <x v="10"/>
    <x v="10"/>
    <x v="752"/>
    <x v="3"/>
  </r>
  <r>
    <x v="10"/>
    <x v="11"/>
    <x v="753"/>
    <x v="3"/>
  </r>
  <r>
    <x v="10"/>
    <x v="12"/>
    <x v="754"/>
    <x v="3"/>
  </r>
  <r>
    <x v="10"/>
    <x v="13"/>
    <x v="755"/>
    <x v="3"/>
  </r>
  <r>
    <x v="10"/>
    <x v="14"/>
    <x v="756"/>
    <x v="3"/>
  </r>
  <r>
    <x v="10"/>
    <x v="15"/>
    <x v="757"/>
    <x v="3"/>
  </r>
  <r>
    <x v="10"/>
    <x v="16"/>
    <x v="758"/>
    <x v="3"/>
  </r>
  <r>
    <x v="11"/>
    <x v="0"/>
    <x v="32"/>
    <x v="3"/>
  </r>
  <r>
    <x v="11"/>
    <x v="1"/>
    <x v="107"/>
    <x v="3"/>
  </r>
  <r>
    <x v="11"/>
    <x v="2"/>
    <x v="759"/>
    <x v="3"/>
  </r>
  <r>
    <x v="11"/>
    <x v="3"/>
    <x v="760"/>
    <x v="3"/>
  </r>
  <r>
    <x v="11"/>
    <x v="4"/>
    <x v="761"/>
    <x v="3"/>
  </r>
  <r>
    <x v="11"/>
    <x v="5"/>
    <x v="762"/>
    <x v="3"/>
  </r>
  <r>
    <x v="11"/>
    <x v="6"/>
    <x v="97"/>
    <x v="3"/>
  </r>
  <r>
    <x v="11"/>
    <x v="7"/>
    <x v="763"/>
    <x v="3"/>
  </r>
  <r>
    <x v="11"/>
    <x v="8"/>
    <x v="171"/>
    <x v="3"/>
  </r>
  <r>
    <x v="11"/>
    <x v="9"/>
    <x v="764"/>
    <x v="3"/>
  </r>
  <r>
    <x v="11"/>
    <x v="10"/>
    <x v="765"/>
    <x v="3"/>
  </r>
  <r>
    <x v="11"/>
    <x v="11"/>
    <x v="766"/>
    <x v="3"/>
  </r>
  <r>
    <x v="11"/>
    <x v="12"/>
    <x v="412"/>
    <x v="3"/>
  </r>
  <r>
    <x v="11"/>
    <x v="13"/>
    <x v="767"/>
    <x v="3"/>
  </r>
  <r>
    <x v="11"/>
    <x v="14"/>
    <x v="768"/>
    <x v="3"/>
  </r>
  <r>
    <x v="11"/>
    <x v="15"/>
    <x v="769"/>
    <x v="3"/>
  </r>
  <r>
    <x v="11"/>
    <x v="16"/>
    <x v="770"/>
    <x v="3"/>
  </r>
  <r>
    <x v="12"/>
    <x v="0"/>
    <x v="32"/>
    <x v="3"/>
  </r>
  <r>
    <x v="12"/>
    <x v="1"/>
    <x v="107"/>
    <x v="3"/>
  </r>
  <r>
    <x v="12"/>
    <x v="2"/>
    <x v="771"/>
    <x v="3"/>
  </r>
  <r>
    <x v="12"/>
    <x v="3"/>
    <x v="772"/>
    <x v="3"/>
  </r>
  <r>
    <x v="12"/>
    <x v="4"/>
    <x v="95"/>
    <x v="3"/>
  </r>
  <r>
    <x v="12"/>
    <x v="5"/>
    <x v="773"/>
    <x v="3"/>
  </r>
  <r>
    <x v="12"/>
    <x v="6"/>
    <x v="774"/>
    <x v="3"/>
  </r>
  <r>
    <x v="12"/>
    <x v="7"/>
    <x v="775"/>
    <x v="3"/>
  </r>
  <r>
    <x v="12"/>
    <x v="8"/>
    <x v="185"/>
    <x v="3"/>
  </r>
  <r>
    <x v="12"/>
    <x v="9"/>
    <x v="776"/>
    <x v="3"/>
  </r>
  <r>
    <x v="12"/>
    <x v="10"/>
    <x v="777"/>
    <x v="3"/>
  </r>
  <r>
    <x v="12"/>
    <x v="11"/>
    <x v="778"/>
    <x v="3"/>
  </r>
  <r>
    <x v="12"/>
    <x v="12"/>
    <x v="779"/>
    <x v="3"/>
  </r>
  <r>
    <x v="12"/>
    <x v="13"/>
    <x v="780"/>
    <x v="3"/>
  </r>
  <r>
    <x v="12"/>
    <x v="14"/>
    <x v="781"/>
    <x v="3"/>
  </r>
  <r>
    <x v="12"/>
    <x v="15"/>
    <x v="782"/>
    <x v="3"/>
  </r>
  <r>
    <x v="12"/>
    <x v="16"/>
    <x v="783"/>
    <x v="3"/>
  </r>
  <r>
    <x v="7"/>
    <x v="0"/>
    <x v="32"/>
    <x v="3"/>
  </r>
  <r>
    <x v="7"/>
    <x v="1"/>
    <x v="107"/>
    <x v="3"/>
  </r>
  <r>
    <x v="7"/>
    <x v="2"/>
    <x v="784"/>
    <x v="3"/>
  </r>
  <r>
    <x v="7"/>
    <x v="3"/>
    <x v="3"/>
    <x v="3"/>
  </r>
  <r>
    <x v="7"/>
    <x v="4"/>
    <x v="239"/>
    <x v="3"/>
  </r>
  <r>
    <x v="7"/>
    <x v="5"/>
    <x v="126"/>
    <x v="3"/>
  </r>
  <r>
    <x v="7"/>
    <x v="6"/>
    <x v="707"/>
    <x v="3"/>
  </r>
  <r>
    <x v="7"/>
    <x v="7"/>
    <x v="785"/>
    <x v="3"/>
  </r>
  <r>
    <x v="7"/>
    <x v="8"/>
    <x v="199"/>
    <x v="3"/>
  </r>
  <r>
    <x v="7"/>
    <x v="9"/>
    <x v="786"/>
    <x v="3"/>
  </r>
  <r>
    <x v="7"/>
    <x v="10"/>
    <x v="787"/>
    <x v="3"/>
  </r>
  <r>
    <x v="7"/>
    <x v="11"/>
    <x v="788"/>
    <x v="3"/>
  </r>
  <r>
    <x v="7"/>
    <x v="12"/>
    <x v="789"/>
    <x v="3"/>
  </r>
  <r>
    <x v="7"/>
    <x v="13"/>
    <x v="790"/>
    <x v="3"/>
  </r>
  <r>
    <x v="7"/>
    <x v="14"/>
    <x v="791"/>
    <x v="3"/>
  </r>
  <r>
    <x v="7"/>
    <x v="15"/>
    <x v="792"/>
    <x v="3"/>
  </r>
  <r>
    <x v="7"/>
    <x v="16"/>
    <x v="793"/>
    <x v="3"/>
  </r>
  <r>
    <x v="14"/>
    <x v="0"/>
    <x v="32"/>
    <x v="3"/>
  </r>
  <r>
    <x v="14"/>
    <x v="1"/>
    <x v="107"/>
    <x v="3"/>
  </r>
  <r>
    <x v="14"/>
    <x v="2"/>
    <x v="794"/>
    <x v="3"/>
  </r>
  <r>
    <x v="14"/>
    <x v="3"/>
    <x v="795"/>
    <x v="3"/>
  </r>
  <r>
    <x v="14"/>
    <x v="4"/>
    <x v="167"/>
    <x v="3"/>
  </r>
  <r>
    <x v="14"/>
    <x v="5"/>
    <x v="796"/>
    <x v="3"/>
  </r>
  <r>
    <x v="14"/>
    <x v="6"/>
    <x v="67"/>
    <x v="3"/>
  </r>
  <r>
    <x v="14"/>
    <x v="7"/>
    <x v="797"/>
    <x v="3"/>
  </r>
  <r>
    <x v="14"/>
    <x v="8"/>
    <x v="213"/>
    <x v="3"/>
  </r>
  <r>
    <x v="14"/>
    <x v="9"/>
    <x v="798"/>
    <x v="3"/>
  </r>
  <r>
    <x v="14"/>
    <x v="10"/>
    <x v="799"/>
    <x v="3"/>
  </r>
  <r>
    <x v="14"/>
    <x v="11"/>
    <x v="800"/>
    <x v="3"/>
  </r>
  <r>
    <x v="14"/>
    <x v="12"/>
    <x v="801"/>
    <x v="3"/>
  </r>
  <r>
    <x v="14"/>
    <x v="13"/>
    <x v="802"/>
    <x v="3"/>
  </r>
  <r>
    <x v="14"/>
    <x v="14"/>
    <x v="803"/>
    <x v="3"/>
  </r>
  <r>
    <x v="14"/>
    <x v="15"/>
    <x v="804"/>
    <x v="3"/>
  </r>
  <r>
    <x v="14"/>
    <x v="16"/>
    <x v="805"/>
    <x v="3"/>
  </r>
  <r>
    <x v="15"/>
    <x v="0"/>
    <x v="0"/>
    <x v="3"/>
  </r>
  <r>
    <x v="15"/>
    <x v="1"/>
    <x v="107"/>
    <x v="3"/>
  </r>
  <r>
    <x v="15"/>
    <x v="2"/>
    <x v="806"/>
    <x v="3"/>
  </r>
  <r>
    <x v="15"/>
    <x v="3"/>
    <x v="807"/>
    <x v="3"/>
  </r>
  <r>
    <x v="15"/>
    <x v="4"/>
    <x v="80"/>
    <x v="3"/>
  </r>
  <r>
    <x v="15"/>
    <x v="5"/>
    <x v="808"/>
    <x v="3"/>
  </r>
  <r>
    <x v="15"/>
    <x v="6"/>
    <x v="291"/>
    <x v="3"/>
  </r>
  <r>
    <x v="15"/>
    <x v="7"/>
    <x v="809"/>
    <x v="3"/>
  </r>
  <r>
    <x v="15"/>
    <x v="8"/>
    <x v="228"/>
    <x v="3"/>
  </r>
  <r>
    <x v="15"/>
    <x v="9"/>
    <x v="810"/>
    <x v="3"/>
  </r>
  <r>
    <x v="15"/>
    <x v="10"/>
    <x v="811"/>
    <x v="3"/>
  </r>
  <r>
    <x v="15"/>
    <x v="11"/>
    <x v="812"/>
    <x v="3"/>
  </r>
  <r>
    <x v="15"/>
    <x v="12"/>
    <x v="813"/>
    <x v="3"/>
  </r>
  <r>
    <x v="15"/>
    <x v="13"/>
    <x v="814"/>
    <x v="3"/>
  </r>
  <r>
    <x v="15"/>
    <x v="14"/>
    <x v="815"/>
    <x v="3"/>
  </r>
  <r>
    <x v="15"/>
    <x v="15"/>
    <x v="816"/>
    <x v="3"/>
  </r>
  <r>
    <x v="15"/>
    <x v="16"/>
    <x v="817"/>
    <x v="3"/>
  </r>
  <r>
    <x v="0"/>
    <x v="0"/>
    <x v="0"/>
    <x v="4"/>
  </r>
  <r>
    <x v="0"/>
    <x v="1"/>
    <x v="1"/>
    <x v="4"/>
  </r>
  <r>
    <x v="0"/>
    <x v="2"/>
    <x v="818"/>
    <x v="4"/>
  </r>
  <r>
    <x v="0"/>
    <x v="3"/>
    <x v="819"/>
    <x v="4"/>
  </r>
  <r>
    <x v="0"/>
    <x v="4"/>
    <x v="35"/>
    <x v="4"/>
  </r>
  <r>
    <x v="0"/>
    <x v="5"/>
    <x v="820"/>
    <x v="4"/>
  </r>
  <r>
    <x v="0"/>
    <x v="6"/>
    <x v="821"/>
    <x v="4"/>
  </r>
  <r>
    <x v="0"/>
    <x v="7"/>
    <x v="291"/>
    <x v="4"/>
  </r>
  <r>
    <x v="0"/>
    <x v="8"/>
    <x v="8"/>
    <x v="4"/>
  </r>
  <r>
    <x v="0"/>
    <x v="9"/>
    <x v="822"/>
    <x v="4"/>
  </r>
  <r>
    <x v="0"/>
    <x v="10"/>
    <x v="823"/>
    <x v="4"/>
  </r>
  <r>
    <x v="0"/>
    <x v="11"/>
    <x v="824"/>
    <x v="4"/>
  </r>
  <r>
    <x v="0"/>
    <x v="12"/>
    <x v="825"/>
    <x v="4"/>
  </r>
  <r>
    <x v="0"/>
    <x v="13"/>
    <x v="826"/>
    <x v="4"/>
  </r>
  <r>
    <x v="0"/>
    <x v="14"/>
    <x v="827"/>
    <x v="4"/>
  </r>
  <r>
    <x v="0"/>
    <x v="15"/>
    <x v="828"/>
    <x v="4"/>
  </r>
  <r>
    <x v="0"/>
    <x v="16"/>
    <x v="829"/>
    <x v="4"/>
  </r>
  <r>
    <x v="8"/>
    <x v="0"/>
    <x v="0"/>
    <x v="4"/>
  </r>
  <r>
    <x v="8"/>
    <x v="1"/>
    <x v="107"/>
    <x v="4"/>
  </r>
  <r>
    <x v="8"/>
    <x v="2"/>
    <x v="830"/>
    <x v="4"/>
  </r>
  <r>
    <x v="8"/>
    <x v="3"/>
    <x v="831"/>
    <x v="4"/>
  </r>
  <r>
    <x v="8"/>
    <x v="4"/>
    <x v="292"/>
    <x v="4"/>
  </r>
  <r>
    <x v="8"/>
    <x v="5"/>
    <x v="832"/>
    <x v="4"/>
  </r>
  <r>
    <x v="8"/>
    <x v="6"/>
    <x v="833"/>
    <x v="4"/>
  </r>
  <r>
    <x v="8"/>
    <x v="7"/>
    <x v="834"/>
    <x v="4"/>
  </r>
  <r>
    <x v="8"/>
    <x v="8"/>
    <x v="23"/>
    <x v="4"/>
  </r>
  <r>
    <x v="8"/>
    <x v="9"/>
    <x v="329"/>
    <x v="4"/>
  </r>
  <r>
    <x v="8"/>
    <x v="10"/>
    <x v="835"/>
    <x v="4"/>
  </r>
  <r>
    <x v="8"/>
    <x v="11"/>
    <x v="836"/>
    <x v="4"/>
  </r>
  <r>
    <x v="8"/>
    <x v="12"/>
    <x v="837"/>
    <x v="4"/>
  </r>
  <r>
    <x v="8"/>
    <x v="13"/>
    <x v="838"/>
    <x v="4"/>
  </r>
  <r>
    <x v="8"/>
    <x v="14"/>
    <x v="839"/>
    <x v="4"/>
  </r>
  <r>
    <x v="8"/>
    <x v="15"/>
    <x v="840"/>
    <x v="4"/>
  </r>
  <r>
    <x v="8"/>
    <x v="16"/>
    <x v="841"/>
    <x v="4"/>
  </r>
  <r>
    <x v="2"/>
    <x v="0"/>
    <x v="32"/>
    <x v="4"/>
  </r>
  <r>
    <x v="2"/>
    <x v="1"/>
    <x v="1"/>
    <x v="4"/>
  </r>
  <r>
    <x v="2"/>
    <x v="2"/>
    <x v="842"/>
    <x v="4"/>
  </r>
  <r>
    <x v="2"/>
    <x v="3"/>
    <x v="197"/>
    <x v="4"/>
  </r>
  <r>
    <x v="2"/>
    <x v="4"/>
    <x v="19"/>
    <x v="4"/>
  </r>
  <r>
    <x v="2"/>
    <x v="5"/>
    <x v="153"/>
    <x v="4"/>
  </r>
  <r>
    <x v="2"/>
    <x v="6"/>
    <x v="843"/>
    <x v="4"/>
  </r>
  <r>
    <x v="2"/>
    <x v="7"/>
    <x v="686"/>
    <x v="4"/>
  </r>
  <r>
    <x v="2"/>
    <x v="8"/>
    <x v="39"/>
    <x v="4"/>
  </r>
  <r>
    <x v="2"/>
    <x v="9"/>
    <x v="844"/>
    <x v="4"/>
  </r>
  <r>
    <x v="2"/>
    <x v="10"/>
    <x v="845"/>
    <x v="4"/>
  </r>
  <r>
    <x v="2"/>
    <x v="11"/>
    <x v="846"/>
    <x v="4"/>
  </r>
  <r>
    <x v="2"/>
    <x v="12"/>
    <x v="847"/>
    <x v="4"/>
  </r>
  <r>
    <x v="2"/>
    <x v="13"/>
    <x v="848"/>
    <x v="4"/>
  </r>
  <r>
    <x v="2"/>
    <x v="14"/>
    <x v="849"/>
    <x v="4"/>
  </r>
  <r>
    <x v="2"/>
    <x v="15"/>
    <x v="850"/>
    <x v="4"/>
  </r>
  <r>
    <x v="2"/>
    <x v="16"/>
    <x v="851"/>
    <x v="4"/>
  </r>
  <r>
    <x v="3"/>
    <x v="0"/>
    <x v="32"/>
    <x v="4"/>
  </r>
  <r>
    <x v="3"/>
    <x v="1"/>
    <x v="1"/>
    <x v="4"/>
  </r>
  <r>
    <x v="3"/>
    <x v="2"/>
    <x v="852"/>
    <x v="4"/>
  </r>
  <r>
    <x v="3"/>
    <x v="3"/>
    <x v="853"/>
    <x v="4"/>
  </r>
  <r>
    <x v="3"/>
    <x v="4"/>
    <x v="50"/>
    <x v="4"/>
  </r>
  <r>
    <x v="3"/>
    <x v="5"/>
    <x v="854"/>
    <x v="4"/>
  </r>
  <r>
    <x v="3"/>
    <x v="6"/>
    <x v="855"/>
    <x v="4"/>
  </r>
  <r>
    <x v="3"/>
    <x v="7"/>
    <x v="856"/>
    <x v="4"/>
  </r>
  <r>
    <x v="3"/>
    <x v="8"/>
    <x v="54"/>
    <x v="4"/>
  </r>
  <r>
    <x v="3"/>
    <x v="9"/>
    <x v="857"/>
    <x v="4"/>
  </r>
  <r>
    <x v="3"/>
    <x v="10"/>
    <x v="858"/>
    <x v="4"/>
  </r>
  <r>
    <x v="3"/>
    <x v="11"/>
    <x v="859"/>
    <x v="4"/>
  </r>
  <r>
    <x v="3"/>
    <x v="12"/>
    <x v="860"/>
    <x v="4"/>
  </r>
  <r>
    <x v="3"/>
    <x v="13"/>
    <x v="861"/>
    <x v="4"/>
  </r>
  <r>
    <x v="3"/>
    <x v="14"/>
    <x v="862"/>
    <x v="4"/>
  </r>
  <r>
    <x v="3"/>
    <x v="15"/>
    <x v="863"/>
    <x v="4"/>
  </r>
  <r>
    <x v="3"/>
    <x v="16"/>
    <x v="864"/>
    <x v="4"/>
  </r>
  <r>
    <x v="4"/>
    <x v="0"/>
    <x v="0"/>
    <x v="4"/>
  </r>
  <r>
    <x v="4"/>
    <x v="1"/>
    <x v="1"/>
    <x v="4"/>
  </r>
  <r>
    <x v="4"/>
    <x v="2"/>
    <x v="865"/>
    <x v="4"/>
  </r>
  <r>
    <x v="4"/>
    <x v="3"/>
    <x v="332"/>
    <x v="4"/>
  </r>
  <r>
    <x v="4"/>
    <x v="4"/>
    <x v="195"/>
    <x v="4"/>
  </r>
  <r>
    <x v="4"/>
    <x v="5"/>
    <x v="593"/>
    <x v="4"/>
  </r>
  <r>
    <x v="4"/>
    <x v="6"/>
    <x v="866"/>
    <x v="4"/>
  </r>
  <r>
    <x v="4"/>
    <x v="7"/>
    <x v="867"/>
    <x v="4"/>
  </r>
  <r>
    <x v="4"/>
    <x v="8"/>
    <x v="69"/>
    <x v="4"/>
  </r>
  <r>
    <x v="4"/>
    <x v="9"/>
    <x v="868"/>
    <x v="4"/>
  </r>
  <r>
    <x v="4"/>
    <x v="10"/>
    <x v="869"/>
    <x v="4"/>
  </r>
  <r>
    <x v="4"/>
    <x v="11"/>
    <x v="870"/>
    <x v="4"/>
  </r>
  <r>
    <x v="4"/>
    <x v="12"/>
    <x v="871"/>
    <x v="4"/>
  </r>
  <r>
    <x v="4"/>
    <x v="13"/>
    <x v="872"/>
    <x v="4"/>
  </r>
  <r>
    <x v="4"/>
    <x v="14"/>
    <x v="873"/>
    <x v="4"/>
  </r>
  <r>
    <x v="4"/>
    <x v="15"/>
    <x v="874"/>
    <x v="4"/>
  </r>
  <r>
    <x v="4"/>
    <x v="16"/>
    <x v="875"/>
    <x v="4"/>
  </r>
  <r>
    <x v="5"/>
    <x v="0"/>
    <x v="0"/>
    <x v="4"/>
  </r>
  <r>
    <x v="5"/>
    <x v="1"/>
    <x v="1"/>
    <x v="4"/>
  </r>
  <r>
    <x v="5"/>
    <x v="2"/>
    <x v="876"/>
    <x v="4"/>
  </r>
  <r>
    <x v="5"/>
    <x v="3"/>
    <x v="383"/>
    <x v="4"/>
  </r>
  <r>
    <x v="5"/>
    <x v="4"/>
    <x v="195"/>
    <x v="4"/>
  </r>
  <r>
    <x v="5"/>
    <x v="5"/>
    <x v="877"/>
    <x v="4"/>
  </r>
  <r>
    <x v="5"/>
    <x v="6"/>
    <x v="833"/>
    <x v="4"/>
  </r>
  <r>
    <x v="5"/>
    <x v="7"/>
    <x v="686"/>
    <x v="4"/>
  </r>
  <r>
    <x v="5"/>
    <x v="8"/>
    <x v="84"/>
    <x v="4"/>
  </r>
  <r>
    <x v="5"/>
    <x v="9"/>
    <x v="878"/>
    <x v="4"/>
  </r>
  <r>
    <x v="5"/>
    <x v="10"/>
    <x v="879"/>
    <x v="4"/>
  </r>
  <r>
    <x v="5"/>
    <x v="11"/>
    <x v="880"/>
    <x v="4"/>
  </r>
  <r>
    <x v="5"/>
    <x v="12"/>
    <x v="881"/>
    <x v="4"/>
  </r>
  <r>
    <x v="5"/>
    <x v="13"/>
    <x v="882"/>
    <x v="4"/>
  </r>
  <r>
    <x v="5"/>
    <x v="14"/>
    <x v="883"/>
    <x v="4"/>
  </r>
  <r>
    <x v="5"/>
    <x v="15"/>
    <x v="884"/>
    <x v="4"/>
  </r>
  <r>
    <x v="5"/>
    <x v="16"/>
    <x v="885"/>
    <x v="4"/>
  </r>
  <r>
    <x v="6"/>
    <x v="0"/>
    <x v="32"/>
    <x v="4"/>
  </r>
  <r>
    <x v="6"/>
    <x v="1"/>
    <x v="1"/>
    <x v="4"/>
  </r>
  <r>
    <x v="6"/>
    <x v="2"/>
    <x v="886"/>
    <x v="4"/>
  </r>
  <r>
    <x v="6"/>
    <x v="3"/>
    <x v="887"/>
    <x v="4"/>
  </r>
  <r>
    <x v="6"/>
    <x v="4"/>
    <x v="330"/>
    <x v="4"/>
  </r>
  <r>
    <x v="6"/>
    <x v="5"/>
    <x v="888"/>
    <x v="4"/>
  </r>
  <r>
    <x v="6"/>
    <x v="6"/>
    <x v="889"/>
    <x v="4"/>
  </r>
  <r>
    <x v="6"/>
    <x v="7"/>
    <x v="890"/>
    <x v="4"/>
  </r>
  <r>
    <x v="6"/>
    <x v="8"/>
    <x v="98"/>
    <x v="4"/>
  </r>
  <r>
    <x v="6"/>
    <x v="9"/>
    <x v="891"/>
    <x v="4"/>
  </r>
  <r>
    <x v="6"/>
    <x v="10"/>
    <x v="892"/>
    <x v="4"/>
  </r>
  <r>
    <x v="6"/>
    <x v="11"/>
    <x v="893"/>
    <x v="4"/>
  </r>
  <r>
    <x v="6"/>
    <x v="12"/>
    <x v="894"/>
    <x v="4"/>
  </r>
  <r>
    <x v="6"/>
    <x v="13"/>
    <x v="895"/>
    <x v="4"/>
  </r>
  <r>
    <x v="6"/>
    <x v="14"/>
    <x v="896"/>
    <x v="4"/>
  </r>
  <r>
    <x v="6"/>
    <x v="15"/>
    <x v="897"/>
    <x v="4"/>
  </r>
  <r>
    <x v="6"/>
    <x v="16"/>
    <x v="898"/>
    <x v="4"/>
  </r>
  <r>
    <x v="1"/>
    <x v="0"/>
    <x v="0"/>
    <x v="4"/>
  </r>
  <r>
    <x v="1"/>
    <x v="1"/>
    <x v="1"/>
    <x v="4"/>
  </r>
  <r>
    <x v="1"/>
    <x v="2"/>
    <x v="899"/>
    <x v="4"/>
  </r>
  <r>
    <x v="1"/>
    <x v="3"/>
    <x v="304"/>
    <x v="4"/>
  </r>
  <r>
    <x v="1"/>
    <x v="4"/>
    <x v="8"/>
    <x v="4"/>
  </r>
  <r>
    <x v="1"/>
    <x v="5"/>
    <x v="900"/>
    <x v="4"/>
  </r>
  <r>
    <x v="1"/>
    <x v="6"/>
    <x v="97"/>
    <x v="4"/>
  </r>
  <r>
    <x v="1"/>
    <x v="7"/>
    <x v="901"/>
    <x v="4"/>
  </r>
  <r>
    <x v="1"/>
    <x v="8"/>
    <x v="114"/>
    <x v="4"/>
  </r>
  <r>
    <x v="1"/>
    <x v="9"/>
    <x v="902"/>
    <x v="4"/>
  </r>
  <r>
    <x v="1"/>
    <x v="10"/>
    <x v="903"/>
    <x v="4"/>
  </r>
  <r>
    <x v="1"/>
    <x v="11"/>
    <x v="904"/>
    <x v="4"/>
  </r>
  <r>
    <x v="1"/>
    <x v="12"/>
    <x v="905"/>
    <x v="4"/>
  </r>
  <r>
    <x v="1"/>
    <x v="13"/>
    <x v="906"/>
    <x v="4"/>
  </r>
  <r>
    <x v="1"/>
    <x v="14"/>
    <x v="907"/>
    <x v="4"/>
  </r>
  <r>
    <x v="1"/>
    <x v="15"/>
    <x v="908"/>
    <x v="4"/>
  </r>
  <r>
    <x v="1"/>
    <x v="16"/>
    <x v="909"/>
    <x v="4"/>
  </r>
  <r>
    <x v="9"/>
    <x v="0"/>
    <x v="0"/>
    <x v="4"/>
  </r>
  <r>
    <x v="9"/>
    <x v="1"/>
    <x v="107"/>
    <x v="4"/>
  </r>
  <r>
    <x v="9"/>
    <x v="2"/>
    <x v="910"/>
    <x v="4"/>
  </r>
  <r>
    <x v="9"/>
    <x v="3"/>
    <x v="911"/>
    <x v="4"/>
  </r>
  <r>
    <x v="9"/>
    <x v="4"/>
    <x v="278"/>
    <x v="4"/>
  </r>
  <r>
    <x v="9"/>
    <x v="5"/>
    <x v="912"/>
    <x v="4"/>
  </r>
  <r>
    <x v="9"/>
    <x v="6"/>
    <x v="913"/>
    <x v="4"/>
  </r>
  <r>
    <x v="9"/>
    <x v="7"/>
    <x v="555"/>
    <x v="4"/>
  </r>
  <r>
    <x v="9"/>
    <x v="8"/>
    <x v="129"/>
    <x v="4"/>
  </r>
  <r>
    <x v="9"/>
    <x v="9"/>
    <x v="914"/>
    <x v="4"/>
  </r>
  <r>
    <x v="9"/>
    <x v="10"/>
    <x v="915"/>
    <x v="4"/>
  </r>
  <r>
    <x v="9"/>
    <x v="11"/>
    <x v="916"/>
    <x v="4"/>
  </r>
  <r>
    <x v="9"/>
    <x v="12"/>
    <x v="917"/>
    <x v="4"/>
  </r>
  <r>
    <x v="9"/>
    <x v="13"/>
    <x v="918"/>
    <x v="4"/>
  </r>
  <r>
    <x v="9"/>
    <x v="14"/>
    <x v="919"/>
    <x v="4"/>
  </r>
  <r>
    <x v="9"/>
    <x v="15"/>
    <x v="920"/>
    <x v="4"/>
  </r>
  <r>
    <x v="9"/>
    <x v="16"/>
    <x v="921"/>
    <x v="4"/>
  </r>
  <r>
    <x v="13"/>
    <x v="0"/>
    <x v="0"/>
    <x v="4"/>
  </r>
  <r>
    <x v="13"/>
    <x v="1"/>
    <x v="107"/>
    <x v="4"/>
  </r>
  <r>
    <x v="13"/>
    <x v="2"/>
    <x v="922"/>
    <x v="4"/>
  </r>
  <r>
    <x v="13"/>
    <x v="3"/>
    <x v="674"/>
    <x v="4"/>
  </r>
  <r>
    <x v="13"/>
    <x v="4"/>
    <x v="50"/>
    <x v="4"/>
  </r>
  <r>
    <x v="13"/>
    <x v="5"/>
    <x v="923"/>
    <x v="4"/>
  </r>
  <r>
    <x v="13"/>
    <x v="6"/>
    <x v="94"/>
    <x v="4"/>
  </r>
  <r>
    <x v="13"/>
    <x v="7"/>
    <x v="924"/>
    <x v="4"/>
  </r>
  <r>
    <x v="13"/>
    <x v="8"/>
    <x v="142"/>
    <x v="4"/>
  </r>
  <r>
    <x v="13"/>
    <x v="9"/>
    <x v="925"/>
    <x v="4"/>
  </r>
  <r>
    <x v="13"/>
    <x v="10"/>
    <x v="926"/>
    <x v="4"/>
  </r>
  <r>
    <x v="13"/>
    <x v="11"/>
    <x v="927"/>
    <x v="4"/>
  </r>
  <r>
    <x v="13"/>
    <x v="12"/>
    <x v="928"/>
    <x v="4"/>
  </r>
  <r>
    <x v="13"/>
    <x v="13"/>
    <x v="929"/>
    <x v="4"/>
  </r>
  <r>
    <x v="13"/>
    <x v="14"/>
    <x v="930"/>
    <x v="4"/>
  </r>
  <r>
    <x v="13"/>
    <x v="15"/>
    <x v="931"/>
    <x v="4"/>
  </r>
  <r>
    <x v="13"/>
    <x v="16"/>
    <x v="932"/>
    <x v="4"/>
  </r>
  <r>
    <x v="10"/>
    <x v="0"/>
    <x v="0"/>
    <x v="4"/>
  </r>
  <r>
    <x v="10"/>
    <x v="1"/>
    <x v="107"/>
    <x v="4"/>
  </r>
  <r>
    <x v="10"/>
    <x v="2"/>
    <x v="933"/>
    <x v="4"/>
  </r>
  <r>
    <x v="10"/>
    <x v="3"/>
    <x v="473"/>
    <x v="4"/>
  </r>
  <r>
    <x v="10"/>
    <x v="4"/>
    <x v="761"/>
    <x v="4"/>
  </r>
  <r>
    <x v="10"/>
    <x v="5"/>
    <x v="153"/>
    <x v="4"/>
  </r>
  <r>
    <x v="10"/>
    <x v="6"/>
    <x v="934"/>
    <x v="4"/>
  </r>
  <r>
    <x v="10"/>
    <x v="7"/>
    <x v="395"/>
    <x v="4"/>
  </r>
  <r>
    <x v="10"/>
    <x v="8"/>
    <x v="156"/>
    <x v="4"/>
  </r>
  <r>
    <x v="10"/>
    <x v="9"/>
    <x v="935"/>
    <x v="4"/>
  </r>
  <r>
    <x v="10"/>
    <x v="10"/>
    <x v="936"/>
    <x v="4"/>
  </r>
  <r>
    <x v="10"/>
    <x v="11"/>
    <x v="937"/>
    <x v="4"/>
  </r>
  <r>
    <x v="10"/>
    <x v="12"/>
    <x v="938"/>
    <x v="4"/>
  </r>
  <r>
    <x v="10"/>
    <x v="13"/>
    <x v="939"/>
    <x v="4"/>
  </r>
  <r>
    <x v="10"/>
    <x v="14"/>
    <x v="940"/>
    <x v="4"/>
  </r>
  <r>
    <x v="10"/>
    <x v="15"/>
    <x v="941"/>
    <x v="4"/>
  </r>
  <r>
    <x v="10"/>
    <x v="16"/>
    <x v="942"/>
    <x v="4"/>
  </r>
  <r>
    <x v="11"/>
    <x v="0"/>
    <x v="32"/>
    <x v="4"/>
  </r>
  <r>
    <x v="11"/>
    <x v="1"/>
    <x v="107"/>
    <x v="4"/>
  </r>
  <r>
    <x v="11"/>
    <x v="2"/>
    <x v="943"/>
    <x v="4"/>
  </r>
  <r>
    <x v="11"/>
    <x v="3"/>
    <x v="140"/>
    <x v="4"/>
  </r>
  <r>
    <x v="11"/>
    <x v="4"/>
    <x v="95"/>
    <x v="4"/>
  </r>
  <r>
    <x v="11"/>
    <x v="5"/>
    <x v="944"/>
    <x v="4"/>
  </r>
  <r>
    <x v="11"/>
    <x v="6"/>
    <x v="945"/>
    <x v="4"/>
  </r>
  <r>
    <x v="11"/>
    <x v="7"/>
    <x v="946"/>
    <x v="4"/>
  </r>
  <r>
    <x v="11"/>
    <x v="8"/>
    <x v="171"/>
    <x v="4"/>
  </r>
  <r>
    <x v="11"/>
    <x v="9"/>
    <x v="947"/>
    <x v="4"/>
  </r>
  <r>
    <x v="11"/>
    <x v="10"/>
    <x v="948"/>
    <x v="4"/>
  </r>
  <r>
    <x v="11"/>
    <x v="11"/>
    <x v="949"/>
    <x v="4"/>
  </r>
  <r>
    <x v="11"/>
    <x v="12"/>
    <x v="950"/>
    <x v="4"/>
  </r>
  <r>
    <x v="11"/>
    <x v="13"/>
    <x v="951"/>
    <x v="4"/>
  </r>
  <r>
    <x v="11"/>
    <x v="14"/>
    <x v="952"/>
    <x v="4"/>
  </r>
  <r>
    <x v="11"/>
    <x v="15"/>
    <x v="953"/>
    <x v="4"/>
  </r>
  <r>
    <x v="11"/>
    <x v="16"/>
    <x v="954"/>
    <x v="4"/>
  </r>
  <r>
    <x v="12"/>
    <x v="0"/>
    <x v="32"/>
    <x v="4"/>
  </r>
  <r>
    <x v="12"/>
    <x v="1"/>
    <x v="107"/>
    <x v="4"/>
  </r>
  <r>
    <x v="12"/>
    <x v="2"/>
    <x v="955"/>
    <x v="4"/>
  </r>
  <r>
    <x v="12"/>
    <x v="3"/>
    <x v="856"/>
    <x v="4"/>
  </r>
  <r>
    <x v="12"/>
    <x v="4"/>
    <x v="167"/>
    <x v="4"/>
  </r>
  <r>
    <x v="12"/>
    <x v="5"/>
    <x v="956"/>
    <x v="4"/>
  </r>
  <r>
    <x v="12"/>
    <x v="6"/>
    <x v="774"/>
    <x v="4"/>
  </r>
  <r>
    <x v="12"/>
    <x v="7"/>
    <x v="957"/>
    <x v="4"/>
  </r>
  <r>
    <x v="12"/>
    <x v="8"/>
    <x v="185"/>
    <x v="4"/>
  </r>
  <r>
    <x v="12"/>
    <x v="9"/>
    <x v="958"/>
    <x v="4"/>
  </r>
  <r>
    <x v="12"/>
    <x v="10"/>
    <x v="959"/>
    <x v="4"/>
  </r>
  <r>
    <x v="12"/>
    <x v="11"/>
    <x v="960"/>
    <x v="4"/>
  </r>
  <r>
    <x v="12"/>
    <x v="12"/>
    <x v="961"/>
    <x v="4"/>
  </r>
  <r>
    <x v="12"/>
    <x v="13"/>
    <x v="962"/>
    <x v="4"/>
  </r>
  <r>
    <x v="12"/>
    <x v="14"/>
    <x v="963"/>
    <x v="4"/>
  </r>
  <r>
    <x v="12"/>
    <x v="15"/>
    <x v="964"/>
    <x v="4"/>
  </r>
  <r>
    <x v="12"/>
    <x v="16"/>
    <x v="965"/>
    <x v="4"/>
  </r>
  <r>
    <x v="7"/>
    <x v="0"/>
    <x v="32"/>
    <x v="4"/>
  </r>
  <r>
    <x v="7"/>
    <x v="1"/>
    <x v="107"/>
    <x v="4"/>
  </r>
  <r>
    <x v="7"/>
    <x v="2"/>
    <x v="966"/>
    <x v="4"/>
  </r>
  <r>
    <x v="7"/>
    <x v="3"/>
    <x v="967"/>
    <x v="4"/>
  </r>
  <r>
    <x v="7"/>
    <x v="4"/>
    <x v="736"/>
    <x v="4"/>
  </r>
  <r>
    <x v="7"/>
    <x v="5"/>
    <x v="968"/>
    <x v="4"/>
  </r>
  <r>
    <x v="7"/>
    <x v="6"/>
    <x v="969"/>
    <x v="4"/>
  </r>
  <r>
    <x v="7"/>
    <x v="7"/>
    <x v="970"/>
    <x v="4"/>
  </r>
  <r>
    <x v="7"/>
    <x v="8"/>
    <x v="199"/>
    <x v="4"/>
  </r>
  <r>
    <x v="7"/>
    <x v="9"/>
    <x v="971"/>
    <x v="4"/>
  </r>
  <r>
    <x v="7"/>
    <x v="10"/>
    <x v="972"/>
    <x v="4"/>
  </r>
  <r>
    <x v="7"/>
    <x v="11"/>
    <x v="973"/>
    <x v="4"/>
  </r>
  <r>
    <x v="7"/>
    <x v="12"/>
    <x v="974"/>
    <x v="4"/>
  </r>
  <r>
    <x v="7"/>
    <x v="13"/>
    <x v="975"/>
    <x v="4"/>
  </r>
  <r>
    <x v="7"/>
    <x v="14"/>
    <x v="976"/>
    <x v="4"/>
  </r>
  <r>
    <x v="7"/>
    <x v="15"/>
    <x v="977"/>
    <x v="4"/>
  </r>
  <r>
    <x v="7"/>
    <x v="16"/>
    <x v="978"/>
    <x v="4"/>
  </r>
  <r>
    <x v="14"/>
    <x v="0"/>
    <x v="32"/>
    <x v="4"/>
  </r>
  <r>
    <x v="14"/>
    <x v="1"/>
    <x v="107"/>
    <x v="4"/>
  </r>
  <r>
    <x v="14"/>
    <x v="2"/>
    <x v="979"/>
    <x v="4"/>
  </r>
  <r>
    <x v="14"/>
    <x v="3"/>
    <x v="980"/>
    <x v="4"/>
  </r>
  <r>
    <x v="14"/>
    <x v="4"/>
    <x v="152"/>
    <x v="4"/>
  </r>
  <r>
    <x v="14"/>
    <x v="5"/>
    <x v="981"/>
    <x v="4"/>
  </r>
  <r>
    <x v="14"/>
    <x v="6"/>
    <x v="911"/>
    <x v="4"/>
  </r>
  <r>
    <x v="14"/>
    <x v="7"/>
    <x v="982"/>
    <x v="4"/>
  </r>
  <r>
    <x v="14"/>
    <x v="8"/>
    <x v="213"/>
    <x v="4"/>
  </r>
  <r>
    <x v="14"/>
    <x v="9"/>
    <x v="983"/>
    <x v="4"/>
  </r>
  <r>
    <x v="14"/>
    <x v="10"/>
    <x v="984"/>
    <x v="4"/>
  </r>
  <r>
    <x v="14"/>
    <x v="11"/>
    <x v="985"/>
    <x v="4"/>
  </r>
  <r>
    <x v="14"/>
    <x v="12"/>
    <x v="986"/>
    <x v="4"/>
  </r>
  <r>
    <x v="14"/>
    <x v="13"/>
    <x v="987"/>
    <x v="4"/>
  </r>
  <r>
    <x v="14"/>
    <x v="14"/>
    <x v="988"/>
    <x v="4"/>
  </r>
  <r>
    <x v="14"/>
    <x v="15"/>
    <x v="989"/>
    <x v="4"/>
  </r>
  <r>
    <x v="14"/>
    <x v="16"/>
    <x v="990"/>
    <x v="4"/>
  </r>
  <r>
    <x v="15"/>
    <x v="0"/>
    <x v="0"/>
    <x v="4"/>
  </r>
  <r>
    <x v="15"/>
    <x v="1"/>
    <x v="107"/>
    <x v="4"/>
  </r>
  <r>
    <x v="15"/>
    <x v="2"/>
    <x v="991"/>
    <x v="4"/>
  </r>
  <r>
    <x v="15"/>
    <x v="3"/>
    <x v="992"/>
    <x v="4"/>
  </r>
  <r>
    <x v="15"/>
    <x v="4"/>
    <x v="98"/>
    <x v="4"/>
  </r>
  <r>
    <x v="15"/>
    <x v="5"/>
    <x v="993"/>
    <x v="4"/>
  </r>
  <r>
    <x v="15"/>
    <x v="6"/>
    <x v="306"/>
    <x v="4"/>
  </r>
  <r>
    <x v="15"/>
    <x v="7"/>
    <x v="785"/>
    <x v="4"/>
  </r>
  <r>
    <x v="15"/>
    <x v="8"/>
    <x v="228"/>
    <x v="4"/>
  </r>
  <r>
    <x v="15"/>
    <x v="9"/>
    <x v="994"/>
    <x v="4"/>
  </r>
  <r>
    <x v="15"/>
    <x v="10"/>
    <x v="995"/>
    <x v="4"/>
  </r>
  <r>
    <x v="15"/>
    <x v="11"/>
    <x v="700"/>
    <x v="4"/>
  </r>
  <r>
    <x v="15"/>
    <x v="12"/>
    <x v="996"/>
    <x v="4"/>
  </r>
  <r>
    <x v="15"/>
    <x v="13"/>
    <x v="997"/>
    <x v="4"/>
  </r>
  <r>
    <x v="15"/>
    <x v="14"/>
    <x v="998"/>
    <x v="4"/>
  </r>
  <r>
    <x v="15"/>
    <x v="15"/>
    <x v="999"/>
    <x v="4"/>
  </r>
  <r>
    <x v="15"/>
    <x v="16"/>
    <x v="1000"/>
    <x v="4"/>
  </r>
  <r>
    <x v="0"/>
    <x v="0"/>
    <x v="0"/>
    <x v="5"/>
  </r>
  <r>
    <x v="0"/>
    <x v="1"/>
    <x v="1"/>
    <x v="5"/>
  </r>
  <r>
    <x v="0"/>
    <x v="2"/>
    <x v="1001"/>
    <x v="5"/>
  </r>
  <r>
    <x v="0"/>
    <x v="3"/>
    <x v="1002"/>
    <x v="5"/>
  </r>
  <r>
    <x v="0"/>
    <x v="4"/>
    <x v="292"/>
    <x v="5"/>
  </r>
  <r>
    <x v="0"/>
    <x v="5"/>
    <x v="139"/>
    <x v="5"/>
  </r>
  <r>
    <x v="0"/>
    <x v="6"/>
    <x v="1003"/>
    <x v="5"/>
  </r>
  <r>
    <x v="0"/>
    <x v="7"/>
    <x v="1004"/>
    <x v="5"/>
  </r>
  <r>
    <x v="0"/>
    <x v="8"/>
    <x v="8"/>
    <x v="5"/>
  </r>
  <r>
    <x v="0"/>
    <x v="9"/>
    <x v="1005"/>
    <x v="5"/>
  </r>
  <r>
    <x v="0"/>
    <x v="10"/>
    <x v="1006"/>
    <x v="5"/>
  </r>
  <r>
    <x v="0"/>
    <x v="11"/>
    <x v="1007"/>
    <x v="5"/>
  </r>
  <r>
    <x v="0"/>
    <x v="12"/>
    <x v="1008"/>
    <x v="5"/>
  </r>
  <r>
    <x v="0"/>
    <x v="13"/>
    <x v="1009"/>
    <x v="5"/>
  </r>
  <r>
    <x v="0"/>
    <x v="14"/>
    <x v="1010"/>
    <x v="5"/>
  </r>
  <r>
    <x v="0"/>
    <x v="15"/>
    <x v="1011"/>
    <x v="5"/>
  </r>
  <r>
    <x v="0"/>
    <x v="16"/>
    <x v="1012"/>
    <x v="5"/>
  </r>
  <r>
    <x v="3"/>
    <x v="0"/>
    <x v="32"/>
    <x v="5"/>
  </r>
  <r>
    <x v="3"/>
    <x v="1"/>
    <x v="1"/>
    <x v="5"/>
  </r>
  <r>
    <x v="3"/>
    <x v="2"/>
    <x v="1013"/>
    <x v="5"/>
  </r>
  <r>
    <x v="3"/>
    <x v="3"/>
    <x v="1014"/>
    <x v="5"/>
  </r>
  <r>
    <x v="3"/>
    <x v="4"/>
    <x v="330"/>
    <x v="5"/>
  </r>
  <r>
    <x v="3"/>
    <x v="5"/>
    <x v="1015"/>
    <x v="5"/>
  </r>
  <r>
    <x v="3"/>
    <x v="6"/>
    <x v="1016"/>
    <x v="5"/>
  </r>
  <r>
    <x v="3"/>
    <x v="7"/>
    <x v="1017"/>
    <x v="5"/>
  </r>
  <r>
    <x v="3"/>
    <x v="8"/>
    <x v="23"/>
    <x v="5"/>
  </r>
  <r>
    <x v="3"/>
    <x v="9"/>
    <x v="1018"/>
    <x v="5"/>
  </r>
  <r>
    <x v="3"/>
    <x v="10"/>
    <x v="1019"/>
    <x v="5"/>
  </r>
  <r>
    <x v="3"/>
    <x v="11"/>
    <x v="1020"/>
    <x v="5"/>
  </r>
  <r>
    <x v="3"/>
    <x v="12"/>
    <x v="1021"/>
    <x v="5"/>
  </r>
  <r>
    <x v="3"/>
    <x v="13"/>
    <x v="1022"/>
    <x v="5"/>
  </r>
  <r>
    <x v="3"/>
    <x v="14"/>
    <x v="551"/>
    <x v="5"/>
  </r>
  <r>
    <x v="3"/>
    <x v="15"/>
    <x v="1023"/>
    <x v="5"/>
  </r>
  <r>
    <x v="3"/>
    <x v="16"/>
    <x v="1024"/>
    <x v="5"/>
  </r>
  <r>
    <x v="9"/>
    <x v="0"/>
    <x v="0"/>
    <x v="5"/>
  </r>
  <r>
    <x v="9"/>
    <x v="1"/>
    <x v="107"/>
    <x v="5"/>
  </r>
  <r>
    <x v="9"/>
    <x v="2"/>
    <x v="1025"/>
    <x v="5"/>
  </r>
  <r>
    <x v="9"/>
    <x v="3"/>
    <x v="1026"/>
    <x v="5"/>
  </r>
  <r>
    <x v="9"/>
    <x v="4"/>
    <x v="80"/>
    <x v="5"/>
  </r>
  <r>
    <x v="9"/>
    <x v="5"/>
    <x v="1027"/>
    <x v="5"/>
  </r>
  <r>
    <x v="9"/>
    <x v="6"/>
    <x v="393"/>
    <x v="5"/>
  </r>
  <r>
    <x v="9"/>
    <x v="7"/>
    <x v="887"/>
    <x v="5"/>
  </r>
  <r>
    <x v="9"/>
    <x v="8"/>
    <x v="39"/>
    <x v="5"/>
  </r>
  <r>
    <x v="9"/>
    <x v="9"/>
    <x v="1028"/>
    <x v="5"/>
  </r>
  <r>
    <x v="9"/>
    <x v="10"/>
    <x v="1029"/>
    <x v="5"/>
  </r>
  <r>
    <x v="9"/>
    <x v="11"/>
    <x v="1030"/>
    <x v="5"/>
  </r>
  <r>
    <x v="9"/>
    <x v="12"/>
    <x v="1031"/>
    <x v="5"/>
  </r>
  <r>
    <x v="9"/>
    <x v="13"/>
    <x v="1032"/>
    <x v="5"/>
  </r>
  <r>
    <x v="9"/>
    <x v="14"/>
    <x v="1033"/>
    <x v="5"/>
  </r>
  <r>
    <x v="9"/>
    <x v="15"/>
    <x v="1034"/>
    <x v="5"/>
  </r>
  <r>
    <x v="9"/>
    <x v="16"/>
    <x v="1035"/>
    <x v="5"/>
  </r>
  <r>
    <x v="4"/>
    <x v="0"/>
    <x v="0"/>
    <x v="5"/>
  </r>
  <r>
    <x v="4"/>
    <x v="1"/>
    <x v="1"/>
    <x v="5"/>
  </r>
  <r>
    <x v="4"/>
    <x v="2"/>
    <x v="1036"/>
    <x v="5"/>
  </r>
  <r>
    <x v="4"/>
    <x v="3"/>
    <x v="1037"/>
    <x v="5"/>
  </r>
  <r>
    <x v="4"/>
    <x v="4"/>
    <x v="110"/>
    <x v="5"/>
  </r>
  <r>
    <x v="4"/>
    <x v="5"/>
    <x v="1038"/>
    <x v="5"/>
  </r>
  <r>
    <x v="4"/>
    <x v="6"/>
    <x v="1039"/>
    <x v="5"/>
  </r>
  <r>
    <x v="4"/>
    <x v="7"/>
    <x v="420"/>
    <x v="5"/>
  </r>
  <r>
    <x v="4"/>
    <x v="8"/>
    <x v="54"/>
    <x v="5"/>
  </r>
  <r>
    <x v="4"/>
    <x v="9"/>
    <x v="1040"/>
    <x v="5"/>
  </r>
  <r>
    <x v="4"/>
    <x v="10"/>
    <x v="1041"/>
    <x v="5"/>
  </r>
  <r>
    <x v="4"/>
    <x v="11"/>
    <x v="1042"/>
    <x v="5"/>
  </r>
  <r>
    <x v="4"/>
    <x v="12"/>
    <x v="1043"/>
    <x v="5"/>
  </r>
  <r>
    <x v="4"/>
    <x v="13"/>
    <x v="1044"/>
    <x v="5"/>
  </r>
  <r>
    <x v="4"/>
    <x v="14"/>
    <x v="1045"/>
    <x v="5"/>
  </r>
  <r>
    <x v="4"/>
    <x v="15"/>
    <x v="1046"/>
    <x v="5"/>
  </r>
  <r>
    <x v="4"/>
    <x v="16"/>
    <x v="1047"/>
    <x v="5"/>
  </r>
  <r>
    <x v="10"/>
    <x v="0"/>
    <x v="0"/>
    <x v="5"/>
  </r>
  <r>
    <x v="10"/>
    <x v="1"/>
    <x v="107"/>
    <x v="5"/>
  </r>
  <r>
    <x v="10"/>
    <x v="2"/>
    <x v="1048"/>
    <x v="5"/>
  </r>
  <r>
    <x v="10"/>
    <x v="3"/>
    <x v="1049"/>
    <x v="5"/>
  </r>
  <r>
    <x v="10"/>
    <x v="4"/>
    <x v="19"/>
    <x v="5"/>
  </r>
  <r>
    <x v="10"/>
    <x v="5"/>
    <x v="1050"/>
    <x v="5"/>
  </r>
  <r>
    <x v="10"/>
    <x v="6"/>
    <x v="1051"/>
    <x v="5"/>
  </r>
  <r>
    <x v="10"/>
    <x v="7"/>
    <x v="797"/>
    <x v="5"/>
  </r>
  <r>
    <x v="10"/>
    <x v="8"/>
    <x v="69"/>
    <x v="5"/>
  </r>
  <r>
    <x v="10"/>
    <x v="9"/>
    <x v="1052"/>
    <x v="5"/>
  </r>
  <r>
    <x v="10"/>
    <x v="10"/>
    <x v="1053"/>
    <x v="5"/>
  </r>
  <r>
    <x v="10"/>
    <x v="11"/>
    <x v="1054"/>
    <x v="5"/>
  </r>
  <r>
    <x v="10"/>
    <x v="12"/>
    <x v="1055"/>
    <x v="5"/>
  </r>
  <r>
    <x v="10"/>
    <x v="13"/>
    <x v="1056"/>
    <x v="5"/>
  </r>
  <r>
    <x v="10"/>
    <x v="14"/>
    <x v="1057"/>
    <x v="5"/>
  </r>
  <r>
    <x v="10"/>
    <x v="15"/>
    <x v="1058"/>
    <x v="5"/>
  </r>
  <r>
    <x v="10"/>
    <x v="16"/>
    <x v="1059"/>
    <x v="5"/>
  </r>
  <r>
    <x v="5"/>
    <x v="0"/>
    <x v="0"/>
    <x v="5"/>
  </r>
  <r>
    <x v="5"/>
    <x v="1"/>
    <x v="1"/>
    <x v="5"/>
  </r>
  <r>
    <x v="5"/>
    <x v="2"/>
    <x v="1060"/>
    <x v="5"/>
  </r>
  <r>
    <x v="5"/>
    <x v="3"/>
    <x v="1061"/>
    <x v="5"/>
  </r>
  <r>
    <x v="5"/>
    <x v="4"/>
    <x v="304"/>
    <x v="5"/>
  </r>
  <r>
    <x v="5"/>
    <x v="5"/>
    <x v="1062"/>
    <x v="5"/>
  </r>
  <r>
    <x v="5"/>
    <x v="6"/>
    <x v="1026"/>
    <x v="5"/>
  </r>
  <r>
    <x v="5"/>
    <x v="7"/>
    <x v="357"/>
    <x v="5"/>
  </r>
  <r>
    <x v="5"/>
    <x v="8"/>
    <x v="84"/>
    <x v="5"/>
  </r>
  <r>
    <x v="5"/>
    <x v="9"/>
    <x v="1063"/>
    <x v="5"/>
  </r>
  <r>
    <x v="5"/>
    <x v="10"/>
    <x v="1064"/>
    <x v="5"/>
  </r>
  <r>
    <x v="5"/>
    <x v="11"/>
    <x v="1065"/>
    <x v="5"/>
  </r>
  <r>
    <x v="5"/>
    <x v="12"/>
    <x v="1066"/>
    <x v="5"/>
  </r>
  <r>
    <x v="5"/>
    <x v="13"/>
    <x v="1067"/>
    <x v="5"/>
  </r>
  <r>
    <x v="5"/>
    <x v="14"/>
    <x v="781"/>
    <x v="5"/>
  </r>
  <r>
    <x v="5"/>
    <x v="15"/>
    <x v="1068"/>
    <x v="5"/>
  </r>
  <r>
    <x v="5"/>
    <x v="16"/>
    <x v="1069"/>
    <x v="5"/>
  </r>
  <r>
    <x v="6"/>
    <x v="0"/>
    <x v="32"/>
    <x v="5"/>
  </r>
  <r>
    <x v="6"/>
    <x v="1"/>
    <x v="1"/>
    <x v="5"/>
  </r>
  <r>
    <x v="6"/>
    <x v="2"/>
    <x v="1070"/>
    <x v="5"/>
  </r>
  <r>
    <x v="6"/>
    <x v="3"/>
    <x v="1071"/>
    <x v="5"/>
  </r>
  <r>
    <x v="6"/>
    <x v="4"/>
    <x v="278"/>
    <x v="5"/>
  </r>
  <r>
    <x v="6"/>
    <x v="5"/>
    <x v="1072"/>
    <x v="5"/>
  </r>
  <r>
    <x v="6"/>
    <x v="6"/>
    <x v="1073"/>
    <x v="5"/>
  </r>
  <r>
    <x v="6"/>
    <x v="7"/>
    <x v="1074"/>
    <x v="5"/>
  </r>
  <r>
    <x v="6"/>
    <x v="8"/>
    <x v="98"/>
    <x v="5"/>
  </r>
  <r>
    <x v="6"/>
    <x v="9"/>
    <x v="1075"/>
    <x v="5"/>
  </r>
  <r>
    <x v="6"/>
    <x v="10"/>
    <x v="1076"/>
    <x v="5"/>
  </r>
  <r>
    <x v="6"/>
    <x v="11"/>
    <x v="1077"/>
    <x v="5"/>
  </r>
  <r>
    <x v="6"/>
    <x v="12"/>
    <x v="1078"/>
    <x v="5"/>
  </r>
  <r>
    <x v="6"/>
    <x v="13"/>
    <x v="1079"/>
    <x v="5"/>
  </r>
  <r>
    <x v="6"/>
    <x v="14"/>
    <x v="1080"/>
    <x v="5"/>
  </r>
  <r>
    <x v="6"/>
    <x v="15"/>
    <x v="1081"/>
    <x v="5"/>
  </r>
  <r>
    <x v="6"/>
    <x v="16"/>
    <x v="1082"/>
    <x v="5"/>
  </r>
  <r>
    <x v="7"/>
    <x v="0"/>
    <x v="32"/>
    <x v="5"/>
  </r>
  <r>
    <x v="7"/>
    <x v="1"/>
    <x v="107"/>
    <x v="5"/>
  </r>
  <r>
    <x v="7"/>
    <x v="2"/>
    <x v="1083"/>
    <x v="5"/>
  </r>
  <r>
    <x v="7"/>
    <x v="3"/>
    <x v="95"/>
    <x v="5"/>
  </r>
  <r>
    <x v="7"/>
    <x v="4"/>
    <x v="304"/>
    <x v="5"/>
  </r>
  <r>
    <x v="7"/>
    <x v="5"/>
    <x v="394"/>
    <x v="5"/>
  </r>
  <r>
    <x v="7"/>
    <x v="6"/>
    <x v="726"/>
    <x v="5"/>
  </r>
  <r>
    <x v="7"/>
    <x v="7"/>
    <x v="1084"/>
    <x v="5"/>
  </r>
  <r>
    <x v="7"/>
    <x v="8"/>
    <x v="114"/>
    <x v="5"/>
  </r>
  <r>
    <x v="7"/>
    <x v="9"/>
    <x v="1085"/>
    <x v="5"/>
  </r>
  <r>
    <x v="7"/>
    <x v="10"/>
    <x v="1086"/>
    <x v="5"/>
  </r>
  <r>
    <x v="7"/>
    <x v="11"/>
    <x v="1087"/>
    <x v="5"/>
  </r>
  <r>
    <x v="7"/>
    <x v="12"/>
    <x v="1088"/>
    <x v="5"/>
  </r>
  <r>
    <x v="7"/>
    <x v="13"/>
    <x v="1089"/>
    <x v="5"/>
  </r>
  <r>
    <x v="7"/>
    <x v="14"/>
    <x v="1090"/>
    <x v="5"/>
  </r>
  <r>
    <x v="7"/>
    <x v="15"/>
    <x v="1091"/>
    <x v="5"/>
  </r>
  <r>
    <x v="7"/>
    <x v="16"/>
    <x v="1092"/>
    <x v="5"/>
  </r>
  <r>
    <x v="8"/>
    <x v="0"/>
    <x v="0"/>
    <x v="5"/>
  </r>
  <r>
    <x v="8"/>
    <x v="1"/>
    <x v="107"/>
    <x v="5"/>
  </r>
  <r>
    <x v="8"/>
    <x v="2"/>
    <x v="1093"/>
    <x v="5"/>
  </r>
  <r>
    <x v="8"/>
    <x v="3"/>
    <x v="1094"/>
    <x v="5"/>
  </r>
  <r>
    <x v="8"/>
    <x v="4"/>
    <x v="239"/>
    <x v="5"/>
  </r>
  <r>
    <x v="8"/>
    <x v="5"/>
    <x v="457"/>
    <x v="5"/>
  </r>
  <r>
    <x v="8"/>
    <x v="6"/>
    <x v="809"/>
    <x v="5"/>
  </r>
  <r>
    <x v="8"/>
    <x v="7"/>
    <x v="1095"/>
    <x v="5"/>
  </r>
  <r>
    <x v="8"/>
    <x v="8"/>
    <x v="129"/>
    <x v="5"/>
  </r>
  <r>
    <x v="8"/>
    <x v="9"/>
    <x v="1096"/>
    <x v="5"/>
  </r>
  <r>
    <x v="8"/>
    <x v="10"/>
    <x v="1097"/>
    <x v="5"/>
  </r>
  <r>
    <x v="8"/>
    <x v="11"/>
    <x v="1098"/>
    <x v="5"/>
  </r>
  <r>
    <x v="8"/>
    <x v="12"/>
    <x v="1099"/>
    <x v="5"/>
  </r>
  <r>
    <x v="8"/>
    <x v="13"/>
    <x v="1100"/>
    <x v="5"/>
  </r>
  <r>
    <x v="8"/>
    <x v="14"/>
    <x v="1101"/>
    <x v="5"/>
  </r>
  <r>
    <x v="8"/>
    <x v="15"/>
    <x v="1102"/>
    <x v="5"/>
  </r>
  <r>
    <x v="8"/>
    <x v="16"/>
    <x v="1103"/>
    <x v="5"/>
  </r>
  <r>
    <x v="1"/>
    <x v="0"/>
    <x v="0"/>
    <x v="5"/>
  </r>
  <r>
    <x v="1"/>
    <x v="1"/>
    <x v="1"/>
    <x v="5"/>
  </r>
  <r>
    <x v="1"/>
    <x v="2"/>
    <x v="1104"/>
    <x v="5"/>
  </r>
  <r>
    <x v="1"/>
    <x v="3"/>
    <x v="1105"/>
    <x v="5"/>
  </r>
  <r>
    <x v="1"/>
    <x v="4"/>
    <x v="736"/>
    <x v="5"/>
  </r>
  <r>
    <x v="1"/>
    <x v="5"/>
    <x v="593"/>
    <x v="5"/>
  </r>
  <r>
    <x v="1"/>
    <x v="6"/>
    <x v="1106"/>
    <x v="5"/>
  </r>
  <r>
    <x v="1"/>
    <x v="7"/>
    <x v="1107"/>
    <x v="5"/>
  </r>
  <r>
    <x v="1"/>
    <x v="8"/>
    <x v="142"/>
    <x v="5"/>
  </r>
  <r>
    <x v="1"/>
    <x v="9"/>
    <x v="1108"/>
    <x v="5"/>
  </r>
  <r>
    <x v="1"/>
    <x v="10"/>
    <x v="1109"/>
    <x v="5"/>
  </r>
  <r>
    <x v="1"/>
    <x v="11"/>
    <x v="1110"/>
    <x v="5"/>
  </r>
  <r>
    <x v="1"/>
    <x v="12"/>
    <x v="1111"/>
    <x v="5"/>
  </r>
  <r>
    <x v="1"/>
    <x v="13"/>
    <x v="1112"/>
    <x v="5"/>
  </r>
  <r>
    <x v="1"/>
    <x v="14"/>
    <x v="1113"/>
    <x v="5"/>
  </r>
  <r>
    <x v="1"/>
    <x v="15"/>
    <x v="1114"/>
    <x v="5"/>
  </r>
  <r>
    <x v="1"/>
    <x v="16"/>
    <x v="1115"/>
    <x v="5"/>
  </r>
  <r>
    <x v="15"/>
    <x v="0"/>
    <x v="0"/>
    <x v="5"/>
  </r>
  <r>
    <x v="15"/>
    <x v="1"/>
    <x v="107"/>
    <x v="5"/>
  </r>
  <r>
    <x v="15"/>
    <x v="2"/>
    <x v="404"/>
    <x v="5"/>
  </r>
  <r>
    <x v="15"/>
    <x v="3"/>
    <x v="1116"/>
    <x v="5"/>
  </r>
  <r>
    <x v="15"/>
    <x v="4"/>
    <x v="761"/>
    <x v="5"/>
  </r>
  <r>
    <x v="15"/>
    <x v="5"/>
    <x v="1117"/>
    <x v="5"/>
  </r>
  <r>
    <x v="15"/>
    <x v="6"/>
    <x v="112"/>
    <x v="5"/>
  </r>
  <r>
    <x v="15"/>
    <x v="7"/>
    <x v="67"/>
    <x v="5"/>
  </r>
  <r>
    <x v="15"/>
    <x v="8"/>
    <x v="156"/>
    <x v="5"/>
  </r>
  <r>
    <x v="15"/>
    <x v="9"/>
    <x v="1118"/>
    <x v="5"/>
  </r>
  <r>
    <x v="15"/>
    <x v="10"/>
    <x v="1119"/>
    <x v="5"/>
  </r>
  <r>
    <x v="15"/>
    <x v="11"/>
    <x v="1120"/>
    <x v="5"/>
  </r>
  <r>
    <x v="15"/>
    <x v="12"/>
    <x v="1121"/>
    <x v="5"/>
  </r>
  <r>
    <x v="15"/>
    <x v="13"/>
    <x v="1122"/>
    <x v="5"/>
  </r>
  <r>
    <x v="15"/>
    <x v="14"/>
    <x v="1123"/>
    <x v="5"/>
  </r>
  <r>
    <x v="15"/>
    <x v="15"/>
    <x v="1124"/>
    <x v="5"/>
  </r>
  <r>
    <x v="15"/>
    <x v="16"/>
    <x v="1125"/>
    <x v="5"/>
  </r>
  <r>
    <x v="11"/>
    <x v="0"/>
    <x v="32"/>
    <x v="5"/>
  </r>
  <r>
    <x v="11"/>
    <x v="1"/>
    <x v="107"/>
    <x v="5"/>
  </r>
  <r>
    <x v="11"/>
    <x v="2"/>
    <x v="1126"/>
    <x v="5"/>
  </r>
  <r>
    <x v="11"/>
    <x v="3"/>
    <x v="707"/>
    <x v="5"/>
  </r>
  <r>
    <x v="11"/>
    <x v="4"/>
    <x v="125"/>
    <x v="5"/>
  </r>
  <r>
    <x v="11"/>
    <x v="5"/>
    <x v="1127"/>
    <x v="5"/>
  </r>
  <r>
    <x v="11"/>
    <x v="6"/>
    <x v="1128"/>
    <x v="5"/>
  </r>
  <r>
    <x v="11"/>
    <x v="7"/>
    <x v="1129"/>
    <x v="5"/>
  </r>
  <r>
    <x v="11"/>
    <x v="8"/>
    <x v="171"/>
    <x v="5"/>
  </r>
  <r>
    <x v="11"/>
    <x v="9"/>
    <x v="1130"/>
    <x v="5"/>
  </r>
  <r>
    <x v="11"/>
    <x v="10"/>
    <x v="1131"/>
    <x v="5"/>
  </r>
  <r>
    <x v="11"/>
    <x v="11"/>
    <x v="1132"/>
    <x v="5"/>
  </r>
  <r>
    <x v="11"/>
    <x v="12"/>
    <x v="1133"/>
    <x v="5"/>
  </r>
  <r>
    <x v="11"/>
    <x v="13"/>
    <x v="1134"/>
    <x v="5"/>
  </r>
  <r>
    <x v="11"/>
    <x v="14"/>
    <x v="1135"/>
    <x v="5"/>
  </r>
  <r>
    <x v="11"/>
    <x v="15"/>
    <x v="1136"/>
    <x v="5"/>
  </r>
  <r>
    <x v="11"/>
    <x v="16"/>
    <x v="1137"/>
    <x v="5"/>
  </r>
  <r>
    <x v="12"/>
    <x v="0"/>
    <x v="32"/>
    <x v="5"/>
  </r>
  <r>
    <x v="12"/>
    <x v="1"/>
    <x v="107"/>
    <x v="5"/>
  </r>
  <r>
    <x v="12"/>
    <x v="2"/>
    <x v="1138"/>
    <x v="5"/>
  </r>
  <r>
    <x v="12"/>
    <x v="3"/>
    <x v="1139"/>
    <x v="5"/>
  </r>
  <r>
    <x v="12"/>
    <x v="4"/>
    <x v="19"/>
    <x v="5"/>
  </r>
  <r>
    <x v="12"/>
    <x v="5"/>
    <x v="1140"/>
    <x v="5"/>
  </r>
  <r>
    <x v="12"/>
    <x v="6"/>
    <x v="1141"/>
    <x v="5"/>
  </r>
  <r>
    <x v="12"/>
    <x v="7"/>
    <x v="911"/>
    <x v="5"/>
  </r>
  <r>
    <x v="12"/>
    <x v="8"/>
    <x v="185"/>
    <x v="5"/>
  </r>
  <r>
    <x v="12"/>
    <x v="9"/>
    <x v="1142"/>
    <x v="5"/>
  </r>
  <r>
    <x v="12"/>
    <x v="10"/>
    <x v="1143"/>
    <x v="5"/>
  </r>
  <r>
    <x v="12"/>
    <x v="11"/>
    <x v="171"/>
    <x v="5"/>
  </r>
  <r>
    <x v="12"/>
    <x v="12"/>
    <x v="1144"/>
    <x v="5"/>
  </r>
  <r>
    <x v="12"/>
    <x v="13"/>
    <x v="1145"/>
    <x v="5"/>
  </r>
  <r>
    <x v="12"/>
    <x v="14"/>
    <x v="1146"/>
    <x v="5"/>
  </r>
  <r>
    <x v="12"/>
    <x v="15"/>
    <x v="1147"/>
    <x v="5"/>
  </r>
  <r>
    <x v="12"/>
    <x v="16"/>
    <x v="1148"/>
    <x v="5"/>
  </r>
  <r>
    <x v="13"/>
    <x v="0"/>
    <x v="0"/>
    <x v="5"/>
  </r>
  <r>
    <x v="13"/>
    <x v="1"/>
    <x v="107"/>
    <x v="5"/>
  </r>
  <r>
    <x v="13"/>
    <x v="2"/>
    <x v="732"/>
    <x v="5"/>
  </r>
  <r>
    <x v="13"/>
    <x v="3"/>
    <x v="557"/>
    <x v="5"/>
  </r>
  <r>
    <x v="13"/>
    <x v="4"/>
    <x v="330"/>
    <x v="5"/>
  </r>
  <r>
    <x v="13"/>
    <x v="5"/>
    <x v="1149"/>
    <x v="5"/>
  </r>
  <r>
    <x v="13"/>
    <x v="6"/>
    <x v="1150"/>
    <x v="5"/>
  </r>
  <r>
    <x v="13"/>
    <x v="7"/>
    <x v="1061"/>
    <x v="5"/>
  </r>
  <r>
    <x v="13"/>
    <x v="8"/>
    <x v="199"/>
    <x v="5"/>
  </r>
  <r>
    <x v="13"/>
    <x v="9"/>
    <x v="1151"/>
    <x v="5"/>
  </r>
  <r>
    <x v="13"/>
    <x v="10"/>
    <x v="1152"/>
    <x v="5"/>
  </r>
  <r>
    <x v="13"/>
    <x v="11"/>
    <x v="1153"/>
    <x v="5"/>
  </r>
  <r>
    <x v="13"/>
    <x v="12"/>
    <x v="1154"/>
    <x v="5"/>
  </r>
  <r>
    <x v="13"/>
    <x v="13"/>
    <x v="1155"/>
    <x v="5"/>
  </r>
  <r>
    <x v="13"/>
    <x v="14"/>
    <x v="1156"/>
    <x v="5"/>
  </r>
  <r>
    <x v="13"/>
    <x v="15"/>
    <x v="1157"/>
    <x v="5"/>
  </r>
  <r>
    <x v="13"/>
    <x v="16"/>
    <x v="1158"/>
    <x v="5"/>
  </r>
  <r>
    <x v="14"/>
    <x v="0"/>
    <x v="32"/>
    <x v="5"/>
  </r>
  <r>
    <x v="14"/>
    <x v="1"/>
    <x v="107"/>
    <x v="5"/>
  </r>
  <r>
    <x v="14"/>
    <x v="2"/>
    <x v="1159"/>
    <x v="5"/>
  </r>
  <r>
    <x v="14"/>
    <x v="3"/>
    <x v="1160"/>
    <x v="5"/>
  </r>
  <r>
    <x v="14"/>
    <x v="4"/>
    <x v="4"/>
    <x v="5"/>
  </r>
  <r>
    <x v="14"/>
    <x v="5"/>
    <x v="1161"/>
    <x v="5"/>
  </r>
  <r>
    <x v="14"/>
    <x v="6"/>
    <x v="49"/>
    <x v="5"/>
  </r>
  <r>
    <x v="14"/>
    <x v="7"/>
    <x v="639"/>
    <x v="5"/>
  </r>
  <r>
    <x v="14"/>
    <x v="8"/>
    <x v="213"/>
    <x v="5"/>
  </r>
  <r>
    <x v="14"/>
    <x v="9"/>
    <x v="1162"/>
    <x v="5"/>
  </r>
  <r>
    <x v="14"/>
    <x v="10"/>
    <x v="1163"/>
    <x v="5"/>
  </r>
  <r>
    <x v="14"/>
    <x v="11"/>
    <x v="1164"/>
    <x v="5"/>
  </r>
  <r>
    <x v="14"/>
    <x v="12"/>
    <x v="1165"/>
    <x v="5"/>
  </r>
  <r>
    <x v="14"/>
    <x v="13"/>
    <x v="1166"/>
    <x v="5"/>
  </r>
  <r>
    <x v="14"/>
    <x v="14"/>
    <x v="1167"/>
    <x v="5"/>
  </r>
  <r>
    <x v="14"/>
    <x v="15"/>
    <x v="1168"/>
    <x v="5"/>
  </r>
  <r>
    <x v="14"/>
    <x v="16"/>
    <x v="1169"/>
    <x v="5"/>
  </r>
  <r>
    <x v="2"/>
    <x v="0"/>
    <x v="32"/>
    <x v="5"/>
  </r>
  <r>
    <x v="2"/>
    <x v="1"/>
    <x v="1"/>
    <x v="5"/>
  </r>
  <r>
    <x v="2"/>
    <x v="2"/>
    <x v="1170"/>
    <x v="5"/>
  </r>
  <r>
    <x v="2"/>
    <x v="3"/>
    <x v="318"/>
    <x v="5"/>
  </r>
  <r>
    <x v="2"/>
    <x v="4"/>
    <x v="278"/>
    <x v="5"/>
  </r>
  <r>
    <x v="2"/>
    <x v="5"/>
    <x v="1171"/>
    <x v="5"/>
  </r>
  <r>
    <x v="2"/>
    <x v="6"/>
    <x v="1172"/>
    <x v="5"/>
  </r>
  <r>
    <x v="2"/>
    <x v="7"/>
    <x v="1173"/>
    <x v="5"/>
  </r>
  <r>
    <x v="2"/>
    <x v="8"/>
    <x v="228"/>
    <x v="5"/>
  </r>
  <r>
    <x v="2"/>
    <x v="9"/>
    <x v="1174"/>
    <x v="5"/>
  </r>
  <r>
    <x v="2"/>
    <x v="10"/>
    <x v="1175"/>
    <x v="5"/>
  </r>
  <r>
    <x v="2"/>
    <x v="11"/>
    <x v="1176"/>
    <x v="5"/>
  </r>
  <r>
    <x v="2"/>
    <x v="12"/>
    <x v="1177"/>
    <x v="5"/>
  </r>
  <r>
    <x v="2"/>
    <x v="13"/>
    <x v="1178"/>
    <x v="5"/>
  </r>
  <r>
    <x v="2"/>
    <x v="14"/>
    <x v="1179"/>
    <x v="5"/>
  </r>
  <r>
    <x v="2"/>
    <x v="15"/>
    <x v="1180"/>
    <x v="5"/>
  </r>
  <r>
    <x v="2"/>
    <x v="16"/>
    <x v="1181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880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6"/>
    <x v="0"/>
  </r>
  <r>
    <x v="0"/>
    <x v="7"/>
    <x v="7"/>
    <x v="0"/>
  </r>
  <r>
    <x v="0"/>
    <x v="8"/>
    <x v="8"/>
    <x v="0"/>
  </r>
  <r>
    <x v="0"/>
    <x v="9"/>
    <x v="9"/>
    <x v="0"/>
  </r>
  <r>
    <x v="0"/>
    <x v="10"/>
    <x v="10"/>
    <x v="0"/>
  </r>
  <r>
    <x v="0"/>
    <x v="11"/>
    <x v="11"/>
    <x v="0"/>
  </r>
  <r>
    <x v="0"/>
    <x v="12"/>
    <x v="12"/>
    <x v="0"/>
  </r>
  <r>
    <x v="0"/>
    <x v="13"/>
    <x v="13"/>
    <x v="0"/>
  </r>
  <r>
    <x v="0"/>
    <x v="14"/>
    <x v="14"/>
    <x v="0"/>
  </r>
  <r>
    <x v="0"/>
    <x v="0"/>
    <x v="15"/>
    <x v="0"/>
  </r>
  <r>
    <x v="0"/>
    <x v="1"/>
    <x v="16"/>
    <x v="0"/>
  </r>
  <r>
    <x v="0"/>
    <x v="2"/>
    <x v="17"/>
    <x v="0"/>
  </r>
  <r>
    <x v="0"/>
    <x v="3"/>
    <x v="18"/>
    <x v="0"/>
  </r>
  <r>
    <x v="0"/>
    <x v="4"/>
    <x v="19"/>
    <x v="0"/>
  </r>
  <r>
    <x v="0"/>
    <x v="5"/>
    <x v="20"/>
    <x v="0"/>
  </r>
  <r>
    <x v="0"/>
    <x v="6"/>
    <x v="21"/>
    <x v="0"/>
  </r>
  <r>
    <x v="0"/>
    <x v="7"/>
    <x v="22"/>
    <x v="0"/>
  </r>
  <r>
    <x v="0"/>
    <x v="8"/>
    <x v="23"/>
    <x v="0"/>
  </r>
  <r>
    <x v="0"/>
    <x v="9"/>
    <x v="24"/>
    <x v="0"/>
  </r>
  <r>
    <x v="0"/>
    <x v="10"/>
    <x v="25"/>
    <x v="0"/>
  </r>
  <r>
    <x v="0"/>
    <x v="11"/>
    <x v="26"/>
    <x v="0"/>
  </r>
  <r>
    <x v="0"/>
    <x v="12"/>
    <x v="27"/>
    <x v="0"/>
  </r>
  <r>
    <x v="0"/>
    <x v="13"/>
    <x v="28"/>
    <x v="0"/>
  </r>
  <r>
    <x v="0"/>
    <x v="14"/>
    <x v="29"/>
    <x v="0"/>
  </r>
  <r>
    <x v="0"/>
    <x v="0"/>
    <x v="30"/>
    <x v="0"/>
  </r>
  <r>
    <x v="0"/>
    <x v="1"/>
    <x v="31"/>
    <x v="0"/>
  </r>
  <r>
    <x v="0"/>
    <x v="2"/>
    <x v="32"/>
    <x v="0"/>
  </r>
  <r>
    <x v="0"/>
    <x v="3"/>
    <x v="33"/>
    <x v="0"/>
  </r>
  <r>
    <x v="0"/>
    <x v="4"/>
    <x v="34"/>
    <x v="0"/>
  </r>
  <r>
    <x v="0"/>
    <x v="5"/>
    <x v="35"/>
    <x v="0"/>
  </r>
  <r>
    <x v="0"/>
    <x v="6"/>
    <x v="36"/>
    <x v="0"/>
  </r>
  <r>
    <x v="0"/>
    <x v="7"/>
    <x v="37"/>
    <x v="0"/>
  </r>
  <r>
    <x v="0"/>
    <x v="8"/>
    <x v="38"/>
    <x v="0"/>
  </r>
  <r>
    <x v="0"/>
    <x v="9"/>
    <x v="39"/>
    <x v="0"/>
  </r>
  <r>
    <x v="0"/>
    <x v="10"/>
    <x v="40"/>
    <x v="0"/>
  </r>
  <r>
    <x v="0"/>
    <x v="11"/>
    <x v="41"/>
    <x v="0"/>
  </r>
  <r>
    <x v="0"/>
    <x v="12"/>
    <x v="42"/>
    <x v="0"/>
  </r>
  <r>
    <x v="0"/>
    <x v="13"/>
    <x v="43"/>
    <x v="0"/>
  </r>
  <r>
    <x v="0"/>
    <x v="14"/>
    <x v="44"/>
    <x v="0"/>
  </r>
  <r>
    <x v="0"/>
    <x v="0"/>
    <x v="45"/>
    <x v="0"/>
  </r>
  <r>
    <x v="0"/>
    <x v="1"/>
    <x v="46"/>
    <x v="0"/>
  </r>
  <r>
    <x v="0"/>
    <x v="2"/>
    <x v="47"/>
    <x v="0"/>
  </r>
  <r>
    <x v="0"/>
    <x v="3"/>
    <x v="48"/>
    <x v="0"/>
  </r>
  <r>
    <x v="0"/>
    <x v="4"/>
    <x v="49"/>
    <x v="0"/>
  </r>
  <r>
    <x v="0"/>
    <x v="5"/>
    <x v="50"/>
    <x v="0"/>
  </r>
  <r>
    <x v="0"/>
    <x v="6"/>
    <x v="51"/>
    <x v="0"/>
  </r>
  <r>
    <x v="0"/>
    <x v="7"/>
    <x v="52"/>
    <x v="0"/>
  </r>
  <r>
    <x v="0"/>
    <x v="8"/>
    <x v="53"/>
    <x v="0"/>
  </r>
  <r>
    <x v="0"/>
    <x v="9"/>
    <x v="54"/>
    <x v="0"/>
  </r>
  <r>
    <x v="0"/>
    <x v="10"/>
    <x v="55"/>
    <x v="0"/>
  </r>
  <r>
    <x v="0"/>
    <x v="11"/>
    <x v="56"/>
    <x v="0"/>
  </r>
  <r>
    <x v="0"/>
    <x v="12"/>
    <x v="57"/>
    <x v="0"/>
  </r>
  <r>
    <x v="0"/>
    <x v="13"/>
    <x v="58"/>
    <x v="0"/>
  </r>
  <r>
    <x v="0"/>
    <x v="14"/>
    <x v="59"/>
    <x v="0"/>
  </r>
  <r>
    <x v="0"/>
    <x v="0"/>
    <x v="60"/>
    <x v="0"/>
  </r>
  <r>
    <x v="0"/>
    <x v="1"/>
    <x v="61"/>
    <x v="0"/>
  </r>
  <r>
    <x v="0"/>
    <x v="2"/>
    <x v="62"/>
    <x v="0"/>
  </r>
  <r>
    <x v="0"/>
    <x v="3"/>
    <x v="63"/>
    <x v="0"/>
  </r>
  <r>
    <x v="0"/>
    <x v="4"/>
    <x v="64"/>
    <x v="0"/>
  </r>
  <r>
    <x v="0"/>
    <x v="5"/>
    <x v="65"/>
    <x v="0"/>
  </r>
  <r>
    <x v="0"/>
    <x v="6"/>
    <x v="66"/>
    <x v="0"/>
  </r>
  <r>
    <x v="0"/>
    <x v="7"/>
    <x v="67"/>
    <x v="0"/>
  </r>
  <r>
    <x v="0"/>
    <x v="8"/>
    <x v="68"/>
    <x v="0"/>
  </r>
  <r>
    <x v="0"/>
    <x v="9"/>
    <x v="69"/>
    <x v="0"/>
  </r>
  <r>
    <x v="0"/>
    <x v="10"/>
    <x v="70"/>
    <x v="0"/>
  </r>
  <r>
    <x v="0"/>
    <x v="11"/>
    <x v="71"/>
    <x v="0"/>
  </r>
  <r>
    <x v="0"/>
    <x v="12"/>
    <x v="72"/>
    <x v="0"/>
  </r>
  <r>
    <x v="0"/>
    <x v="13"/>
    <x v="73"/>
    <x v="0"/>
  </r>
  <r>
    <x v="0"/>
    <x v="14"/>
    <x v="74"/>
    <x v="0"/>
  </r>
  <r>
    <x v="0"/>
    <x v="0"/>
    <x v="75"/>
    <x v="0"/>
  </r>
  <r>
    <x v="0"/>
    <x v="1"/>
    <x v="76"/>
    <x v="0"/>
  </r>
  <r>
    <x v="0"/>
    <x v="2"/>
    <x v="77"/>
    <x v="0"/>
  </r>
  <r>
    <x v="0"/>
    <x v="3"/>
    <x v="78"/>
    <x v="0"/>
  </r>
  <r>
    <x v="0"/>
    <x v="4"/>
    <x v="79"/>
    <x v="0"/>
  </r>
  <r>
    <x v="0"/>
    <x v="5"/>
    <x v="80"/>
    <x v="0"/>
  </r>
  <r>
    <x v="0"/>
    <x v="6"/>
    <x v="81"/>
    <x v="0"/>
  </r>
  <r>
    <x v="0"/>
    <x v="7"/>
    <x v="82"/>
    <x v="0"/>
  </r>
  <r>
    <x v="0"/>
    <x v="8"/>
    <x v="83"/>
    <x v="0"/>
  </r>
  <r>
    <x v="0"/>
    <x v="9"/>
    <x v="84"/>
    <x v="0"/>
  </r>
  <r>
    <x v="0"/>
    <x v="10"/>
    <x v="85"/>
    <x v="0"/>
  </r>
  <r>
    <x v="0"/>
    <x v="11"/>
    <x v="86"/>
    <x v="0"/>
  </r>
  <r>
    <x v="0"/>
    <x v="12"/>
    <x v="87"/>
    <x v="0"/>
  </r>
  <r>
    <x v="0"/>
    <x v="13"/>
    <x v="88"/>
    <x v="0"/>
  </r>
  <r>
    <x v="0"/>
    <x v="14"/>
    <x v="89"/>
    <x v="0"/>
  </r>
  <r>
    <x v="0"/>
    <x v="0"/>
    <x v="90"/>
    <x v="0"/>
  </r>
  <r>
    <x v="0"/>
    <x v="1"/>
    <x v="91"/>
    <x v="0"/>
  </r>
  <r>
    <x v="0"/>
    <x v="2"/>
    <x v="92"/>
    <x v="0"/>
  </r>
  <r>
    <x v="0"/>
    <x v="3"/>
    <x v="93"/>
    <x v="0"/>
  </r>
  <r>
    <x v="0"/>
    <x v="4"/>
    <x v="34"/>
    <x v="0"/>
  </r>
  <r>
    <x v="0"/>
    <x v="5"/>
    <x v="94"/>
    <x v="0"/>
  </r>
  <r>
    <x v="0"/>
    <x v="6"/>
    <x v="95"/>
    <x v="0"/>
  </r>
  <r>
    <x v="0"/>
    <x v="7"/>
    <x v="96"/>
    <x v="0"/>
  </r>
  <r>
    <x v="0"/>
    <x v="8"/>
    <x v="97"/>
    <x v="0"/>
  </r>
  <r>
    <x v="0"/>
    <x v="9"/>
    <x v="98"/>
    <x v="0"/>
  </r>
  <r>
    <x v="0"/>
    <x v="10"/>
    <x v="99"/>
    <x v="0"/>
  </r>
  <r>
    <x v="0"/>
    <x v="11"/>
    <x v="100"/>
    <x v="0"/>
  </r>
  <r>
    <x v="0"/>
    <x v="12"/>
    <x v="101"/>
    <x v="0"/>
  </r>
  <r>
    <x v="0"/>
    <x v="13"/>
    <x v="102"/>
    <x v="0"/>
  </r>
  <r>
    <x v="0"/>
    <x v="14"/>
    <x v="103"/>
    <x v="0"/>
  </r>
  <r>
    <x v="1"/>
    <x v="0"/>
    <x v="104"/>
    <x v="0"/>
  </r>
  <r>
    <x v="1"/>
    <x v="1"/>
    <x v="105"/>
    <x v="0"/>
  </r>
  <r>
    <x v="1"/>
    <x v="2"/>
    <x v="106"/>
    <x v="0"/>
  </r>
  <r>
    <x v="1"/>
    <x v="3"/>
    <x v="107"/>
    <x v="0"/>
  </r>
  <r>
    <x v="1"/>
    <x v="4"/>
    <x v="108"/>
    <x v="0"/>
  </r>
  <r>
    <x v="1"/>
    <x v="5"/>
    <x v="109"/>
    <x v="0"/>
  </r>
  <r>
    <x v="1"/>
    <x v="6"/>
    <x v="110"/>
    <x v="0"/>
  </r>
  <r>
    <x v="1"/>
    <x v="7"/>
    <x v="111"/>
    <x v="0"/>
  </r>
  <r>
    <x v="1"/>
    <x v="8"/>
    <x v="112"/>
    <x v="0"/>
  </r>
  <r>
    <x v="1"/>
    <x v="9"/>
    <x v="113"/>
    <x v="0"/>
  </r>
  <r>
    <x v="1"/>
    <x v="10"/>
    <x v="114"/>
    <x v="0"/>
  </r>
  <r>
    <x v="1"/>
    <x v="11"/>
    <x v="115"/>
    <x v="0"/>
  </r>
  <r>
    <x v="1"/>
    <x v="12"/>
    <x v="116"/>
    <x v="0"/>
  </r>
  <r>
    <x v="1"/>
    <x v="13"/>
    <x v="117"/>
    <x v="0"/>
  </r>
  <r>
    <x v="1"/>
    <x v="14"/>
    <x v="118"/>
    <x v="0"/>
  </r>
  <r>
    <x v="1"/>
    <x v="0"/>
    <x v="119"/>
    <x v="0"/>
  </r>
  <r>
    <x v="1"/>
    <x v="1"/>
    <x v="120"/>
    <x v="0"/>
  </r>
  <r>
    <x v="1"/>
    <x v="2"/>
    <x v="121"/>
    <x v="0"/>
  </r>
  <r>
    <x v="1"/>
    <x v="3"/>
    <x v="122"/>
    <x v="0"/>
  </r>
  <r>
    <x v="1"/>
    <x v="4"/>
    <x v="123"/>
    <x v="0"/>
  </r>
  <r>
    <x v="1"/>
    <x v="5"/>
    <x v="124"/>
    <x v="0"/>
  </r>
  <r>
    <x v="1"/>
    <x v="6"/>
    <x v="125"/>
    <x v="0"/>
  </r>
  <r>
    <x v="1"/>
    <x v="7"/>
    <x v="126"/>
    <x v="0"/>
  </r>
  <r>
    <x v="1"/>
    <x v="8"/>
    <x v="127"/>
    <x v="0"/>
  </r>
  <r>
    <x v="1"/>
    <x v="9"/>
    <x v="128"/>
    <x v="0"/>
  </r>
  <r>
    <x v="1"/>
    <x v="10"/>
    <x v="129"/>
    <x v="0"/>
  </r>
  <r>
    <x v="1"/>
    <x v="11"/>
    <x v="130"/>
    <x v="0"/>
  </r>
  <r>
    <x v="1"/>
    <x v="12"/>
    <x v="131"/>
    <x v="0"/>
  </r>
  <r>
    <x v="1"/>
    <x v="13"/>
    <x v="132"/>
    <x v="0"/>
  </r>
  <r>
    <x v="1"/>
    <x v="14"/>
    <x v="133"/>
    <x v="0"/>
  </r>
  <r>
    <x v="1"/>
    <x v="0"/>
    <x v="134"/>
    <x v="0"/>
  </r>
  <r>
    <x v="1"/>
    <x v="1"/>
    <x v="109"/>
    <x v="0"/>
  </r>
  <r>
    <x v="1"/>
    <x v="2"/>
    <x v="77"/>
    <x v="0"/>
  </r>
  <r>
    <x v="1"/>
    <x v="3"/>
    <x v="135"/>
    <x v="0"/>
  </r>
  <r>
    <x v="1"/>
    <x v="4"/>
    <x v="136"/>
    <x v="0"/>
  </r>
  <r>
    <x v="1"/>
    <x v="5"/>
    <x v="137"/>
    <x v="0"/>
  </r>
  <r>
    <x v="1"/>
    <x v="6"/>
    <x v="138"/>
    <x v="0"/>
  </r>
  <r>
    <x v="1"/>
    <x v="7"/>
    <x v="139"/>
    <x v="0"/>
  </r>
  <r>
    <x v="1"/>
    <x v="8"/>
    <x v="140"/>
    <x v="0"/>
  </r>
  <r>
    <x v="1"/>
    <x v="9"/>
    <x v="141"/>
    <x v="0"/>
  </r>
  <r>
    <x v="1"/>
    <x v="10"/>
    <x v="142"/>
    <x v="0"/>
  </r>
  <r>
    <x v="1"/>
    <x v="11"/>
    <x v="143"/>
    <x v="0"/>
  </r>
  <r>
    <x v="1"/>
    <x v="12"/>
    <x v="144"/>
    <x v="0"/>
  </r>
  <r>
    <x v="1"/>
    <x v="13"/>
    <x v="145"/>
    <x v="0"/>
  </r>
  <r>
    <x v="1"/>
    <x v="14"/>
    <x v="146"/>
    <x v="0"/>
  </r>
  <r>
    <x v="1"/>
    <x v="0"/>
    <x v="147"/>
    <x v="0"/>
  </r>
  <r>
    <x v="1"/>
    <x v="1"/>
    <x v="92"/>
    <x v="0"/>
  </r>
  <r>
    <x v="1"/>
    <x v="2"/>
    <x v="148"/>
    <x v="0"/>
  </r>
  <r>
    <x v="1"/>
    <x v="3"/>
    <x v="149"/>
    <x v="0"/>
  </r>
  <r>
    <x v="1"/>
    <x v="4"/>
    <x v="150"/>
    <x v="0"/>
  </r>
  <r>
    <x v="1"/>
    <x v="5"/>
    <x v="151"/>
    <x v="0"/>
  </r>
  <r>
    <x v="1"/>
    <x v="6"/>
    <x v="152"/>
    <x v="0"/>
  </r>
  <r>
    <x v="1"/>
    <x v="7"/>
    <x v="153"/>
    <x v="0"/>
  </r>
  <r>
    <x v="1"/>
    <x v="8"/>
    <x v="154"/>
    <x v="0"/>
  </r>
  <r>
    <x v="1"/>
    <x v="9"/>
    <x v="155"/>
    <x v="0"/>
  </r>
  <r>
    <x v="1"/>
    <x v="10"/>
    <x v="156"/>
    <x v="0"/>
  </r>
  <r>
    <x v="1"/>
    <x v="11"/>
    <x v="157"/>
    <x v="0"/>
  </r>
  <r>
    <x v="1"/>
    <x v="12"/>
    <x v="158"/>
    <x v="0"/>
  </r>
  <r>
    <x v="1"/>
    <x v="13"/>
    <x v="159"/>
    <x v="0"/>
  </r>
  <r>
    <x v="1"/>
    <x v="14"/>
    <x v="160"/>
    <x v="0"/>
  </r>
  <r>
    <x v="1"/>
    <x v="0"/>
    <x v="161"/>
    <x v="0"/>
  </r>
  <r>
    <x v="1"/>
    <x v="1"/>
    <x v="162"/>
    <x v="0"/>
  </r>
  <r>
    <x v="1"/>
    <x v="2"/>
    <x v="163"/>
    <x v="0"/>
  </r>
  <r>
    <x v="1"/>
    <x v="3"/>
    <x v="164"/>
    <x v="0"/>
  </r>
  <r>
    <x v="1"/>
    <x v="4"/>
    <x v="165"/>
    <x v="0"/>
  </r>
  <r>
    <x v="1"/>
    <x v="5"/>
    <x v="166"/>
    <x v="0"/>
  </r>
  <r>
    <x v="1"/>
    <x v="6"/>
    <x v="167"/>
    <x v="0"/>
  </r>
  <r>
    <x v="1"/>
    <x v="7"/>
    <x v="168"/>
    <x v="0"/>
  </r>
  <r>
    <x v="1"/>
    <x v="8"/>
    <x v="169"/>
    <x v="0"/>
  </r>
  <r>
    <x v="1"/>
    <x v="9"/>
    <x v="170"/>
    <x v="0"/>
  </r>
  <r>
    <x v="1"/>
    <x v="10"/>
    <x v="171"/>
    <x v="0"/>
  </r>
  <r>
    <x v="1"/>
    <x v="11"/>
    <x v="172"/>
    <x v="0"/>
  </r>
  <r>
    <x v="1"/>
    <x v="12"/>
    <x v="173"/>
    <x v="0"/>
  </r>
  <r>
    <x v="1"/>
    <x v="13"/>
    <x v="174"/>
    <x v="0"/>
  </r>
  <r>
    <x v="1"/>
    <x v="14"/>
    <x v="175"/>
    <x v="0"/>
  </r>
  <r>
    <x v="1"/>
    <x v="0"/>
    <x v="176"/>
    <x v="0"/>
  </r>
  <r>
    <x v="1"/>
    <x v="1"/>
    <x v="177"/>
    <x v="0"/>
  </r>
  <r>
    <x v="1"/>
    <x v="2"/>
    <x v="106"/>
    <x v="0"/>
  </r>
  <r>
    <x v="1"/>
    <x v="3"/>
    <x v="178"/>
    <x v="0"/>
  </r>
  <r>
    <x v="1"/>
    <x v="4"/>
    <x v="179"/>
    <x v="0"/>
  </r>
  <r>
    <x v="1"/>
    <x v="5"/>
    <x v="180"/>
    <x v="0"/>
  </r>
  <r>
    <x v="1"/>
    <x v="6"/>
    <x v="181"/>
    <x v="0"/>
  </r>
  <r>
    <x v="1"/>
    <x v="7"/>
    <x v="182"/>
    <x v="0"/>
  </r>
  <r>
    <x v="1"/>
    <x v="8"/>
    <x v="183"/>
    <x v="0"/>
  </r>
  <r>
    <x v="1"/>
    <x v="9"/>
    <x v="184"/>
    <x v="0"/>
  </r>
  <r>
    <x v="1"/>
    <x v="10"/>
    <x v="185"/>
    <x v="0"/>
  </r>
  <r>
    <x v="1"/>
    <x v="11"/>
    <x v="186"/>
    <x v="0"/>
  </r>
  <r>
    <x v="1"/>
    <x v="12"/>
    <x v="187"/>
    <x v="0"/>
  </r>
  <r>
    <x v="1"/>
    <x v="13"/>
    <x v="188"/>
    <x v="0"/>
  </r>
  <r>
    <x v="1"/>
    <x v="14"/>
    <x v="189"/>
    <x v="0"/>
  </r>
  <r>
    <x v="1"/>
    <x v="0"/>
    <x v="190"/>
    <x v="0"/>
  </r>
  <r>
    <x v="1"/>
    <x v="1"/>
    <x v="91"/>
    <x v="0"/>
  </r>
  <r>
    <x v="1"/>
    <x v="2"/>
    <x v="191"/>
    <x v="0"/>
  </r>
  <r>
    <x v="1"/>
    <x v="3"/>
    <x v="192"/>
    <x v="0"/>
  </r>
  <r>
    <x v="1"/>
    <x v="4"/>
    <x v="193"/>
    <x v="0"/>
  </r>
  <r>
    <x v="1"/>
    <x v="5"/>
    <x v="194"/>
    <x v="0"/>
  </r>
  <r>
    <x v="1"/>
    <x v="6"/>
    <x v="195"/>
    <x v="0"/>
  </r>
  <r>
    <x v="1"/>
    <x v="7"/>
    <x v="196"/>
    <x v="0"/>
  </r>
  <r>
    <x v="1"/>
    <x v="8"/>
    <x v="197"/>
    <x v="0"/>
  </r>
  <r>
    <x v="1"/>
    <x v="9"/>
    <x v="198"/>
    <x v="0"/>
  </r>
  <r>
    <x v="1"/>
    <x v="10"/>
    <x v="199"/>
    <x v="0"/>
  </r>
  <r>
    <x v="1"/>
    <x v="11"/>
    <x v="200"/>
    <x v="0"/>
  </r>
  <r>
    <x v="1"/>
    <x v="12"/>
    <x v="201"/>
    <x v="0"/>
  </r>
  <r>
    <x v="1"/>
    <x v="13"/>
    <x v="202"/>
    <x v="0"/>
  </r>
  <r>
    <x v="1"/>
    <x v="14"/>
    <x v="203"/>
    <x v="0"/>
  </r>
  <r>
    <x v="1"/>
    <x v="0"/>
    <x v="204"/>
    <x v="0"/>
  </r>
  <r>
    <x v="1"/>
    <x v="1"/>
    <x v="205"/>
    <x v="0"/>
  </r>
  <r>
    <x v="1"/>
    <x v="2"/>
    <x v="106"/>
    <x v="0"/>
  </r>
  <r>
    <x v="1"/>
    <x v="3"/>
    <x v="206"/>
    <x v="0"/>
  </r>
  <r>
    <x v="1"/>
    <x v="4"/>
    <x v="207"/>
    <x v="0"/>
  </r>
  <r>
    <x v="1"/>
    <x v="5"/>
    <x v="208"/>
    <x v="0"/>
  </r>
  <r>
    <x v="1"/>
    <x v="6"/>
    <x v="209"/>
    <x v="0"/>
  </r>
  <r>
    <x v="1"/>
    <x v="7"/>
    <x v="210"/>
    <x v="0"/>
  </r>
  <r>
    <x v="1"/>
    <x v="8"/>
    <x v="211"/>
    <x v="0"/>
  </r>
  <r>
    <x v="1"/>
    <x v="9"/>
    <x v="212"/>
    <x v="0"/>
  </r>
  <r>
    <x v="1"/>
    <x v="10"/>
    <x v="213"/>
    <x v="0"/>
  </r>
  <r>
    <x v="1"/>
    <x v="11"/>
    <x v="214"/>
    <x v="0"/>
  </r>
  <r>
    <x v="1"/>
    <x v="12"/>
    <x v="215"/>
    <x v="0"/>
  </r>
  <r>
    <x v="1"/>
    <x v="13"/>
    <x v="216"/>
    <x v="0"/>
  </r>
  <r>
    <x v="1"/>
    <x v="14"/>
    <x v="217"/>
    <x v="0"/>
  </r>
  <r>
    <x v="1"/>
    <x v="0"/>
    <x v="218"/>
    <x v="0"/>
  </r>
  <r>
    <x v="1"/>
    <x v="1"/>
    <x v="219"/>
    <x v="0"/>
  </r>
  <r>
    <x v="1"/>
    <x v="2"/>
    <x v="220"/>
    <x v="0"/>
  </r>
  <r>
    <x v="1"/>
    <x v="3"/>
    <x v="221"/>
    <x v="0"/>
  </r>
  <r>
    <x v="1"/>
    <x v="4"/>
    <x v="222"/>
    <x v="0"/>
  </r>
  <r>
    <x v="1"/>
    <x v="5"/>
    <x v="223"/>
    <x v="0"/>
  </r>
  <r>
    <x v="1"/>
    <x v="6"/>
    <x v="224"/>
    <x v="0"/>
  </r>
  <r>
    <x v="1"/>
    <x v="7"/>
    <x v="225"/>
    <x v="0"/>
  </r>
  <r>
    <x v="1"/>
    <x v="8"/>
    <x v="226"/>
    <x v="0"/>
  </r>
  <r>
    <x v="1"/>
    <x v="9"/>
    <x v="227"/>
    <x v="0"/>
  </r>
  <r>
    <x v="1"/>
    <x v="10"/>
    <x v="228"/>
    <x v="0"/>
  </r>
  <r>
    <x v="1"/>
    <x v="11"/>
    <x v="229"/>
    <x v="0"/>
  </r>
  <r>
    <x v="1"/>
    <x v="12"/>
    <x v="230"/>
    <x v="0"/>
  </r>
  <r>
    <x v="1"/>
    <x v="13"/>
    <x v="231"/>
    <x v="0"/>
  </r>
  <r>
    <x v="1"/>
    <x v="14"/>
    <x v="232"/>
    <x v="0"/>
  </r>
  <r>
    <x v="0"/>
    <x v="0"/>
    <x v="233"/>
    <x v="1"/>
  </r>
  <r>
    <x v="0"/>
    <x v="1"/>
    <x v="234"/>
    <x v="1"/>
  </r>
  <r>
    <x v="0"/>
    <x v="2"/>
    <x v="235"/>
    <x v="1"/>
  </r>
  <r>
    <x v="0"/>
    <x v="3"/>
    <x v="236"/>
    <x v="1"/>
  </r>
  <r>
    <x v="0"/>
    <x v="4"/>
    <x v="65"/>
    <x v="1"/>
  </r>
  <r>
    <x v="0"/>
    <x v="5"/>
    <x v="237"/>
    <x v="1"/>
  </r>
  <r>
    <x v="0"/>
    <x v="6"/>
    <x v="6"/>
    <x v="1"/>
  </r>
  <r>
    <x v="0"/>
    <x v="7"/>
    <x v="238"/>
    <x v="1"/>
  </r>
  <r>
    <x v="0"/>
    <x v="8"/>
    <x v="239"/>
    <x v="1"/>
  </r>
  <r>
    <x v="0"/>
    <x v="9"/>
    <x v="240"/>
    <x v="1"/>
  </r>
  <r>
    <x v="0"/>
    <x v="10"/>
    <x v="241"/>
    <x v="1"/>
  </r>
  <r>
    <x v="0"/>
    <x v="11"/>
    <x v="242"/>
    <x v="1"/>
  </r>
  <r>
    <x v="0"/>
    <x v="12"/>
    <x v="243"/>
    <x v="1"/>
  </r>
  <r>
    <x v="0"/>
    <x v="13"/>
    <x v="244"/>
    <x v="1"/>
  </r>
  <r>
    <x v="0"/>
    <x v="14"/>
    <x v="245"/>
    <x v="1"/>
  </r>
  <r>
    <x v="0"/>
    <x v="0"/>
    <x v="246"/>
    <x v="1"/>
  </r>
  <r>
    <x v="0"/>
    <x v="1"/>
    <x v="247"/>
    <x v="1"/>
  </r>
  <r>
    <x v="0"/>
    <x v="2"/>
    <x v="235"/>
    <x v="1"/>
  </r>
  <r>
    <x v="0"/>
    <x v="3"/>
    <x v="248"/>
    <x v="1"/>
  </r>
  <r>
    <x v="0"/>
    <x v="4"/>
    <x v="249"/>
    <x v="1"/>
  </r>
  <r>
    <x v="0"/>
    <x v="5"/>
    <x v="250"/>
    <x v="1"/>
  </r>
  <r>
    <x v="0"/>
    <x v="6"/>
    <x v="21"/>
    <x v="1"/>
  </r>
  <r>
    <x v="0"/>
    <x v="7"/>
    <x v="251"/>
    <x v="1"/>
  </r>
  <r>
    <x v="0"/>
    <x v="8"/>
    <x v="252"/>
    <x v="1"/>
  </r>
  <r>
    <x v="0"/>
    <x v="9"/>
    <x v="253"/>
    <x v="1"/>
  </r>
  <r>
    <x v="0"/>
    <x v="10"/>
    <x v="254"/>
    <x v="1"/>
  </r>
  <r>
    <x v="0"/>
    <x v="11"/>
    <x v="255"/>
    <x v="1"/>
  </r>
  <r>
    <x v="0"/>
    <x v="12"/>
    <x v="256"/>
    <x v="1"/>
  </r>
  <r>
    <x v="0"/>
    <x v="13"/>
    <x v="257"/>
    <x v="1"/>
  </r>
  <r>
    <x v="0"/>
    <x v="14"/>
    <x v="258"/>
    <x v="1"/>
  </r>
  <r>
    <x v="0"/>
    <x v="0"/>
    <x v="259"/>
    <x v="1"/>
  </r>
  <r>
    <x v="0"/>
    <x v="1"/>
    <x v="260"/>
    <x v="1"/>
  </r>
  <r>
    <x v="0"/>
    <x v="2"/>
    <x v="77"/>
    <x v="1"/>
  </r>
  <r>
    <x v="0"/>
    <x v="3"/>
    <x v="261"/>
    <x v="1"/>
  </r>
  <r>
    <x v="0"/>
    <x v="4"/>
    <x v="262"/>
    <x v="1"/>
  </r>
  <r>
    <x v="0"/>
    <x v="5"/>
    <x v="263"/>
    <x v="1"/>
  </r>
  <r>
    <x v="0"/>
    <x v="6"/>
    <x v="36"/>
    <x v="1"/>
  </r>
  <r>
    <x v="0"/>
    <x v="7"/>
    <x v="264"/>
    <x v="1"/>
  </r>
  <r>
    <x v="0"/>
    <x v="8"/>
    <x v="265"/>
    <x v="1"/>
  </r>
  <r>
    <x v="0"/>
    <x v="9"/>
    <x v="266"/>
    <x v="1"/>
  </r>
  <r>
    <x v="0"/>
    <x v="10"/>
    <x v="267"/>
    <x v="1"/>
  </r>
  <r>
    <x v="0"/>
    <x v="11"/>
    <x v="268"/>
    <x v="1"/>
  </r>
  <r>
    <x v="0"/>
    <x v="12"/>
    <x v="269"/>
    <x v="1"/>
  </r>
  <r>
    <x v="0"/>
    <x v="13"/>
    <x v="270"/>
    <x v="1"/>
  </r>
  <r>
    <x v="0"/>
    <x v="14"/>
    <x v="271"/>
    <x v="1"/>
  </r>
  <r>
    <x v="0"/>
    <x v="0"/>
    <x v="272"/>
    <x v="1"/>
  </r>
  <r>
    <x v="0"/>
    <x v="1"/>
    <x v="273"/>
    <x v="1"/>
  </r>
  <r>
    <x v="0"/>
    <x v="2"/>
    <x v="274"/>
    <x v="1"/>
  </r>
  <r>
    <x v="0"/>
    <x v="3"/>
    <x v="275"/>
    <x v="1"/>
  </r>
  <r>
    <x v="0"/>
    <x v="4"/>
    <x v="276"/>
    <x v="1"/>
  </r>
  <r>
    <x v="0"/>
    <x v="5"/>
    <x v="277"/>
    <x v="1"/>
  </r>
  <r>
    <x v="0"/>
    <x v="6"/>
    <x v="51"/>
    <x v="1"/>
  </r>
  <r>
    <x v="0"/>
    <x v="7"/>
    <x v="278"/>
    <x v="1"/>
  </r>
  <r>
    <x v="0"/>
    <x v="8"/>
    <x v="279"/>
    <x v="1"/>
  </r>
  <r>
    <x v="0"/>
    <x v="9"/>
    <x v="280"/>
    <x v="1"/>
  </r>
  <r>
    <x v="0"/>
    <x v="10"/>
    <x v="281"/>
    <x v="1"/>
  </r>
  <r>
    <x v="0"/>
    <x v="11"/>
    <x v="282"/>
    <x v="1"/>
  </r>
  <r>
    <x v="0"/>
    <x v="12"/>
    <x v="283"/>
    <x v="1"/>
  </r>
  <r>
    <x v="0"/>
    <x v="13"/>
    <x v="284"/>
    <x v="1"/>
  </r>
  <r>
    <x v="0"/>
    <x v="14"/>
    <x v="285"/>
    <x v="1"/>
  </r>
  <r>
    <x v="0"/>
    <x v="0"/>
    <x v="286"/>
    <x v="1"/>
  </r>
  <r>
    <x v="0"/>
    <x v="1"/>
    <x v="287"/>
    <x v="1"/>
  </r>
  <r>
    <x v="0"/>
    <x v="2"/>
    <x v="288"/>
    <x v="1"/>
  </r>
  <r>
    <x v="0"/>
    <x v="3"/>
    <x v="289"/>
    <x v="1"/>
  </r>
  <r>
    <x v="0"/>
    <x v="4"/>
    <x v="263"/>
    <x v="1"/>
  </r>
  <r>
    <x v="0"/>
    <x v="5"/>
    <x v="290"/>
    <x v="1"/>
  </r>
  <r>
    <x v="0"/>
    <x v="6"/>
    <x v="66"/>
    <x v="1"/>
  </r>
  <r>
    <x v="0"/>
    <x v="7"/>
    <x v="291"/>
    <x v="1"/>
  </r>
  <r>
    <x v="0"/>
    <x v="8"/>
    <x v="292"/>
    <x v="1"/>
  </r>
  <r>
    <x v="0"/>
    <x v="9"/>
    <x v="293"/>
    <x v="1"/>
  </r>
  <r>
    <x v="0"/>
    <x v="10"/>
    <x v="294"/>
    <x v="1"/>
  </r>
  <r>
    <x v="0"/>
    <x v="11"/>
    <x v="295"/>
    <x v="1"/>
  </r>
  <r>
    <x v="0"/>
    <x v="12"/>
    <x v="296"/>
    <x v="1"/>
  </r>
  <r>
    <x v="0"/>
    <x v="13"/>
    <x v="297"/>
    <x v="1"/>
  </r>
  <r>
    <x v="0"/>
    <x v="14"/>
    <x v="298"/>
    <x v="1"/>
  </r>
  <r>
    <x v="0"/>
    <x v="0"/>
    <x v="299"/>
    <x v="1"/>
  </r>
  <r>
    <x v="0"/>
    <x v="1"/>
    <x v="76"/>
    <x v="1"/>
  </r>
  <r>
    <x v="0"/>
    <x v="2"/>
    <x v="300"/>
    <x v="1"/>
  </r>
  <r>
    <x v="0"/>
    <x v="3"/>
    <x v="301"/>
    <x v="1"/>
  </r>
  <r>
    <x v="0"/>
    <x v="4"/>
    <x v="302"/>
    <x v="1"/>
  </r>
  <r>
    <x v="0"/>
    <x v="5"/>
    <x v="91"/>
    <x v="1"/>
  </r>
  <r>
    <x v="0"/>
    <x v="6"/>
    <x v="81"/>
    <x v="1"/>
  </r>
  <r>
    <x v="0"/>
    <x v="7"/>
    <x v="303"/>
    <x v="1"/>
  </r>
  <r>
    <x v="0"/>
    <x v="8"/>
    <x v="304"/>
    <x v="1"/>
  </r>
  <r>
    <x v="0"/>
    <x v="9"/>
    <x v="305"/>
    <x v="1"/>
  </r>
  <r>
    <x v="0"/>
    <x v="10"/>
    <x v="306"/>
    <x v="1"/>
  </r>
  <r>
    <x v="0"/>
    <x v="11"/>
    <x v="307"/>
    <x v="1"/>
  </r>
  <r>
    <x v="0"/>
    <x v="12"/>
    <x v="308"/>
    <x v="1"/>
  </r>
  <r>
    <x v="0"/>
    <x v="13"/>
    <x v="309"/>
    <x v="1"/>
  </r>
  <r>
    <x v="0"/>
    <x v="14"/>
    <x v="310"/>
    <x v="1"/>
  </r>
  <r>
    <x v="0"/>
    <x v="0"/>
    <x v="311"/>
    <x v="1"/>
  </r>
  <r>
    <x v="0"/>
    <x v="1"/>
    <x v="312"/>
    <x v="1"/>
  </r>
  <r>
    <x v="0"/>
    <x v="2"/>
    <x v="288"/>
    <x v="1"/>
  </r>
  <r>
    <x v="0"/>
    <x v="3"/>
    <x v="313"/>
    <x v="1"/>
  </r>
  <r>
    <x v="0"/>
    <x v="4"/>
    <x v="314"/>
    <x v="1"/>
  </r>
  <r>
    <x v="0"/>
    <x v="5"/>
    <x v="315"/>
    <x v="1"/>
  </r>
  <r>
    <x v="0"/>
    <x v="6"/>
    <x v="95"/>
    <x v="1"/>
  </r>
  <r>
    <x v="0"/>
    <x v="7"/>
    <x v="316"/>
    <x v="1"/>
  </r>
  <r>
    <x v="0"/>
    <x v="8"/>
    <x v="317"/>
    <x v="1"/>
  </r>
  <r>
    <x v="0"/>
    <x v="9"/>
    <x v="318"/>
    <x v="1"/>
  </r>
  <r>
    <x v="0"/>
    <x v="10"/>
    <x v="319"/>
    <x v="1"/>
  </r>
  <r>
    <x v="0"/>
    <x v="11"/>
    <x v="320"/>
    <x v="1"/>
  </r>
  <r>
    <x v="0"/>
    <x v="12"/>
    <x v="321"/>
    <x v="1"/>
  </r>
  <r>
    <x v="0"/>
    <x v="13"/>
    <x v="322"/>
    <x v="1"/>
  </r>
  <r>
    <x v="0"/>
    <x v="14"/>
    <x v="323"/>
    <x v="1"/>
  </r>
  <r>
    <x v="1"/>
    <x v="0"/>
    <x v="324"/>
    <x v="1"/>
  </r>
  <r>
    <x v="1"/>
    <x v="1"/>
    <x v="325"/>
    <x v="1"/>
  </r>
  <r>
    <x v="1"/>
    <x v="2"/>
    <x v="326"/>
    <x v="1"/>
  </r>
  <r>
    <x v="1"/>
    <x v="3"/>
    <x v="78"/>
    <x v="1"/>
  </r>
  <r>
    <x v="1"/>
    <x v="4"/>
    <x v="327"/>
    <x v="1"/>
  </r>
  <r>
    <x v="1"/>
    <x v="5"/>
    <x v="328"/>
    <x v="1"/>
  </r>
  <r>
    <x v="1"/>
    <x v="6"/>
    <x v="110"/>
    <x v="1"/>
  </r>
  <r>
    <x v="1"/>
    <x v="7"/>
    <x v="329"/>
    <x v="1"/>
  </r>
  <r>
    <x v="1"/>
    <x v="8"/>
    <x v="330"/>
    <x v="1"/>
  </r>
  <r>
    <x v="1"/>
    <x v="9"/>
    <x v="331"/>
    <x v="1"/>
  </r>
  <r>
    <x v="1"/>
    <x v="10"/>
    <x v="332"/>
    <x v="1"/>
  </r>
  <r>
    <x v="1"/>
    <x v="11"/>
    <x v="333"/>
    <x v="1"/>
  </r>
  <r>
    <x v="1"/>
    <x v="12"/>
    <x v="334"/>
    <x v="1"/>
  </r>
  <r>
    <x v="1"/>
    <x v="13"/>
    <x v="335"/>
    <x v="1"/>
  </r>
  <r>
    <x v="1"/>
    <x v="14"/>
    <x v="336"/>
    <x v="1"/>
  </r>
  <r>
    <x v="1"/>
    <x v="0"/>
    <x v="337"/>
    <x v="1"/>
  </r>
  <r>
    <x v="1"/>
    <x v="1"/>
    <x v="338"/>
    <x v="1"/>
  </r>
  <r>
    <x v="1"/>
    <x v="2"/>
    <x v="17"/>
    <x v="1"/>
  </r>
  <r>
    <x v="1"/>
    <x v="3"/>
    <x v="339"/>
    <x v="1"/>
  </r>
  <r>
    <x v="1"/>
    <x v="4"/>
    <x v="340"/>
    <x v="1"/>
  </r>
  <r>
    <x v="1"/>
    <x v="5"/>
    <x v="341"/>
    <x v="1"/>
  </r>
  <r>
    <x v="1"/>
    <x v="6"/>
    <x v="125"/>
    <x v="1"/>
  </r>
  <r>
    <x v="1"/>
    <x v="7"/>
    <x v="342"/>
    <x v="1"/>
  </r>
  <r>
    <x v="1"/>
    <x v="8"/>
    <x v="343"/>
    <x v="1"/>
  </r>
  <r>
    <x v="1"/>
    <x v="9"/>
    <x v="344"/>
    <x v="1"/>
  </r>
  <r>
    <x v="1"/>
    <x v="10"/>
    <x v="345"/>
    <x v="1"/>
  </r>
  <r>
    <x v="1"/>
    <x v="11"/>
    <x v="346"/>
    <x v="1"/>
  </r>
  <r>
    <x v="1"/>
    <x v="12"/>
    <x v="347"/>
    <x v="1"/>
  </r>
  <r>
    <x v="1"/>
    <x v="13"/>
    <x v="348"/>
    <x v="1"/>
  </r>
  <r>
    <x v="1"/>
    <x v="14"/>
    <x v="349"/>
    <x v="1"/>
  </r>
  <r>
    <x v="1"/>
    <x v="0"/>
    <x v="350"/>
    <x v="1"/>
  </r>
  <r>
    <x v="1"/>
    <x v="1"/>
    <x v="351"/>
    <x v="1"/>
  </r>
  <r>
    <x v="1"/>
    <x v="2"/>
    <x v="2"/>
    <x v="1"/>
  </r>
  <r>
    <x v="1"/>
    <x v="3"/>
    <x v="352"/>
    <x v="1"/>
  </r>
  <r>
    <x v="1"/>
    <x v="4"/>
    <x v="353"/>
    <x v="1"/>
  </r>
  <r>
    <x v="1"/>
    <x v="5"/>
    <x v="354"/>
    <x v="1"/>
  </r>
  <r>
    <x v="1"/>
    <x v="6"/>
    <x v="138"/>
    <x v="1"/>
  </r>
  <r>
    <x v="1"/>
    <x v="7"/>
    <x v="355"/>
    <x v="1"/>
  </r>
  <r>
    <x v="1"/>
    <x v="8"/>
    <x v="356"/>
    <x v="1"/>
  </r>
  <r>
    <x v="1"/>
    <x v="9"/>
    <x v="357"/>
    <x v="1"/>
  </r>
  <r>
    <x v="1"/>
    <x v="10"/>
    <x v="358"/>
    <x v="1"/>
  </r>
  <r>
    <x v="1"/>
    <x v="11"/>
    <x v="359"/>
    <x v="1"/>
  </r>
  <r>
    <x v="1"/>
    <x v="12"/>
    <x v="360"/>
    <x v="1"/>
  </r>
  <r>
    <x v="1"/>
    <x v="13"/>
    <x v="361"/>
    <x v="1"/>
  </r>
  <r>
    <x v="1"/>
    <x v="14"/>
    <x v="362"/>
    <x v="1"/>
  </r>
  <r>
    <x v="1"/>
    <x v="0"/>
    <x v="363"/>
    <x v="1"/>
  </r>
  <r>
    <x v="1"/>
    <x v="1"/>
    <x v="325"/>
    <x v="1"/>
  </r>
  <r>
    <x v="1"/>
    <x v="2"/>
    <x v="220"/>
    <x v="1"/>
  </r>
  <r>
    <x v="1"/>
    <x v="3"/>
    <x v="364"/>
    <x v="1"/>
  </r>
  <r>
    <x v="1"/>
    <x v="4"/>
    <x v="365"/>
    <x v="1"/>
  </r>
  <r>
    <x v="1"/>
    <x v="5"/>
    <x v="366"/>
    <x v="1"/>
  </r>
  <r>
    <x v="1"/>
    <x v="6"/>
    <x v="152"/>
    <x v="1"/>
  </r>
  <r>
    <x v="1"/>
    <x v="7"/>
    <x v="367"/>
    <x v="1"/>
  </r>
  <r>
    <x v="1"/>
    <x v="8"/>
    <x v="368"/>
    <x v="1"/>
  </r>
  <r>
    <x v="1"/>
    <x v="9"/>
    <x v="369"/>
    <x v="1"/>
  </r>
  <r>
    <x v="1"/>
    <x v="10"/>
    <x v="370"/>
    <x v="1"/>
  </r>
  <r>
    <x v="1"/>
    <x v="11"/>
    <x v="371"/>
    <x v="1"/>
  </r>
  <r>
    <x v="1"/>
    <x v="12"/>
    <x v="372"/>
    <x v="1"/>
  </r>
  <r>
    <x v="1"/>
    <x v="13"/>
    <x v="373"/>
    <x v="1"/>
  </r>
  <r>
    <x v="1"/>
    <x v="14"/>
    <x v="374"/>
    <x v="1"/>
  </r>
  <r>
    <x v="1"/>
    <x v="0"/>
    <x v="375"/>
    <x v="1"/>
  </r>
  <r>
    <x v="1"/>
    <x v="1"/>
    <x v="328"/>
    <x v="1"/>
  </r>
  <r>
    <x v="1"/>
    <x v="2"/>
    <x v="376"/>
    <x v="1"/>
  </r>
  <r>
    <x v="1"/>
    <x v="3"/>
    <x v="377"/>
    <x v="1"/>
  </r>
  <r>
    <x v="1"/>
    <x v="4"/>
    <x v="378"/>
    <x v="1"/>
  </r>
  <r>
    <x v="1"/>
    <x v="5"/>
    <x v="379"/>
    <x v="1"/>
  </r>
  <r>
    <x v="1"/>
    <x v="6"/>
    <x v="167"/>
    <x v="1"/>
  </r>
  <r>
    <x v="1"/>
    <x v="7"/>
    <x v="380"/>
    <x v="1"/>
  </r>
  <r>
    <x v="1"/>
    <x v="8"/>
    <x v="381"/>
    <x v="1"/>
  </r>
  <r>
    <x v="1"/>
    <x v="9"/>
    <x v="382"/>
    <x v="1"/>
  </r>
  <r>
    <x v="1"/>
    <x v="10"/>
    <x v="383"/>
    <x v="1"/>
  </r>
  <r>
    <x v="1"/>
    <x v="11"/>
    <x v="384"/>
    <x v="1"/>
  </r>
  <r>
    <x v="1"/>
    <x v="12"/>
    <x v="385"/>
    <x v="1"/>
  </r>
  <r>
    <x v="1"/>
    <x v="13"/>
    <x v="386"/>
    <x v="1"/>
  </r>
  <r>
    <x v="1"/>
    <x v="14"/>
    <x v="387"/>
    <x v="1"/>
  </r>
  <r>
    <x v="1"/>
    <x v="0"/>
    <x v="388"/>
    <x v="1"/>
  </r>
  <r>
    <x v="1"/>
    <x v="1"/>
    <x v="389"/>
    <x v="1"/>
  </r>
  <r>
    <x v="1"/>
    <x v="2"/>
    <x v="6"/>
    <x v="1"/>
  </r>
  <r>
    <x v="1"/>
    <x v="3"/>
    <x v="390"/>
    <x v="1"/>
  </r>
  <r>
    <x v="1"/>
    <x v="4"/>
    <x v="391"/>
    <x v="1"/>
  </r>
  <r>
    <x v="1"/>
    <x v="5"/>
    <x v="392"/>
    <x v="1"/>
  </r>
  <r>
    <x v="1"/>
    <x v="6"/>
    <x v="181"/>
    <x v="1"/>
  </r>
  <r>
    <x v="1"/>
    <x v="7"/>
    <x v="393"/>
    <x v="1"/>
  </r>
  <r>
    <x v="1"/>
    <x v="8"/>
    <x v="394"/>
    <x v="1"/>
  </r>
  <r>
    <x v="1"/>
    <x v="9"/>
    <x v="155"/>
    <x v="1"/>
  </r>
  <r>
    <x v="1"/>
    <x v="10"/>
    <x v="395"/>
    <x v="1"/>
  </r>
  <r>
    <x v="1"/>
    <x v="11"/>
    <x v="396"/>
    <x v="1"/>
  </r>
  <r>
    <x v="1"/>
    <x v="12"/>
    <x v="397"/>
    <x v="1"/>
  </r>
  <r>
    <x v="1"/>
    <x v="13"/>
    <x v="398"/>
    <x v="1"/>
  </r>
  <r>
    <x v="1"/>
    <x v="14"/>
    <x v="399"/>
    <x v="1"/>
  </r>
  <r>
    <x v="1"/>
    <x v="0"/>
    <x v="400"/>
    <x v="1"/>
  </r>
  <r>
    <x v="1"/>
    <x v="1"/>
    <x v="401"/>
    <x v="1"/>
  </r>
  <r>
    <x v="1"/>
    <x v="2"/>
    <x v="288"/>
    <x v="1"/>
  </r>
  <r>
    <x v="1"/>
    <x v="3"/>
    <x v="402"/>
    <x v="1"/>
  </r>
  <r>
    <x v="1"/>
    <x v="4"/>
    <x v="403"/>
    <x v="1"/>
  </r>
  <r>
    <x v="1"/>
    <x v="5"/>
    <x v="404"/>
    <x v="1"/>
  </r>
  <r>
    <x v="1"/>
    <x v="6"/>
    <x v="195"/>
    <x v="1"/>
  </r>
  <r>
    <x v="1"/>
    <x v="7"/>
    <x v="405"/>
    <x v="1"/>
  </r>
  <r>
    <x v="1"/>
    <x v="8"/>
    <x v="406"/>
    <x v="1"/>
  </r>
  <r>
    <x v="1"/>
    <x v="9"/>
    <x v="407"/>
    <x v="1"/>
  </r>
  <r>
    <x v="1"/>
    <x v="10"/>
    <x v="408"/>
    <x v="1"/>
  </r>
  <r>
    <x v="1"/>
    <x v="11"/>
    <x v="409"/>
    <x v="1"/>
  </r>
  <r>
    <x v="1"/>
    <x v="12"/>
    <x v="410"/>
    <x v="1"/>
  </r>
  <r>
    <x v="1"/>
    <x v="13"/>
    <x v="411"/>
    <x v="1"/>
  </r>
  <r>
    <x v="1"/>
    <x v="14"/>
    <x v="412"/>
    <x v="1"/>
  </r>
  <r>
    <x v="1"/>
    <x v="0"/>
    <x v="413"/>
    <x v="1"/>
  </r>
  <r>
    <x v="1"/>
    <x v="1"/>
    <x v="414"/>
    <x v="1"/>
  </r>
  <r>
    <x v="1"/>
    <x v="2"/>
    <x v="95"/>
    <x v="1"/>
  </r>
  <r>
    <x v="1"/>
    <x v="3"/>
    <x v="415"/>
    <x v="1"/>
  </r>
  <r>
    <x v="1"/>
    <x v="4"/>
    <x v="416"/>
    <x v="1"/>
  </r>
  <r>
    <x v="1"/>
    <x v="5"/>
    <x v="354"/>
    <x v="1"/>
  </r>
  <r>
    <x v="1"/>
    <x v="6"/>
    <x v="209"/>
    <x v="1"/>
  </r>
  <r>
    <x v="1"/>
    <x v="7"/>
    <x v="417"/>
    <x v="1"/>
  </r>
  <r>
    <x v="1"/>
    <x v="8"/>
    <x v="418"/>
    <x v="1"/>
  </r>
  <r>
    <x v="1"/>
    <x v="9"/>
    <x v="419"/>
    <x v="1"/>
  </r>
  <r>
    <x v="1"/>
    <x v="10"/>
    <x v="420"/>
    <x v="1"/>
  </r>
  <r>
    <x v="1"/>
    <x v="11"/>
    <x v="421"/>
    <x v="1"/>
  </r>
  <r>
    <x v="1"/>
    <x v="12"/>
    <x v="422"/>
    <x v="1"/>
  </r>
  <r>
    <x v="1"/>
    <x v="13"/>
    <x v="423"/>
    <x v="1"/>
  </r>
  <r>
    <x v="1"/>
    <x v="14"/>
    <x v="424"/>
    <x v="1"/>
  </r>
  <r>
    <x v="1"/>
    <x v="0"/>
    <x v="425"/>
    <x v="1"/>
  </r>
  <r>
    <x v="1"/>
    <x v="1"/>
    <x v="426"/>
    <x v="1"/>
  </r>
  <r>
    <x v="1"/>
    <x v="2"/>
    <x v="2"/>
    <x v="1"/>
  </r>
  <r>
    <x v="1"/>
    <x v="3"/>
    <x v="427"/>
    <x v="1"/>
  </r>
  <r>
    <x v="1"/>
    <x v="4"/>
    <x v="428"/>
    <x v="1"/>
  </r>
  <r>
    <x v="1"/>
    <x v="5"/>
    <x v="429"/>
    <x v="1"/>
  </r>
  <r>
    <x v="1"/>
    <x v="6"/>
    <x v="224"/>
    <x v="1"/>
  </r>
  <r>
    <x v="1"/>
    <x v="7"/>
    <x v="430"/>
    <x v="1"/>
  </r>
  <r>
    <x v="1"/>
    <x v="8"/>
    <x v="431"/>
    <x v="1"/>
  </r>
  <r>
    <x v="1"/>
    <x v="9"/>
    <x v="432"/>
    <x v="1"/>
  </r>
  <r>
    <x v="1"/>
    <x v="10"/>
    <x v="433"/>
    <x v="1"/>
  </r>
  <r>
    <x v="1"/>
    <x v="11"/>
    <x v="434"/>
    <x v="1"/>
  </r>
  <r>
    <x v="1"/>
    <x v="12"/>
    <x v="435"/>
    <x v="1"/>
  </r>
  <r>
    <x v="1"/>
    <x v="13"/>
    <x v="436"/>
    <x v="1"/>
  </r>
  <r>
    <x v="1"/>
    <x v="14"/>
    <x v="437"/>
    <x v="1"/>
  </r>
  <r>
    <x v="0"/>
    <x v="0"/>
    <x v="438"/>
    <x v="2"/>
  </r>
  <r>
    <x v="0"/>
    <x v="1"/>
    <x v="439"/>
    <x v="2"/>
  </r>
  <r>
    <x v="0"/>
    <x v="2"/>
    <x v="274"/>
    <x v="2"/>
  </r>
  <r>
    <x v="0"/>
    <x v="3"/>
    <x v="440"/>
    <x v="2"/>
  </r>
  <r>
    <x v="0"/>
    <x v="4"/>
    <x v="441"/>
    <x v="2"/>
  </r>
  <r>
    <x v="0"/>
    <x v="5"/>
    <x v="442"/>
    <x v="2"/>
  </r>
  <r>
    <x v="0"/>
    <x v="6"/>
    <x v="6"/>
    <x v="2"/>
  </r>
  <r>
    <x v="0"/>
    <x v="7"/>
    <x v="443"/>
    <x v="2"/>
  </r>
  <r>
    <x v="0"/>
    <x v="8"/>
    <x v="444"/>
    <x v="2"/>
  </r>
  <r>
    <x v="0"/>
    <x v="9"/>
    <x v="445"/>
    <x v="2"/>
  </r>
  <r>
    <x v="0"/>
    <x v="10"/>
    <x v="446"/>
    <x v="2"/>
  </r>
  <r>
    <x v="0"/>
    <x v="11"/>
    <x v="447"/>
    <x v="2"/>
  </r>
  <r>
    <x v="0"/>
    <x v="12"/>
    <x v="448"/>
    <x v="2"/>
  </r>
  <r>
    <x v="0"/>
    <x v="13"/>
    <x v="449"/>
    <x v="2"/>
  </r>
  <r>
    <x v="0"/>
    <x v="14"/>
    <x v="450"/>
    <x v="2"/>
  </r>
  <r>
    <x v="0"/>
    <x v="0"/>
    <x v="451"/>
    <x v="2"/>
  </r>
  <r>
    <x v="0"/>
    <x v="1"/>
    <x v="452"/>
    <x v="2"/>
  </r>
  <r>
    <x v="0"/>
    <x v="2"/>
    <x v="106"/>
    <x v="2"/>
  </r>
  <r>
    <x v="0"/>
    <x v="3"/>
    <x v="453"/>
    <x v="2"/>
  </r>
  <r>
    <x v="0"/>
    <x v="4"/>
    <x v="454"/>
    <x v="2"/>
  </r>
  <r>
    <x v="0"/>
    <x v="5"/>
    <x v="455"/>
    <x v="2"/>
  </r>
  <r>
    <x v="0"/>
    <x v="6"/>
    <x v="21"/>
    <x v="2"/>
  </r>
  <r>
    <x v="0"/>
    <x v="7"/>
    <x v="456"/>
    <x v="2"/>
  </r>
  <r>
    <x v="0"/>
    <x v="8"/>
    <x v="457"/>
    <x v="2"/>
  </r>
  <r>
    <x v="0"/>
    <x v="9"/>
    <x v="458"/>
    <x v="2"/>
  </r>
  <r>
    <x v="0"/>
    <x v="10"/>
    <x v="459"/>
    <x v="2"/>
  </r>
  <r>
    <x v="0"/>
    <x v="11"/>
    <x v="460"/>
    <x v="2"/>
  </r>
  <r>
    <x v="0"/>
    <x v="12"/>
    <x v="461"/>
    <x v="2"/>
  </r>
  <r>
    <x v="0"/>
    <x v="13"/>
    <x v="462"/>
    <x v="2"/>
  </r>
  <r>
    <x v="0"/>
    <x v="14"/>
    <x v="463"/>
    <x v="2"/>
  </r>
  <r>
    <x v="0"/>
    <x v="0"/>
    <x v="464"/>
    <x v="2"/>
  </r>
  <r>
    <x v="0"/>
    <x v="1"/>
    <x v="465"/>
    <x v="2"/>
  </r>
  <r>
    <x v="0"/>
    <x v="2"/>
    <x v="288"/>
    <x v="2"/>
  </r>
  <r>
    <x v="0"/>
    <x v="3"/>
    <x v="466"/>
    <x v="2"/>
  </r>
  <r>
    <x v="0"/>
    <x v="4"/>
    <x v="467"/>
    <x v="2"/>
  </r>
  <r>
    <x v="0"/>
    <x v="5"/>
    <x v="468"/>
    <x v="2"/>
  </r>
  <r>
    <x v="0"/>
    <x v="6"/>
    <x v="36"/>
    <x v="2"/>
  </r>
  <r>
    <x v="0"/>
    <x v="7"/>
    <x v="469"/>
    <x v="2"/>
  </r>
  <r>
    <x v="0"/>
    <x v="8"/>
    <x v="470"/>
    <x v="2"/>
  </r>
  <r>
    <x v="0"/>
    <x v="9"/>
    <x v="471"/>
    <x v="2"/>
  </r>
  <r>
    <x v="0"/>
    <x v="10"/>
    <x v="472"/>
    <x v="2"/>
  </r>
  <r>
    <x v="0"/>
    <x v="11"/>
    <x v="473"/>
    <x v="2"/>
  </r>
  <r>
    <x v="0"/>
    <x v="12"/>
    <x v="474"/>
    <x v="2"/>
  </r>
  <r>
    <x v="0"/>
    <x v="13"/>
    <x v="475"/>
    <x v="2"/>
  </r>
  <r>
    <x v="0"/>
    <x v="14"/>
    <x v="476"/>
    <x v="2"/>
  </r>
  <r>
    <x v="0"/>
    <x v="0"/>
    <x v="477"/>
    <x v="2"/>
  </r>
  <r>
    <x v="0"/>
    <x v="1"/>
    <x v="478"/>
    <x v="2"/>
  </r>
  <r>
    <x v="0"/>
    <x v="2"/>
    <x v="47"/>
    <x v="2"/>
  </r>
  <r>
    <x v="0"/>
    <x v="3"/>
    <x v="479"/>
    <x v="2"/>
  </r>
  <r>
    <x v="0"/>
    <x v="4"/>
    <x v="247"/>
    <x v="2"/>
  </r>
  <r>
    <x v="0"/>
    <x v="5"/>
    <x v="480"/>
    <x v="2"/>
  </r>
  <r>
    <x v="0"/>
    <x v="6"/>
    <x v="51"/>
    <x v="2"/>
  </r>
  <r>
    <x v="0"/>
    <x v="7"/>
    <x v="481"/>
    <x v="2"/>
  </r>
  <r>
    <x v="0"/>
    <x v="8"/>
    <x v="482"/>
    <x v="2"/>
  </r>
  <r>
    <x v="0"/>
    <x v="9"/>
    <x v="483"/>
    <x v="2"/>
  </r>
  <r>
    <x v="0"/>
    <x v="10"/>
    <x v="484"/>
    <x v="2"/>
  </r>
  <r>
    <x v="0"/>
    <x v="11"/>
    <x v="485"/>
    <x v="2"/>
  </r>
  <r>
    <x v="0"/>
    <x v="12"/>
    <x v="486"/>
    <x v="2"/>
  </r>
  <r>
    <x v="0"/>
    <x v="13"/>
    <x v="487"/>
    <x v="2"/>
  </r>
  <r>
    <x v="0"/>
    <x v="14"/>
    <x v="488"/>
    <x v="2"/>
  </r>
  <r>
    <x v="0"/>
    <x v="0"/>
    <x v="489"/>
    <x v="2"/>
  </r>
  <r>
    <x v="0"/>
    <x v="1"/>
    <x v="439"/>
    <x v="2"/>
  </r>
  <r>
    <x v="0"/>
    <x v="2"/>
    <x v="106"/>
    <x v="2"/>
  </r>
  <r>
    <x v="0"/>
    <x v="3"/>
    <x v="490"/>
    <x v="2"/>
  </r>
  <r>
    <x v="0"/>
    <x v="4"/>
    <x v="491"/>
    <x v="2"/>
  </r>
  <r>
    <x v="0"/>
    <x v="5"/>
    <x v="455"/>
    <x v="2"/>
  </r>
  <r>
    <x v="0"/>
    <x v="6"/>
    <x v="66"/>
    <x v="2"/>
  </r>
  <r>
    <x v="0"/>
    <x v="7"/>
    <x v="492"/>
    <x v="2"/>
  </r>
  <r>
    <x v="0"/>
    <x v="8"/>
    <x v="493"/>
    <x v="2"/>
  </r>
  <r>
    <x v="0"/>
    <x v="9"/>
    <x v="494"/>
    <x v="2"/>
  </r>
  <r>
    <x v="0"/>
    <x v="10"/>
    <x v="495"/>
    <x v="2"/>
  </r>
  <r>
    <x v="0"/>
    <x v="11"/>
    <x v="496"/>
    <x v="2"/>
  </r>
  <r>
    <x v="0"/>
    <x v="12"/>
    <x v="497"/>
    <x v="2"/>
  </r>
  <r>
    <x v="0"/>
    <x v="13"/>
    <x v="498"/>
    <x v="2"/>
  </r>
  <r>
    <x v="0"/>
    <x v="14"/>
    <x v="499"/>
    <x v="2"/>
  </r>
  <r>
    <x v="0"/>
    <x v="0"/>
    <x v="500"/>
    <x v="2"/>
  </r>
  <r>
    <x v="0"/>
    <x v="1"/>
    <x v="501"/>
    <x v="2"/>
  </r>
  <r>
    <x v="0"/>
    <x v="2"/>
    <x v="47"/>
    <x v="2"/>
  </r>
  <r>
    <x v="0"/>
    <x v="3"/>
    <x v="502"/>
    <x v="2"/>
  </r>
  <r>
    <x v="0"/>
    <x v="4"/>
    <x v="503"/>
    <x v="2"/>
  </r>
  <r>
    <x v="0"/>
    <x v="5"/>
    <x v="504"/>
    <x v="2"/>
  </r>
  <r>
    <x v="0"/>
    <x v="6"/>
    <x v="81"/>
    <x v="2"/>
  </r>
  <r>
    <x v="0"/>
    <x v="7"/>
    <x v="505"/>
    <x v="2"/>
  </r>
  <r>
    <x v="0"/>
    <x v="8"/>
    <x v="506"/>
    <x v="2"/>
  </r>
  <r>
    <x v="0"/>
    <x v="9"/>
    <x v="507"/>
    <x v="2"/>
  </r>
  <r>
    <x v="0"/>
    <x v="10"/>
    <x v="508"/>
    <x v="2"/>
  </r>
  <r>
    <x v="0"/>
    <x v="11"/>
    <x v="509"/>
    <x v="2"/>
  </r>
  <r>
    <x v="0"/>
    <x v="12"/>
    <x v="510"/>
    <x v="2"/>
  </r>
  <r>
    <x v="0"/>
    <x v="13"/>
    <x v="511"/>
    <x v="2"/>
  </r>
  <r>
    <x v="0"/>
    <x v="14"/>
    <x v="512"/>
    <x v="2"/>
  </r>
  <r>
    <x v="0"/>
    <x v="0"/>
    <x v="513"/>
    <x v="2"/>
  </r>
  <r>
    <x v="0"/>
    <x v="1"/>
    <x v="514"/>
    <x v="2"/>
  </r>
  <r>
    <x v="0"/>
    <x v="2"/>
    <x v="106"/>
    <x v="2"/>
  </r>
  <r>
    <x v="0"/>
    <x v="3"/>
    <x v="515"/>
    <x v="2"/>
  </r>
  <r>
    <x v="0"/>
    <x v="4"/>
    <x v="516"/>
    <x v="2"/>
  </r>
  <r>
    <x v="0"/>
    <x v="5"/>
    <x v="517"/>
    <x v="2"/>
  </r>
  <r>
    <x v="0"/>
    <x v="6"/>
    <x v="95"/>
    <x v="2"/>
  </r>
  <r>
    <x v="0"/>
    <x v="7"/>
    <x v="518"/>
    <x v="2"/>
  </r>
  <r>
    <x v="0"/>
    <x v="8"/>
    <x v="519"/>
    <x v="2"/>
  </r>
  <r>
    <x v="0"/>
    <x v="9"/>
    <x v="520"/>
    <x v="2"/>
  </r>
  <r>
    <x v="0"/>
    <x v="10"/>
    <x v="521"/>
    <x v="2"/>
  </r>
  <r>
    <x v="0"/>
    <x v="11"/>
    <x v="522"/>
    <x v="2"/>
  </r>
  <r>
    <x v="0"/>
    <x v="12"/>
    <x v="523"/>
    <x v="2"/>
  </r>
  <r>
    <x v="0"/>
    <x v="13"/>
    <x v="524"/>
    <x v="2"/>
  </r>
  <r>
    <x v="0"/>
    <x v="14"/>
    <x v="525"/>
    <x v="2"/>
  </r>
  <r>
    <x v="1"/>
    <x v="0"/>
    <x v="526"/>
    <x v="2"/>
  </r>
  <r>
    <x v="1"/>
    <x v="1"/>
    <x v="263"/>
    <x v="2"/>
  </r>
  <r>
    <x v="1"/>
    <x v="2"/>
    <x v="527"/>
    <x v="2"/>
  </r>
  <r>
    <x v="1"/>
    <x v="3"/>
    <x v="528"/>
    <x v="2"/>
  </r>
  <r>
    <x v="1"/>
    <x v="4"/>
    <x v="529"/>
    <x v="2"/>
  </r>
  <r>
    <x v="1"/>
    <x v="5"/>
    <x v="530"/>
    <x v="2"/>
  </r>
  <r>
    <x v="1"/>
    <x v="6"/>
    <x v="110"/>
    <x v="2"/>
  </r>
  <r>
    <x v="1"/>
    <x v="7"/>
    <x v="531"/>
    <x v="2"/>
  </r>
  <r>
    <x v="1"/>
    <x v="8"/>
    <x v="532"/>
    <x v="2"/>
  </r>
  <r>
    <x v="1"/>
    <x v="9"/>
    <x v="533"/>
    <x v="2"/>
  </r>
  <r>
    <x v="1"/>
    <x v="10"/>
    <x v="534"/>
    <x v="2"/>
  </r>
  <r>
    <x v="1"/>
    <x v="11"/>
    <x v="535"/>
    <x v="2"/>
  </r>
  <r>
    <x v="1"/>
    <x v="12"/>
    <x v="536"/>
    <x v="2"/>
  </r>
  <r>
    <x v="1"/>
    <x v="13"/>
    <x v="537"/>
    <x v="2"/>
  </r>
  <r>
    <x v="1"/>
    <x v="14"/>
    <x v="538"/>
    <x v="2"/>
  </r>
  <r>
    <x v="1"/>
    <x v="0"/>
    <x v="539"/>
    <x v="2"/>
  </r>
  <r>
    <x v="1"/>
    <x v="1"/>
    <x v="262"/>
    <x v="2"/>
  </r>
  <r>
    <x v="1"/>
    <x v="2"/>
    <x v="191"/>
    <x v="2"/>
  </r>
  <r>
    <x v="1"/>
    <x v="3"/>
    <x v="540"/>
    <x v="2"/>
  </r>
  <r>
    <x v="1"/>
    <x v="4"/>
    <x v="541"/>
    <x v="2"/>
  </r>
  <r>
    <x v="1"/>
    <x v="5"/>
    <x v="151"/>
    <x v="2"/>
  </r>
  <r>
    <x v="1"/>
    <x v="6"/>
    <x v="125"/>
    <x v="2"/>
  </r>
  <r>
    <x v="1"/>
    <x v="7"/>
    <x v="542"/>
    <x v="2"/>
  </r>
  <r>
    <x v="1"/>
    <x v="8"/>
    <x v="543"/>
    <x v="2"/>
  </r>
  <r>
    <x v="1"/>
    <x v="9"/>
    <x v="544"/>
    <x v="2"/>
  </r>
  <r>
    <x v="1"/>
    <x v="10"/>
    <x v="545"/>
    <x v="2"/>
  </r>
  <r>
    <x v="1"/>
    <x v="11"/>
    <x v="546"/>
    <x v="2"/>
  </r>
  <r>
    <x v="1"/>
    <x v="12"/>
    <x v="547"/>
    <x v="2"/>
  </r>
  <r>
    <x v="1"/>
    <x v="13"/>
    <x v="548"/>
    <x v="2"/>
  </r>
  <r>
    <x v="1"/>
    <x v="14"/>
    <x v="549"/>
    <x v="2"/>
  </r>
  <r>
    <x v="1"/>
    <x v="0"/>
    <x v="550"/>
    <x v="2"/>
  </r>
  <r>
    <x v="1"/>
    <x v="1"/>
    <x v="551"/>
    <x v="2"/>
  </r>
  <r>
    <x v="1"/>
    <x v="2"/>
    <x v="376"/>
    <x v="2"/>
  </r>
  <r>
    <x v="1"/>
    <x v="3"/>
    <x v="552"/>
    <x v="2"/>
  </r>
  <r>
    <x v="1"/>
    <x v="4"/>
    <x v="553"/>
    <x v="2"/>
  </r>
  <r>
    <x v="1"/>
    <x v="5"/>
    <x v="554"/>
    <x v="2"/>
  </r>
  <r>
    <x v="1"/>
    <x v="6"/>
    <x v="138"/>
    <x v="2"/>
  </r>
  <r>
    <x v="1"/>
    <x v="7"/>
    <x v="555"/>
    <x v="2"/>
  </r>
  <r>
    <x v="1"/>
    <x v="8"/>
    <x v="556"/>
    <x v="2"/>
  </r>
  <r>
    <x v="1"/>
    <x v="9"/>
    <x v="557"/>
    <x v="2"/>
  </r>
  <r>
    <x v="1"/>
    <x v="10"/>
    <x v="558"/>
    <x v="2"/>
  </r>
  <r>
    <x v="1"/>
    <x v="11"/>
    <x v="559"/>
    <x v="2"/>
  </r>
  <r>
    <x v="1"/>
    <x v="12"/>
    <x v="560"/>
    <x v="2"/>
  </r>
  <r>
    <x v="1"/>
    <x v="13"/>
    <x v="561"/>
    <x v="2"/>
  </r>
  <r>
    <x v="1"/>
    <x v="14"/>
    <x v="562"/>
    <x v="2"/>
  </r>
  <r>
    <x v="1"/>
    <x v="0"/>
    <x v="563"/>
    <x v="2"/>
  </r>
  <r>
    <x v="1"/>
    <x v="1"/>
    <x v="564"/>
    <x v="2"/>
  </r>
  <r>
    <x v="1"/>
    <x v="2"/>
    <x v="32"/>
    <x v="2"/>
  </r>
  <r>
    <x v="1"/>
    <x v="3"/>
    <x v="565"/>
    <x v="2"/>
  </r>
  <r>
    <x v="1"/>
    <x v="4"/>
    <x v="566"/>
    <x v="2"/>
  </r>
  <r>
    <x v="1"/>
    <x v="5"/>
    <x v="567"/>
    <x v="2"/>
  </r>
  <r>
    <x v="1"/>
    <x v="6"/>
    <x v="152"/>
    <x v="2"/>
  </r>
  <r>
    <x v="1"/>
    <x v="7"/>
    <x v="568"/>
    <x v="2"/>
  </r>
  <r>
    <x v="1"/>
    <x v="8"/>
    <x v="569"/>
    <x v="2"/>
  </r>
  <r>
    <x v="1"/>
    <x v="9"/>
    <x v="570"/>
    <x v="2"/>
  </r>
  <r>
    <x v="1"/>
    <x v="10"/>
    <x v="571"/>
    <x v="2"/>
  </r>
  <r>
    <x v="1"/>
    <x v="11"/>
    <x v="572"/>
    <x v="2"/>
  </r>
  <r>
    <x v="1"/>
    <x v="12"/>
    <x v="573"/>
    <x v="2"/>
  </r>
  <r>
    <x v="1"/>
    <x v="13"/>
    <x v="574"/>
    <x v="2"/>
  </r>
  <r>
    <x v="1"/>
    <x v="14"/>
    <x v="575"/>
    <x v="2"/>
  </r>
  <r>
    <x v="1"/>
    <x v="0"/>
    <x v="576"/>
    <x v="2"/>
  </r>
  <r>
    <x v="1"/>
    <x v="1"/>
    <x v="577"/>
    <x v="2"/>
  </r>
  <r>
    <x v="1"/>
    <x v="2"/>
    <x v="326"/>
    <x v="2"/>
  </r>
  <r>
    <x v="1"/>
    <x v="3"/>
    <x v="578"/>
    <x v="2"/>
  </r>
  <r>
    <x v="1"/>
    <x v="4"/>
    <x v="302"/>
    <x v="2"/>
  </r>
  <r>
    <x v="1"/>
    <x v="5"/>
    <x v="579"/>
    <x v="2"/>
  </r>
  <r>
    <x v="1"/>
    <x v="6"/>
    <x v="167"/>
    <x v="2"/>
  </r>
  <r>
    <x v="1"/>
    <x v="7"/>
    <x v="580"/>
    <x v="2"/>
  </r>
  <r>
    <x v="1"/>
    <x v="8"/>
    <x v="581"/>
    <x v="2"/>
  </r>
  <r>
    <x v="1"/>
    <x v="9"/>
    <x v="582"/>
    <x v="2"/>
  </r>
  <r>
    <x v="1"/>
    <x v="10"/>
    <x v="583"/>
    <x v="2"/>
  </r>
  <r>
    <x v="1"/>
    <x v="11"/>
    <x v="584"/>
    <x v="2"/>
  </r>
  <r>
    <x v="1"/>
    <x v="12"/>
    <x v="585"/>
    <x v="2"/>
  </r>
  <r>
    <x v="1"/>
    <x v="13"/>
    <x v="586"/>
    <x v="2"/>
  </r>
  <r>
    <x v="1"/>
    <x v="14"/>
    <x v="587"/>
    <x v="2"/>
  </r>
  <r>
    <x v="1"/>
    <x v="0"/>
    <x v="588"/>
    <x v="2"/>
  </r>
  <r>
    <x v="1"/>
    <x v="1"/>
    <x v="4"/>
    <x v="2"/>
  </r>
  <r>
    <x v="1"/>
    <x v="2"/>
    <x v="62"/>
    <x v="2"/>
  </r>
  <r>
    <x v="1"/>
    <x v="3"/>
    <x v="589"/>
    <x v="2"/>
  </r>
  <r>
    <x v="1"/>
    <x v="4"/>
    <x v="162"/>
    <x v="2"/>
  </r>
  <r>
    <x v="1"/>
    <x v="5"/>
    <x v="439"/>
    <x v="2"/>
  </r>
  <r>
    <x v="1"/>
    <x v="6"/>
    <x v="181"/>
    <x v="2"/>
  </r>
  <r>
    <x v="1"/>
    <x v="7"/>
    <x v="590"/>
    <x v="2"/>
  </r>
  <r>
    <x v="1"/>
    <x v="8"/>
    <x v="591"/>
    <x v="2"/>
  </r>
  <r>
    <x v="1"/>
    <x v="9"/>
    <x v="592"/>
    <x v="2"/>
  </r>
  <r>
    <x v="1"/>
    <x v="10"/>
    <x v="593"/>
    <x v="2"/>
  </r>
  <r>
    <x v="1"/>
    <x v="11"/>
    <x v="594"/>
    <x v="2"/>
  </r>
  <r>
    <x v="1"/>
    <x v="12"/>
    <x v="595"/>
    <x v="2"/>
  </r>
  <r>
    <x v="1"/>
    <x v="13"/>
    <x v="596"/>
    <x v="2"/>
  </r>
  <r>
    <x v="1"/>
    <x v="14"/>
    <x v="597"/>
    <x v="2"/>
  </r>
  <r>
    <x v="1"/>
    <x v="0"/>
    <x v="598"/>
    <x v="2"/>
  </r>
  <r>
    <x v="1"/>
    <x v="1"/>
    <x v="599"/>
    <x v="2"/>
  </r>
  <r>
    <x v="1"/>
    <x v="2"/>
    <x v="95"/>
    <x v="2"/>
  </r>
  <r>
    <x v="1"/>
    <x v="3"/>
    <x v="600"/>
    <x v="2"/>
  </r>
  <r>
    <x v="1"/>
    <x v="4"/>
    <x v="601"/>
    <x v="2"/>
  </r>
  <r>
    <x v="1"/>
    <x v="5"/>
    <x v="602"/>
    <x v="2"/>
  </r>
  <r>
    <x v="1"/>
    <x v="6"/>
    <x v="195"/>
    <x v="2"/>
  </r>
  <r>
    <x v="1"/>
    <x v="7"/>
    <x v="603"/>
    <x v="2"/>
  </r>
  <r>
    <x v="1"/>
    <x v="8"/>
    <x v="604"/>
    <x v="2"/>
  </r>
  <r>
    <x v="1"/>
    <x v="9"/>
    <x v="605"/>
    <x v="2"/>
  </r>
  <r>
    <x v="1"/>
    <x v="10"/>
    <x v="606"/>
    <x v="2"/>
  </r>
  <r>
    <x v="1"/>
    <x v="11"/>
    <x v="607"/>
    <x v="2"/>
  </r>
  <r>
    <x v="1"/>
    <x v="12"/>
    <x v="608"/>
    <x v="2"/>
  </r>
  <r>
    <x v="1"/>
    <x v="13"/>
    <x v="609"/>
    <x v="2"/>
  </r>
  <r>
    <x v="1"/>
    <x v="14"/>
    <x v="610"/>
    <x v="2"/>
  </r>
  <r>
    <x v="1"/>
    <x v="0"/>
    <x v="611"/>
    <x v="2"/>
  </r>
  <r>
    <x v="1"/>
    <x v="1"/>
    <x v="366"/>
    <x v="2"/>
  </r>
  <r>
    <x v="1"/>
    <x v="2"/>
    <x v="17"/>
    <x v="2"/>
  </r>
  <r>
    <x v="1"/>
    <x v="3"/>
    <x v="612"/>
    <x v="2"/>
  </r>
  <r>
    <x v="1"/>
    <x v="4"/>
    <x v="65"/>
    <x v="2"/>
  </r>
  <r>
    <x v="1"/>
    <x v="5"/>
    <x v="613"/>
    <x v="2"/>
  </r>
  <r>
    <x v="1"/>
    <x v="6"/>
    <x v="209"/>
    <x v="2"/>
  </r>
  <r>
    <x v="1"/>
    <x v="7"/>
    <x v="614"/>
    <x v="2"/>
  </r>
  <r>
    <x v="1"/>
    <x v="8"/>
    <x v="615"/>
    <x v="2"/>
  </r>
  <r>
    <x v="1"/>
    <x v="9"/>
    <x v="616"/>
    <x v="2"/>
  </r>
  <r>
    <x v="1"/>
    <x v="10"/>
    <x v="617"/>
    <x v="2"/>
  </r>
  <r>
    <x v="1"/>
    <x v="11"/>
    <x v="618"/>
    <x v="2"/>
  </r>
  <r>
    <x v="1"/>
    <x v="12"/>
    <x v="619"/>
    <x v="2"/>
  </r>
  <r>
    <x v="1"/>
    <x v="13"/>
    <x v="620"/>
    <x v="2"/>
  </r>
  <r>
    <x v="1"/>
    <x v="14"/>
    <x v="621"/>
    <x v="2"/>
  </r>
  <r>
    <x v="1"/>
    <x v="0"/>
    <x v="622"/>
    <x v="2"/>
  </r>
  <r>
    <x v="1"/>
    <x v="1"/>
    <x v="469"/>
    <x v="2"/>
  </r>
  <r>
    <x v="1"/>
    <x v="2"/>
    <x v="163"/>
    <x v="2"/>
  </r>
  <r>
    <x v="1"/>
    <x v="3"/>
    <x v="623"/>
    <x v="2"/>
  </r>
  <r>
    <x v="1"/>
    <x v="4"/>
    <x v="624"/>
    <x v="2"/>
  </r>
  <r>
    <x v="1"/>
    <x v="5"/>
    <x v="625"/>
    <x v="2"/>
  </r>
  <r>
    <x v="1"/>
    <x v="6"/>
    <x v="224"/>
    <x v="2"/>
  </r>
  <r>
    <x v="1"/>
    <x v="7"/>
    <x v="626"/>
    <x v="2"/>
  </r>
  <r>
    <x v="1"/>
    <x v="8"/>
    <x v="16"/>
    <x v="2"/>
  </r>
  <r>
    <x v="1"/>
    <x v="9"/>
    <x v="627"/>
    <x v="2"/>
  </r>
  <r>
    <x v="1"/>
    <x v="10"/>
    <x v="628"/>
    <x v="2"/>
  </r>
  <r>
    <x v="1"/>
    <x v="11"/>
    <x v="629"/>
    <x v="2"/>
  </r>
  <r>
    <x v="1"/>
    <x v="12"/>
    <x v="630"/>
    <x v="2"/>
  </r>
  <r>
    <x v="1"/>
    <x v="13"/>
    <x v="631"/>
    <x v="2"/>
  </r>
  <r>
    <x v="1"/>
    <x v="14"/>
    <x v="632"/>
    <x v="2"/>
  </r>
  <r>
    <x v="0"/>
    <x v="0"/>
    <x v="633"/>
    <x v="3"/>
  </r>
  <r>
    <x v="0"/>
    <x v="1"/>
    <x v="80"/>
    <x v="3"/>
  </r>
  <r>
    <x v="0"/>
    <x v="2"/>
    <x v="92"/>
    <x v="3"/>
  </r>
  <r>
    <x v="0"/>
    <x v="3"/>
    <x v="634"/>
    <x v="3"/>
  </r>
  <r>
    <x v="0"/>
    <x v="4"/>
    <x v="635"/>
    <x v="3"/>
  </r>
  <r>
    <x v="0"/>
    <x v="5"/>
    <x v="636"/>
    <x v="3"/>
  </r>
  <r>
    <x v="0"/>
    <x v="6"/>
    <x v="6"/>
    <x v="3"/>
  </r>
  <r>
    <x v="0"/>
    <x v="7"/>
    <x v="637"/>
    <x v="3"/>
  </r>
  <r>
    <x v="0"/>
    <x v="8"/>
    <x v="638"/>
    <x v="3"/>
  </r>
  <r>
    <x v="0"/>
    <x v="9"/>
    <x v="639"/>
    <x v="3"/>
  </r>
  <r>
    <x v="0"/>
    <x v="10"/>
    <x v="640"/>
    <x v="3"/>
  </r>
  <r>
    <x v="0"/>
    <x v="11"/>
    <x v="641"/>
    <x v="3"/>
  </r>
  <r>
    <x v="0"/>
    <x v="12"/>
    <x v="642"/>
    <x v="3"/>
  </r>
  <r>
    <x v="0"/>
    <x v="13"/>
    <x v="643"/>
    <x v="3"/>
  </r>
  <r>
    <x v="0"/>
    <x v="14"/>
    <x v="644"/>
    <x v="3"/>
  </r>
  <r>
    <x v="1"/>
    <x v="0"/>
    <x v="645"/>
    <x v="3"/>
  </r>
  <r>
    <x v="1"/>
    <x v="1"/>
    <x v="646"/>
    <x v="3"/>
  </r>
  <r>
    <x v="1"/>
    <x v="2"/>
    <x v="647"/>
    <x v="3"/>
  </r>
  <r>
    <x v="1"/>
    <x v="3"/>
    <x v="648"/>
    <x v="3"/>
  </r>
  <r>
    <x v="1"/>
    <x v="4"/>
    <x v="263"/>
    <x v="3"/>
  </r>
  <r>
    <x v="1"/>
    <x v="5"/>
    <x v="19"/>
    <x v="3"/>
  </r>
  <r>
    <x v="1"/>
    <x v="6"/>
    <x v="21"/>
    <x v="3"/>
  </r>
  <r>
    <x v="1"/>
    <x v="7"/>
    <x v="649"/>
    <x v="3"/>
  </r>
  <r>
    <x v="1"/>
    <x v="8"/>
    <x v="650"/>
    <x v="3"/>
  </r>
  <r>
    <x v="1"/>
    <x v="9"/>
    <x v="651"/>
    <x v="3"/>
  </r>
  <r>
    <x v="1"/>
    <x v="10"/>
    <x v="652"/>
    <x v="3"/>
  </r>
  <r>
    <x v="1"/>
    <x v="11"/>
    <x v="653"/>
    <x v="3"/>
  </r>
  <r>
    <x v="1"/>
    <x v="12"/>
    <x v="654"/>
    <x v="3"/>
  </r>
  <r>
    <x v="1"/>
    <x v="13"/>
    <x v="655"/>
    <x v="3"/>
  </r>
  <r>
    <x v="1"/>
    <x v="14"/>
    <x v="656"/>
    <x v="3"/>
  </r>
  <r>
    <x v="0"/>
    <x v="0"/>
    <x v="657"/>
    <x v="3"/>
  </r>
  <r>
    <x v="0"/>
    <x v="1"/>
    <x v="658"/>
    <x v="3"/>
  </r>
  <r>
    <x v="0"/>
    <x v="2"/>
    <x v="121"/>
    <x v="3"/>
  </r>
  <r>
    <x v="0"/>
    <x v="3"/>
    <x v="659"/>
    <x v="3"/>
  </r>
  <r>
    <x v="0"/>
    <x v="4"/>
    <x v="660"/>
    <x v="3"/>
  </r>
  <r>
    <x v="0"/>
    <x v="5"/>
    <x v="566"/>
    <x v="3"/>
  </r>
  <r>
    <x v="0"/>
    <x v="6"/>
    <x v="36"/>
    <x v="3"/>
  </r>
  <r>
    <x v="0"/>
    <x v="7"/>
    <x v="661"/>
    <x v="3"/>
  </r>
  <r>
    <x v="0"/>
    <x v="8"/>
    <x v="662"/>
    <x v="3"/>
  </r>
  <r>
    <x v="0"/>
    <x v="9"/>
    <x v="663"/>
    <x v="3"/>
  </r>
  <r>
    <x v="0"/>
    <x v="10"/>
    <x v="664"/>
    <x v="3"/>
  </r>
  <r>
    <x v="0"/>
    <x v="11"/>
    <x v="665"/>
    <x v="3"/>
  </r>
  <r>
    <x v="0"/>
    <x v="12"/>
    <x v="666"/>
    <x v="3"/>
  </r>
  <r>
    <x v="0"/>
    <x v="13"/>
    <x v="667"/>
    <x v="3"/>
  </r>
  <r>
    <x v="0"/>
    <x v="14"/>
    <x v="668"/>
    <x v="3"/>
  </r>
  <r>
    <x v="0"/>
    <x v="0"/>
    <x v="669"/>
    <x v="3"/>
  </r>
  <r>
    <x v="0"/>
    <x v="1"/>
    <x v="670"/>
    <x v="3"/>
  </r>
  <r>
    <x v="0"/>
    <x v="2"/>
    <x v="163"/>
    <x v="3"/>
  </r>
  <r>
    <x v="0"/>
    <x v="3"/>
    <x v="671"/>
    <x v="3"/>
  </r>
  <r>
    <x v="0"/>
    <x v="4"/>
    <x v="672"/>
    <x v="3"/>
  </r>
  <r>
    <x v="0"/>
    <x v="5"/>
    <x v="4"/>
    <x v="3"/>
  </r>
  <r>
    <x v="0"/>
    <x v="6"/>
    <x v="51"/>
    <x v="3"/>
  </r>
  <r>
    <x v="0"/>
    <x v="7"/>
    <x v="673"/>
    <x v="3"/>
  </r>
  <r>
    <x v="0"/>
    <x v="8"/>
    <x v="674"/>
    <x v="3"/>
  </r>
  <r>
    <x v="0"/>
    <x v="9"/>
    <x v="445"/>
    <x v="3"/>
  </r>
  <r>
    <x v="0"/>
    <x v="10"/>
    <x v="675"/>
    <x v="3"/>
  </r>
  <r>
    <x v="0"/>
    <x v="11"/>
    <x v="676"/>
    <x v="3"/>
  </r>
  <r>
    <x v="0"/>
    <x v="12"/>
    <x v="677"/>
    <x v="3"/>
  </r>
  <r>
    <x v="0"/>
    <x v="13"/>
    <x v="678"/>
    <x v="3"/>
  </r>
  <r>
    <x v="0"/>
    <x v="14"/>
    <x v="679"/>
    <x v="3"/>
  </r>
  <r>
    <x v="0"/>
    <x v="0"/>
    <x v="680"/>
    <x v="3"/>
  </r>
  <r>
    <x v="0"/>
    <x v="1"/>
    <x v="681"/>
    <x v="3"/>
  </r>
  <r>
    <x v="0"/>
    <x v="2"/>
    <x v="191"/>
    <x v="3"/>
  </r>
  <r>
    <x v="0"/>
    <x v="3"/>
    <x v="135"/>
    <x v="3"/>
  </r>
  <r>
    <x v="0"/>
    <x v="4"/>
    <x v="682"/>
    <x v="3"/>
  </r>
  <r>
    <x v="0"/>
    <x v="5"/>
    <x v="32"/>
    <x v="3"/>
  </r>
  <r>
    <x v="0"/>
    <x v="6"/>
    <x v="66"/>
    <x v="3"/>
  </r>
  <r>
    <x v="0"/>
    <x v="7"/>
    <x v="683"/>
    <x v="3"/>
  </r>
  <r>
    <x v="0"/>
    <x v="8"/>
    <x v="684"/>
    <x v="3"/>
  </r>
  <r>
    <x v="0"/>
    <x v="9"/>
    <x v="685"/>
    <x v="3"/>
  </r>
  <r>
    <x v="0"/>
    <x v="10"/>
    <x v="376"/>
    <x v="3"/>
  </r>
  <r>
    <x v="0"/>
    <x v="11"/>
    <x v="686"/>
    <x v="3"/>
  </r>
  <r>
    <x v="0"/>
    <x v="12"/>
    <x v="687"/>
    <x v="3"/>
  </r>
  <r>
    <x v="0"/>
    <x v="13"/>
    <x v="688"/>
    <x v="3"/>
  </r>
  <r>
    <x v="0"/>
    <x v="14"/>
    <x v="689"/>
    <x v="3"/>
  </r>
  <r>
    <x v="0"/>
    <x v="0"/>
    <x v="690"/>
    <x v="3"/>
  </r>
  <r>
    <x v="0"/>
    <x v="1"/>
    <x v="691"/>
    <x v="3"/>
  </r>
  <r>
    <x v="0"/>
    <x v="2"/>
    <x v="95"/>
    <x v="3"/>
  </r>
  <r>
    <x v="0"/>
    <x v="3"/>
    <x v="692"/>
    <x v="3"/>
  </r>
  <r>
    <x v="0"/>
    <x v="4"/>
    <x v="693"/>
    <x v="3"/>
  </r>
  <r>
    <x v="0"/>
    <x v="5"/>
    <x v="467"/>
    <x v="3"/>
  </r>
  <r>
    <x v="0"/>
    <x v="6"/>
    <x v="81"/>
    <x v="3"/>
  </r>
  <r>
    <x v="0"/>
    <x v="7"/>
    <x v="694"/>
    <x v="3"/>
  </r>
  <r>
    <x v="0"/>
    <x v="8"/>
    <x v="695"/>
    <x v="3"/>
  </r>
  <r>
    <x v="0"/>
    <x v="9"/>
    <x v="696"/>
    <x v="3"/>
  </r>
  <r>
    <x v="0"/>
    <x v="10"/>
    <x v="697"/>
    <x v="3"/>
  </r>
  <r>
    <x v="0"/>
    <x v="11"/>
    <x v="698"/>
    <x v="3"/>
  </r>
  <r>
    <x v="0"/>
    <x v="12"/>
    <x v="699"/>
    <x v="3"/>
  </r>
  <r>
    <x v="0"/>
    <x v="13"/>
    <x v="700"/>
    <x v="3"/>
  </r>
  <r>
    <x v="0"/>
    <x v="14"/>
    <x v="701"/>
    <x v="3"/>
  </r>
  <r>
    <x v="0"/>
    <x v="0"/>
    <x v="598"/>
    <x v="3"/>
  </r>
  <r>
    <x v="0"/>
    <x v="1"/>
    <x v="76"/>
    <x v="3"/>
  </r>
  <r>
    <x v="0"/>
    <x v="2"/>
    <x v="92"/>
    <x v="3"/>
  </r>
  <r>
    <x v="0"/>
    <x v="3"/>
    <x v="702"/>
    <x v="3"/>
  </r>
  <r>
    <x v="0"/>
    <x v="4"/>
    <x v="703"/>
    <x v="3"/>
  </r>
  <r>
    <x v="0"/>
    <x v="5"/>
    <x v="79"/>
    <x v="3"/>
  </r>
  <r>
    <x v="0"/>
    <x v="6"/>
    <x v="95"/>
    <x v="3"/>
  </r>
  <r>
    <x v="0"/>
    <x v="7"/>
    <x v="704"/>
    <x v="3"/>
  </r>
  <r>
    <x v="0"/>
    <x v="8"/>
    <x v="705"/>
    <x v="3"/>
  </r>
  <r>
    <x v="0"/>
    <x v="9"/>
    <x v="706"/>
    <x v="3"/>
  </r>
  <r>
    <x v="0"/>
    <x v="10"/>
    <x v="707"/>
    <x v="3"/>
  </r>
  <r>
    <x v="0"/>
    <x v="11"/>
    <x v="708"/>
    <x v="3"/>
  </r>
  <r>
    <x v="0"/>
    <x v="12"/>
    <x v="687"/>
    <x v="3"/>
  </r>
  <r>
    <x v="0"/>
    <x v="13"/>
    <x v="709"/>
    <x v="3"/>
  </r>
  <r>
    <x v="0"/>
    <x v="14"/>
    <x v="710"/>
    <x v="3"/>
  </r>
  <r>
    <x v="0"/>
    <x v="0"/>
    <x v="711"/>
    <x v="3"/>
  </r>
  <r>
    <x v="0"/>
    <x v="1"/>
    <x v="288"/>
    <x v="3"/>
  </r>
  <r>
    <x v="0"/>
    <x v="2"/>
    <x v="300"/>
    <x v="3"/>
  </r>
  <r>
    <x v="0"/>
    <x v="3"/>
    <x v="712"/>
    <x v="3"/>
  </r>
  <r>
    <x v="0"/>
    <x v="4"/>
    <x v="566"/>
    <x v="3"/>
  </r>
  <r>
    <x v="0"/>
    <x v="5"/>
    <x v="551"/>
    <x v="3"/>
  </r>
  <r>
    <x v="0"/>
    <x v="6"/>
    <x v="110"/>
    <x v="3"/>
  </r>
  <r>
    <x v="0"/>
    <x v="7"/>
    <x v="713"/>
    <x v="3"/>
  </r>
  <r>
    <x v="0"/>
    <x v="8"/>
    <x v="714"/>
    <x v="3"/>
  </r>
  <r>
    <x v="0"/>
    <x v="9"/>
    <x v="582"/>
    <x v="3"/>
  </r>
  <r>
    <x v="0"/>
    <x v="10"/>
    <x v="715"/>
    <x v="3"/>
  </r>
  <r>
    <x v="0"/>
    <x v="11"/>
    <x v="716"/>
    <x v="3"/>
  </r>
  <r>
    <x v="0"/>
    <x v="12"/>
    <x v="717"/>
    <x v="3"/>
  </r>
  <r>
    <x v="0"/>
    <x v="13"/>
    <x v="718"/>
    <x v="3"/>
  </r>
  <r>
    <x v="0"/>
    <x v="14"/>
    <x v="719"/>
    <x v="3"/>
  </r>
  <r>
    <x v="1"/>
    <x v="0"/>
    <x v="720"/>
    <x v="3"/>
  </r>
  <r>
    <x v="1"/>
    <x v="1"/>
    <x v="180"/>
    <x v="3"/>
  </r>
  <r>
    <x v="1"/>
    <x v="2"/>
    <x v="191"/>
    <x v="3"/>
  </r>
  <r>
    <x v="1"/>
    <x v="3"/>
    <x v="721"/>
    <x v="3"/>
  </r>
  <r>
    <x v="1"/>
    <x v="4"/>
    <x v="722"/>
    <x v="3"/>
  </r>
  <r>
    <x v="1"/>
    <x v="5"/>
    <x v="553"/>
    <x v="3"/>
  </r>
  <r>
    <x v="1"/>
    <x v="6"/>
    <x v="125"/>
    <x v="3"/>
  </r>
  <r>
    <x v="1"/>
    <x v="7"/>
    <x v="723"/>
    <x v="3"/>
  </r>
  <r>
    <x v="1"/>
    <x v="8"/>
    <x v="724"/>
    <x v="3"/>
  </r>
  <r>
    <x v="1"/>
    <x v="9"/>
    <x v="725"/>
    <x v="3"/>
  </r>
  <r>
    <x v="1"/>
    <x v="10"/>
    <x v="726"/>
    <x v="3"/>
  </r>
  <r>
    <x v="1"/>
    <x v="11"/>
    <x v="727"/>
    <x v="3"/>
  </r>
  <r>
    <x v="1"/>
    <x v="12"/>
    <x v="728"/>
    <x v="3"/>
  </r>
  <r>
    <x v="1"/>
    <x v="13"/>
    <x v="729"/>
    <x v="3"/>
  </r>
  <r>
    <x v="1"/>
    <x v="14"/>
    <x v="730"/>
    <x v="3"/>
  </r>
  <r>
    <x v="1"/>
    <x v="0"/>
    <x v="731"/>
    <x v="3"/>
  </r>
  <r>
    <x v="1"/>
    <x v="1"/>
    <x v="601"/>
    <x v="3"/>
  </r>
  <r>
    <x v="1"/>
    <x v="2"/>
    <x v="732"/>
    <x v="3"/>
  </r>
  <r>
    <x v="1"/>
    <x v="3"/>
    <x v="733"/>
    <x v="3"/>
  </r>
  <r>
    <x v="1"/>
    <x v="4"/>
    <x v="734"/>
    <x v="3"/>
  </r>
  <r>
    <x v="1"/>
    <x v="5"/>
    <x v="735"/>
    <x v="3"/>
  </r>
  <r>
    <x v="1"/>
    <x v="6"/>
    <x v="138"/>
    <x v="3"/>
  </r>
  <r>
    <x v="1"/>
    <x v="7"/>
    <x v="736"/>
    <x v="3"/>
  </r>
  <r>
    <x v="1"/>
    <x v="8"/>
    <x v="737"/>
    <x v="3"/>
  </r>
  <r>
    <x v="1"/>
    <x v="9"/>
    <x v="738"/>
    <x v="3"/>
  </r>
  <r>
    <x v="1"/>
    <x v="10"/>
    <x v="739"/>
    <x v="3"/>
  </r>
  <r>
    <x v="1"/>
    <x v="11"/>
    <x v="740"/>
    <x v="3"/>
  </r>
  <r>
    <x v="1"/>
    <x v="12"/>
    <x v="741"/>
    <x v="3"/>
  </r>
  <r>
    <x v="1"/>
    <x v="13"/>
    <x v="742"/>
    <x v="3"/>
  </r>
  <r>
    <x v="1"/>
    <x v="14"/>
    <x v="743"/>
    <x v="3"/>
  </r>
  <r>
    <x v="1"/>
    <x v="0"/>
    <x v="425"/>
    <x v="3"/>
  </r>
  <r>
    <x v="1"/>
    <x v="1"/>
    <x v="744"/>
    <x v="3"/>
  </r>
  <r>
    <x v="1"/>
    <x v="2"/>
    <x v="62"/>
    <x v="3"/>
  </r>
  <r>
    <x v="1"/>
    <x v="3"/>
    <x v="745"/>
    <x v="3"/>
  </r>
  <r>
    <x v="1"/>
    <x v="4"/>
    <x v="746"/>
    <x v="3"/>
  </r>
  <r>
    <x v="1"/>
    <x v="5"/>
    <x v="263"/>
    <x v="3"/>
  </r>
  <r>
    <x v="1"/>
    <x v="6"/>
    <x v="152"/>
    <x v="3"/>
  </r>
  <r>
    <x v="1"/>
    <x v="7"/>
    <x v="747"/>
    <x v="3"/>
  </r>
  <r>
    <x v="1"/>
    <x v="8"/>
    <x v="748"/>
    <x v="3"/>
  </r>
  <r>
    <x v="1"/>
    <x v="9"/>
    <x v="749"/>
    <x v="3"/>
  </r>
  <r>
    <x v="1"/>
    <x v="10"/>
    <x v="750"/>
    <x v="3"/>
  </r>
  <r>
    <x v="1"/>
    <x v="11"/>
    <x v="751"/>
    <x v="3"/>
  </r>
  <r>
    <x v="1"/>
    <x v="12"/>
    <x v="752"/>
    <x v="3"/>
  </r>
  <r>
    <x v="1"/>
    <x v="13"/>
    <x v="753"/>
    <x v="3"/>
  </r>
  <r>
    <x v="1"/>
    <x v="14"/>
    <x v="754"/>
    <x v="3"/>
  </r>
  <r>
    <x v="1"/>
    <x v="0"/>
    <x v="755"/>
    <x v="3"/>
  </r>
  <r>
    <x v="1"/>
    <x v="1"/>
    <x v="756"/>
    <x v="3"/>
  </r>
  <r>
    <x v="1"/>
    <x v="2"/>
    <x v="757"/>
    <x v="3"/>
  </r>
  <r>
    <x v="1"/>
    <x v="3"/>
    <x v="758"/>
    <x v="3"/>
  </r>
  <r>
    <x v="1"/>
    <x v="4"/>
    <x v="94"/>
    <x v="3"/>
  </r>
  <r>
    <x v="1"/>
    <x v="5"/>
    <x v="759"/>
    <x v="3"/>
  </r>
  <r>
    <x v="1"/>
    <x v="6"/>
    <x v="167"/>
    <x v="3"/>
  </r>
  <r>
    <x v="1"/>
    <x v="7"/>
    <x v="760"/>
    <x v="3"/>
  </r>
  <r>
    <x v="1"/>
    <x v="8"/>
    <x v="761"/>
    <x v="3"/>
  </r>
  <r>
    <x v="1"/>
    <x v="9"/>
    <x v="762"/>
    <x v="3"/>
  </r>
  <r>
    <x v="1"/>
    <x v="10"/>
    <x v="408"/>
    <x v="3"/>
  </r>
  <r>
    <x v="1"/>
    <x v="11"/>
    <x v="763"/>
    <x v="3"/>
  </r>
  <r>
    <x v="1"/>
    <x v="12"/>
    <x v="764"/>
    <x v="3"/>
  </r>
  <r>
    <x v="1"/>
    <x v="13"/>
    <x v="765"/>
    <x v="3"/>
  </r>
  <r>
    <x v="1"/>
    <x v="14"/>
    <x v="766"/>
    <x v="3"/>
  </r>
  <r>
    <x v="1"/>
    <x v="0"/>
    <x v="767"/>
    <x v="3"/>
  </r>
  <r>
    <x v="1"/>
    <x v="1"/>
    <x v="768"/>
    <x v="3"/>
  </r>
  <r>
    <x v="1"/>
    <x v="2"/>
    <x v="92"/>
    <x v="3"/>
  </r>
  <r>
    <x v="1"/>
    <x v="3"/>
    <x v="769"/>
    <x v="3"/>
  </r>
  <r>
    <x v="1"/>
    <x v="4"/>
    <x v="770"/>
    <x v="3"/>
  </r>
  <r>
    <x v="1"/>
    <x v="5"/>
    <x v="771"/>
    <x v="3"/>
  </r>
  <r>
    <x v="1"/>
    <x v="6"/>
    <x v="181"/>
    <x v="3"/>
  </r>
  <r>
    <x v="1"/>
    <x v="7"/>
    <x v="772"/>
    <x v="3"/>
  </r>
  <r>
    <x v="1"/>
    <x v="8"/>
    <x v="773"/>
    <x v="3"/>
  </r>
  <r>
    <x v="1"/>
    <x v="9"/>
    <x v="774"/>
    <x v="3"/>
  </r>
  <r>
    <x v="1"/>
    <x v="10"/>
    <x v="775"/>
    <x v="3"/>
  </r>
  <r>
    <x v="1"/>
    <x v="11"/>
    <x v="776"/>
    <x v="3"/>
  </r>
  <r>
    <x v="1"/>
    <x v="12"/>
    <x v="777"/>
    <x v="3"/>
  </r>
  <r>
    <x v="1"/>
    <x v="13"/>
    <x v="778"/>
    <x v="3"/>
  </r>
  <r>
    <x v="1"/>
    <x v="14"/>
    <x v="779"/>
    <x v="3"/>
  </r>
  <r>
    <x v="1"/>
    <x v="0"/>
    <x v="780"/>
    <x v="3"/>
  </r>
  <r>
    <x v="1"/>
    <x v="1"/>
    <x v="1"/>
    <x v="3"/>
  </r>
  <r>
    <x v="1"/>
    <x v="2"/>
    <x v="235"/>
    <x v="3"/>
  </r>
  <r>
    <x v="1"/>
    <x v="3"/>
    <x v="122"/>
    <x v="3"/>
  </r>
  <r>
    <x v="1"/>
    <x v="4"/>
    <x v="703"/>
    <x v="3"/>
  </r>
  <r>
    <x v="1"/>
    <x v="5"/>
    <x v="781"/>
    <x v="3"/>
  </r>
  <r>
    <x v="1"/>
    <x v="6"/>
    <x v="195"/>
    <x v="3"/>
  </r>
  <r>
    <x v="1"/>
    <x v="7"/>
    <x v="782"/>
    <x v="3"/>
  </r>
  <r>
    <x v="1"/>
    <x v="8"/>
    <x v="783"/>
    <x v="3"/>
  </r>
  <r>
    <x v="1"/>
    <x v="9"/>
    <x v="784"/>
    <x v="3"/>
  </r>
  <r>
    <x v="1"/>
    <x v="10"/>
    <x v="785"/>
    <x v="3"/>
  </r>
  <r>
    <x v="1"/>
    <x v="11"/>
    <x v="786"/>
    <x v="3"/>
  </r>
  <r>
    <x v="1"/>
    <x v="12"/>
    <x v="787"/>
    <x v="3"/>
  </r>
  <r>
    <x v="1"/>
    <x v="13"/>
    <x v="788"/>
    <x v="3"/>
  </r>
  <r>
    <x v="1"/>
    <x v="14"/>
    <x v="789"/>
    <x v="3"/>
  </r>
  <r>
    <x v="1"/>
    <x v="0"/>
    <x v="790"/>
    <x v="3"/>
  </r>
  <r>
    <x v="1"/>
    <x v="1"/>
    <x v="791"/>
    <x v="3"/>
  </r>
  <r>
    <x v="1"/>
    <x v="2"/>
    <x v="163"/>
    <x v="3"/>
  </r>
  <r>
    <x v="1"/>
    <x v="3"/>
    <x v="792"/>
    <x v="3"/>
  </r>
  <r>
    <x v="1"/>
    <x v="4"/>
    <x v="64"/>
    <x v="3"/>
  </r>
  <r>
    <x v="1"/>
    <x v="5"/>
    <x v="793"/>
    <x v="3"/>
  </r>
  <r>
    <x v="1"/>
    <x v="6"/>
    <x v="209"/>
    <x v="3"/>
  </r>
  <r>
    <x v="1"/>
    <x v="7"/>
    <x v="794"/>
    <x v="3"/>
  </r>
  <r>
    <x v="1"/>
    <x v="8"/>
    <x v="795"/>
    <x v="3"/>
  </r>
  <r>
    <x v="1"/>
    <x v="9"/>
    <x v="796"/>
    <x v="3"/>
  </r>
  <r>
    <x v="1"/>
    <x v="10"/>
    <x v="797"/>
    <x v="3"/>
  </r>
  <r>
    <x v="1"/>
    <x v="11"/>
    <x v="798"/>
    <x v="3"/>
  </r>
  <r>
    <x v="1"/>
    <x v="12"/>
    <x v="799"/>
    <x v="3"/>
  </r>
  <r>
    <x v="1"/>
    <x v="13"/>
    <x v="800"/>
    <x v="3"/>
  </r>
  <r>
    <x v="1"/>
    <x v="14"/>
    <x v="801"/>
    <x v="3"/>
  </r>
  <r>
    <x v="1"/>
    <x v="0"/>
    <x v="802"/>
    <x v="3"/>
  </r>
  <r>
    <x v="1"/>
    <x v="1"/>
    <x v="803"/>
    <x v="3"/>
  </r>
  <r>
    <x v="1"/>
    <x v="2"/>
    <x v="77"/>
    <x v="3"/>
  </r>
  <r>
    <x v="1"/>
    <x v="3"/>
    <x v="804"/>
    <x v="3"/>
  </r>
  <r>
    <x v="1"/>
    <x v="4"/>
    <x v="287"/>
    <x v="3"/>
  </r>
  <r>
    <x v="1"/>
    <x v="5"/>
    <x v="805"/>
    <x v="3"/>
  </r>
  <r>
    <x v="1"/>
    <x v="6"/>
    <x v="224"/>
    <x v="3"/>
  </r>
  <r>
    <x v="1"/>
    <x v="7"/>
    <x v="806"/>
    <x v="3"/>
  </r>
  <r>
    <x v="1"/>
    <x v="8"/>
    <x v="807"/>
    <x v="3"/>
  </r>
  <r>
    <x v="1"/>
    <x v="9"/>
    <x v="808"/>
    <x v="3"/>
  </r>
  <r>
    <x v="1"/>
    <x v="10"/>
    <x v="809"/>
    <x v="3"/>
  </r>
  <r>
    <x v="1"/>
    <x v="11"/>
    <x v="810"/>
    <x v="3"/>
  </r>
  <r>
    <x v="1"/>
    <x v="12"/>
    <x v="811"/>
    <x v="3"/>
  </r>
  <r>
    <x v="1"/>
    <x v="13"/>
    <x v="812"/>
    <x v="3"/>
  </r>
  <r>
    <x v="1"/>
    <x v="14"/>
    <x v="813"/>
    <x v="3"/>
  </r>
  <r>
    <x v="0"/>
    <x v="0"/>
    <x v="814"/>
    <x v="4"/>
  </r>
  <r>
    <x v="0"/>
    <x v="1"/>
    <x v="815"/>
    <x v="4"/>
  </r>
  <r>
    <x v="0"/>
    <x v="2"/>
    <x v="32"/>
    <x v="4"/>
  </r>
  <r>
    <x v="0"/>
    <x v="3"/>
    <x v="816"/>
    <x v="4"/>
  </r>
  <r>
    <x v="0"/>
    <x v="4"/>
    <x v="817"/>
    <x v="4"/>
  </r>
  <r>
    <x v="0"/>
    <x v="5"/>
    <x v="287"/>
    <x v="4"/>
  </r>
  <r>
    <x v="0"/>
    <x v="6"/>
    <x v="6"/>
    <x v="4"/>
  </r>
  <r>
    <x v="0"/>
    <x v="7"/>
    <x v="818"/>
    <x v="4"/>
  </r>
  <r>
    <x v="0"/>
    <x v="8"/>
    <x v="819"/>
    <x v="4"/>
  </r>
  <r>
    <x v="0"/>
    <x v="9"/>
    <x v="820"/>
    <x v="4"/>
  </r>
  <r>
    <x v="0"/>
    <x v="10"/>
    <x v="821"/>
    <x v="4"/>
  </r>
  <r>
    <x v="0"/>
    <x v="11"/>
    <x v="822"/>
    <x v="4"/>
  </r>
  <r>
    <x v="0"/>
    <x v="12"/>
    <x v="823"/>
    <x v="4"/>
  </r>
  <r>
    <x v="0"/>
    <x v="13"/>
    <x v="824"/>
    <x v="4"/>
  </r>
  <r>
    <x v="0"/>
    <x v="14"/>
    <x v="825"/>
    <x v="4"/>
  </r>
  <r>
    <x v="1"/>
    <x v="0"/>
    <x v="826"/>
    <x v="4"/>
  </r>
  <r>
    <x v="1"/>
    <x v="1"/>
    <x v="827"/>
    <x v="4"/>
  </r>
  <r>
    <x v="1"/>
    <x v="2"/>
    <x v="288"/>
    <x v="4"/>
  </r>
  <r>
    <x v="1"/>
    <x v="3"/>
    <x v="828"/>
    <x v="4"/>
  </r>
  <r>
    <x v="1"/>
    <x v="4"/>
    <x v="829"/>
    <x v="4"/>
  </r>
  <r>
    <x v="1"/>
    <x v="5"/>
    <x v="830"/>
    <x v="4"/>
  </r>
  <r>
    <x v="1"/>
    <x v="6"/>
    <x v="21"/>
    <x v="4"/>
  </r>
  <r>
    <x v="1"/>
    <x v="7"/>
    <x v="325"/>
    <x v="4"/>
  </r>
  <r>
    <x v="1"/>
    <x v="8"/>
    <x v="831"/>
    <x v="4"/>
  </r>
  <r>
    <x v="1"/>
    <x v="9"/>
    <x v="832"/>
    <x v="4"/>
  </r>
  <r>
    <x v="1"/>
    <x v="10"/>
    <x v="833"/>
    <x v="4"/>
  </r>
  <r>
    <x v="1"/>
    <x v="11"/>
    <x v="834"/>
    <x v="4"/>
  </r>
  <r>
    <x v="1"/>
    <x v="12"/>
    <x v="835"/>
    <x v="4"/>
  </r>
  <r>
    <x v="1"/>
    <x v="13"/>
    <x v="836"/>
    <x v="4"/>
  </r>
  <r>
    <x v="1"/>
    <x v="14"/>
    <x v="837"/>
    <x v="4"/>
  </r>
  <r>
    <x v="0"/>
    <x v="0"/>
    <x v="838"/>
    <x v="4"/>
  </r>
  <r>
    <x v="0"/>
    <x v="1"/>
    <x v="193"/>
    <x v="4"/>
  </r>
  <r>
    <x v="0"/>
    <x v="2"/>
    <x v="17"/>
    <x v="4"/>
  </r>
  <r>
    <x v="0"/>
    <x v="3"/>
    <x v="149"/>
    <x v="4"/>
  </r>
  <r>
    <x v="0"/>
    <x v="4"/>
    <x v="839"/>
    <x v="4"/>
  </r>
  <r>
    <x v="0"/>
    <x v="5"/>
    <x v="682"/>
    <x v="4"/>
  </r>
  <r>
    <x v="0"/>
    <x v="6"/>
    <x v="36"/>
    <x v="4"/>
  </r>
  <r>
    <x v="0"/>
    <x v="7"/>
    <x v="840"/>
    <x v="4"/>
  </r>
  <r>
    <x v="0"/>
    <x v="8"/>
    <x v="841"/>
    <x v="4"/>
  </r>
  <r>
    <x v="0"/>
    <x v="9"/>
    <x v="842"/>
    <x v="4"/>
  </r>
  <r>
    <x v="0"/>
    <x v="10"/>
    <x v="843"/>
    <x v="4"/>
  </r>
  <r>
    <x v="0"/>
    <x v="11"/>
    <x v="844"/>
    <x v="4"/>
  </r>
  <r>
    <x v="0"/>
    <x v="12"/>
    <x v="845"/>
    <x v="4"/>
  </r>
  <r>
    <x v="0"/>
    <x v="13"/>
    <x v="846"/>
    <x v="4"/>
  </r>
  <r>
    <x v="0"/>
    <x v="14"/>
    <x v="847"/>
    <x v="4"/>
  </r>
  <r>
    <x v="0"/>
    <x v="0"/>
    <x v="848"/>
    <x v="4"/>
  </r>
  <r>
    <x v="0"/>
    <x v="1"/>
    <x v="849"/>
    <x v="4"/>
  </r>
  <r>
    <x v="0"/>
    <x v="2"/>
    <x v="47"/>
    <x v="4"/>
  </r>
  <r>
    <x v="0"/>
    <x v="3"/>
    <x v="850"/>
    <x v="4"/>
  </r>
  <r>
    <x v="0"/>
    <x v="4"/>
    <x v="851"/>
    <x v="4"/>
  </r>
  <r>
    <x v="0"/>
    <x v="5"/>
    <x v="852"/>
    <x v="4"/>
  </r>
  <r>
    <x v="0"/>
    <x v="6"/>
    <x v="51"/>
    <x v="4"/>
  </r>
  <r>
    <x v="0"/>
    <x v="7"/>
    <x v="853"/>
    <x v="4"/>
  </r>
  <r>
    <x v="0"/>
    <x v="8"/>
    <x v="854"/>
    <x v="4"/>
  </r>
  <r>
    <x v="0"/>
    <x v="9"/>
    <x v="855"/>
    <x v="4"/>
  </r>
  <r>
    <x v="0"/>
    <x v="10"/>
    <x v="856"/>
    <x v="4"/>
  </r>
  <r>
    <x v="0"/>
    <x v="11"/>
    <x v="857"/>
    <x v="4"/>
  </r>
  <r>
    <x v="0"/>
    <x v="12"/>
    <x v="858"/>
    <x v="4"/>
  </r>
  <r>
    <x v="0"/>
    <x v="13"/>
    <x v="859"/>
    <x v="4"/>
  </r>
  <r>
    <x v="0"/>
    <x v="14"/>
    <x v="860"/>
    <x v="4"/>
  </r>
  <r>
    <x v="0"/>
    <x v="0"/>
    <x v="861"/>
    <x v="4"/>
  </r>
  <r>
    <x v="0"/>
    <x v="1"/>
    <x v="328"/>
    <x v="4"/>
  </r>
  <r>
    <x v="0"/>
    <x v="2"/>
    <x v="191"/>
    <x v="4"/>
  </r>
  <r>
    <x v="0"/>
    <x v="3"/>
    <x v="589"/>
    <x v="4"/>
  </r>
  <r>
    <x v="0"/>
    <x v="4"/>
    <x v="862"/>
    <x v="4"/>
  </r>
  <r>
    <x v="0"/>
    <x v="5"/>
    <x v="863"/>
    <x v="4"/>
  </r>
  <r>
    <x v="0"/>
    <x v="6"/>
    <x v="66"/>
    <x v="4"/>
  </r>
  <r>
    <x v="0"/>
    <x v="7"/>
    <x v="864"/>
    <x v="4"/>
  </r>
  <r>
    <x v="0"/>
    <x v="8"/>
    <x v="865"/>
    <x v="4"/>
  </r>
  <r>
    <x v="0"/>
    <x v="9"/>
    <x v="866"/>
    <x v="4"/>
  </r>
  <r>
    <x v="0"/>
    <x v="10"/>
    <x v="867"/>
    <x v="4"/>
  </r>
  <r>
    <x v="0"/>
    <x v="11"/>
    <x v="868"/>
    <x v="4"/>
  </r>
  <r>
    <x v="0"/>
    <x v="12"/>
    <x v="869"/>
    <x v="4"/>
  </r>
  <r>
    <x v="0"/>
    <x v="13"/>
    <x v="870"/>
    <x v="4"/>
  </r>
  <r>
    <x v="0"/>
    <x v="14"/>
    <x v="871"/>
    <x v="4"/>
  </r>
  <r>
    <x v="0"/>
    <x v="0"/>
    <x v="872"/>
    <x v="4"/>
  </r>
  <r>
    <x v="0"/>
    <x v="1"/>
    <x v="379"/>
    <x v="4"/>
  </r>
  <r>
    <x v="0"/>
    <x v="2"/>
    <x v="191"/>
    <x v="4"/>
  </r>
  <r>
    <x v="0"/>
    <x v="3"/>
    <x v="873"/>
    <x v="4"/>
  </r>
  <r>
    <x v="0"/>
    <x v="4"/>
    <x v="829"/>
    <x v="4"/>
  </r>
  <r>
    <x v="0"/>
    <x v="5"/>
    <x v="682"/>
    <x v="4"/>
  </r>
  <r>
    <x v="0"/>
    <x v="6"/>
    <x v="81"/>
    <x v="4"/>
  </r>
  <r>
    <x v="0"/>
    <x v="7"/>
    <x v="874"/>
    <x v="4"/>
  </r>
  <r>
    <x v="0"/>
    <x v="8"/>
    <x v="875"/>
    <x v="4"/>
  </r>
  <r>
    <x v="0"/>
    <x v="9"/>
    <x v="876"/>
    <x v="4"/>
  </r>
  <r>
    <x v="0"/>
    <x v="10"/>
    <x v="877"/>
    <x v="4"/>
  </r>
  <r>
    <x v="0"/>
    <x v="11"/>
    <x v="878"/>
    <x v="4"/>
  </r>
  <r>
    <x v="0"/>
    <x v="12"/>
    <x v="879"/>
    <x v="4"/>
  </r>
  <r>
    <x v="0"/>
    <x v="13"/>
    <x v="880"/>
    <x v="4"/>
  </r>
  <r>
    <x v="0"/>
    <x v="14"/>
    <x v="881"/>
    <x v="4"/>
  </r>
  <r>
    <x v="0"/>
    <x v="0"/>
    <x v="882"/>
    <x v="4"/>
  </r>
  <r>
    <x v="0"/>
    <x v="1"/>
    <x v="883"/>
    <x v="4"/>
  </r>
  <r>
    <x v="0"/>
    <x v="2"/>
    <x v="326"/>
    <x v="4"/>
  </r>
  <r>
    <x v="0"/>
    <x v="3"/>
    <x v="884"/>
    <x v="4"/>
  </r>
  <r>
    <x v="0"/>
    <x v="4"/>
    <x v="885"/>
    <x v="4"/>
  </r>
  <r>
    <x v="0"/>
    <x v="5"/>
    <x v="886"/>
    <x v="4"/>
  </r>
  <r>
    <x v="0"/>
    <x v="6"/>
    <x v="95"/>
    <x v="4"/>
  </r>
  <r>
    <x v="0"/>
    <x v="7"/>
    <x v="887"/>
    <x v="4"/>
  </r>
  <r>
    <x v="0"/>
    <x v="8"/>
    <x v="888"/>
    <x v="4"/>
  </r>
  <r>
    <x v="0"/>
    <x v="9"/>
    <x v="889"/>
    <x v="4"/>
  </r>
  <r>
    <x v="0"/>
    <x v="10"/>
    <x v="890"/>
    <x v="4"/>
  </r>
  <r>
    <x v="0"/>
    <x v="11"/>
    <x v="891"/>
    <x v="4"/>
  </r>
  <r>
    <x v="0"/>
    <x v="12"/>
    <x v="892"/>
    <x v="4"/>
  </r>
  <r>
    <x v="0"/>
    <x v="13"/>
    <x v="893"/>
    <x v="4"/>
  </r>
  <r>
    <x v="0"/>
    <x v="14"/>
    <x v="894"/>
    <x v="4"/>
  </r>
  <r>
    <x v="0"/>
    <x v="0"/>
    <x v="895"/>
    <x v="4"/>
  </r>
  <r>
    <x v="0"/>
    <x v="1"/>
    <x v="300"/>
    <x v="4"/>
  </r>
  <r>
    <x v="0"/>
    <x v="2"/>
    <x v="6"/>
    <x v="4"/>
  </r>
  <r>
    <x v="0"/>
    <x v="3"/>
    <x v="896"/>
    <x v="4"/>
  </r>
  <r>
    <x v="0"/>
    <x v="4"/>
    <x v="94"/>
    <x v="4"/>
  </r>
  <r>
    <x v="0"/>
    <x v="5"/>
    <x v="897"/>
    <x v="4"/>
  </r>
  <r>
    <x v="0"/>
    <x v="6"/>
    <x v="110"/>
    <x v="4"/>
  </r>
  <r>
    <x v="0"/>
    <x v="7"/>
    <x v="898"/>
    <x v="4"/>
  </r>
  <r>
    <x v="0"/>
    <x v="8"/>
    <x v="899"/>
    <x v="4"/>
  </r>
  <r>
    <x v="0"/>
    <x v="9"/>
    <x v="900"/>
    <x v="4"/>
  </r>
  <r>
    <x v="0"/>
    <x v="10"/>
    <x v="901"/>
    <x v="4"/>
  </r>
  <r>
    <x v="0"/>
    <x v="11"/>
    <x v="902"/>
    <x v="4"/>
  </r>
  <r>
    <x v="0"/>
    <x v="12"/>
    <x v="903"/>
    <x v="4"/>
  </r>
  <r>
    <x v="0"/>
    <x v="13"/>
    <x v="904"/>
    <x v="4"/>
  </r>
  <r>
    <x v="0"/>
    <x v="14"/>
    <x v="905"/>
    <x v="4"/>
  </r>
  <r>
    <x v="1"/>
    <x v="0"/>
    <x v="906"/>
    <x v="4"/>
  </r>
  <r>
    <x v="1"/>
    <x v="1"/>
    <x v="907"/>
    <x v="4"/>
  </r>
  <r>
    <x v="1"/>
    <x v="2"/>
    <x v="274"/>
    <x v="4"/>
  </r>
  <r>
    <x v="1"/>
    <x v="3"/>
    <x v="908"/>
    <x v="4"/>
  </r>
  <r>
    <x v="1"/>
    <x v="4"/>
    <x v="909"/>
    <x v="4"/>
  </r>
  <r>
    <x v="1"/>
    <x v="5"/>
    <x v="551"/>
    <x v="4"/>
  </r>
  <r>
    <x v="1"/>
    <x v="6"/>
    <x v="125"/>
    <x v="4"/>
  </r>
  <r>
    <x v="1"/>
    <x v="7"/>
    <x v="910"/>
    <x v="4"/>
  </r>
  <r>
    <x v="1"/>
    <x v="8"/>
    <x v="911"/>
    <x v="4"/>
  </r>
  <r>
    <x v="1"/>
    <x v="9"/>
    <x v="912"/>
    <x v="4"/>
  </r>
  <r>
    <x v="1"/>
    <x v="10"/>
    <x v="913"/>
    <x v="4"/>
  </r>
  <r>
    <x v="1"/>
    <x v="11"/>
    <x v="914"/>
    <x v="4"/>
  </r>
  <r>
    <x v="1"/>
    <x v="12"/>
    <x v="915"/>
    <x v="4"/>
  </r>
  <r>
    <x v="1"/>
    <x v="13"/>
    <x v="916"/>
    <x v="4"/>
  </r>
  <r>
    <x v="1"/>
    <x v="14"/>
    <x v="917"/>
    <x v="4"/>
  </r>
  <r>
    <x v="1"/>
    <x v="0"/>
    <x v="918"/>
    <x v="4"/>
  </r>
  <r>
    <x v="1"/>
    <x v="1"/>
    <x v="670"/>
    <x v="4"/>
  </r>
  <r>
    <x v="1"/>
    <x v="2"/>
    <x v="47"/>
    <x v="4"/>
  </r>
  <r>
    <x v="1"/>
    <x v="3"/>
    <x v="919"/>
    <x v="4"/>
  </r>
  <r>
    <x v="1"/>
    <x v="4"/>
    <x v="91"/>
    <x v="4"/>
  </r>
  <r>
    <x v="1"/>
    <x v="5"/>
    <x v="920"/>
    <x v="4"/>
  </r>
  <r>
    <x v="1"/>
    <x v="6"/>
    <x v="138"/>
    <x v="4"/>
  </r>
  <r>
    <x v="1"/>
    <x v="7"/>
    <x v="921"/>
    <x v="4"/>
  </r>
  <r>
    <x v="1"/>
    <x v="8"/>
    <x v="922"/>
    <x v="4"/>
  </r>
  <r>
    <x v="1"/>
    <x v="9"/>
    <x v="923"/>
    <x v="4"/>
  </r>
  <r>
    <x v="1"/>
    <x v="10"/>
    <x v="924"/>
    <x v="4"/>
  </r>
  <r>
    <x v="1"/>
    <x v="11"/>
    <x v="925"/>
    <x v="4"/>
  </r>
  <r>
    <x v="1"/>
    <x v="12"/>
    <x v="926"/>
    <x v="4"/>
  </r>
  <r>
    <x v="1"/>
    <x v="13"/>
    <x v="927"/>
    <x v="4"/>
  </r>
  <r>
    <x v="1"/>
    <x v="14"/>
    <x v="928"/>
    <x v="4"/>
  </r>
  <r>
    <x v="1"/>
    <x v="0"/>
    <x v="929"/>
    <x v="4"/>
  </r>
  <r>
    <x v="1"/>
    <x v="1"/>
    <x v="469"/>
    <x v="4"/>
  </r>
  <r>
    <x v="1"/>
    <x v="2"/>
    <x v="757"/>
    <x v="4"/>
  </r>
  <r>
    <x v="1"/>
    <x v="3"/>
    <x v="149"/>
    <x v="4"/>
  </r>
  <r>
    <x v="1"/>
    <x v="4"/>
    <x v="930"/>
    <x v="4"/>
  </r>
  <r>
    <x v="1"/>
    <x v="5"/>
    <x v="391"/>
    <x v="4"/>
  </r>
  <r>
    <x v="1"/>
    <x v="6"/>
    <x v="152"/>
    <x v="4"/>
  </r>
  <r>
    <x v="1"/>
    <x v="7"/>
    <x v="931"/>
    <x v="4"/>
  </r>
  <r>
    <x v="1"/>
    <x v="8"/>
    <x v="932"/>
    <x v="4"/>
  </r>
  <r>
    <x v="1"/>
    <x v="9"/>
    <x v="933"/>
    <x v="4"/>
  </r>
  <r>
    <x v="1"/>
    <x v="10"/>
    <x v="934"/>
    <x v="4"/>
  </r>
  <r>
    <x v="1"/>
    <x v="11"/>
    <x v="935"/>
    <x v="4"/>
  </r>
  <r>
    <x v="1"/>
    <x v="12"/>
    <x v="936"/>
    <x v="4"/>
  </r>
  <r>
    <x v="1"/>
    <x v="13"/>
    <x v="937"/>
    <x v="4"/>
  </r>
  <r>
    <x v="1"/>
    <x v="14"/>
    <x v="938"/>
    <x v="4"/>
  </r>
  <r>
    <x v="1"/>
    <x v="0"/>
    <x v="939"/>
    <x v="4"/>
  </r>
  <r>
    <x v="1"/>
    <x v="1"/>
    <x v="136"/>
    <x v="4"/>
  </r>
  <r>
    <x v="1"/>
    <x v="2"/>
    <x v="92"/>
    <x v="4"/>
  </r>
  <r>
    <x v="1"/>
    <x v="3"/>
    <x v="940"/>
    <x v="4"/>
  </r>
  <r>
    <x v="1"/>
    <x v="4"/>
    <x v="941"/>
    <x v="4"/>
  </r>
  <r>
    <x v="1"/>
    <x v="5"/>
    <x v="942"/>
    <x v="4"/>
  </r>
  <r>
    <x v="1"/>
    <x v="6"/>
    <x v="167"/>
    <x v="4"/>
  </r>
  <r>
    <x v="1"/>
    <x v="7"/>
    <x v="943"/>
    <x v="4"/>
  </r>
  <r>
    <x v="1"/>
    <x v="8"/>
    <x v="944"/>
    <x v="4"/>
  </r>
  <r>
    <x v="1"/>
    <x v="9"/>
    <x v="945"/>
    <x v="4"/>
  </r>
  <r>
    <x v="1"/>
    <x v="10"/>
    <x v="946"/>
    <x v="4"/>
  </r>
  <r>
    <x v="1"/>
    <x v="11"/>
    <x v="947"/>
    <x v="4"/>
  </r>
  <r>
    <x v="1"/>
    <x v="12"/>
    <x v="948"/>
    <x v="4"/>
  </r>
  <r>
    <x v="1"/>
    <x v="13"/>
    <x v="949"/>
    <x v="4"/>
  </r>
  <r>
    <x v="1"/>
    <x v="14"/>
    <x v="950"/>
    <x v="4"/>
  </r>
  <r>
    <x v="1"/>
    <x v="0"/>
    <x v="951"/>
    <x v="4"/>
  </r>
  <r>
    <x v="1"/>
    <x v="1"/>
    <x v="852"/>
    <x v="4"/>
  </r>
  <r>
    <x v="1"/>
    <x v="2"/>
    <x v="163"/>
    <x v="4"/>
  </r>
  <r>
    <x v="1"/>
    <x v="3"/>
    <x v="952"/>
    <x v="4"/>
  </r>
  <r>
    <x v="1"/>
    <x v="4"/>
    <x v="770"/>
    <x v="4"/>
  </r>
  <r>
    <x v="1"/>
    <x v="5"/>
    <x v="953"/>
    <x v="4"/>
  </r>
  <r>
    <x v="1"/>
    <x v="6"/>
    <x v="181"/>
    <x v="4"/>
  </r>
  <r>
    <x v="1"/>
    <x v="7"/>
    <x v="954"/>
    <x v="4"/>
  </r>
  <r>
    <x v="1"/>
    <x v="8"/>
    <x v="955"/>
    <x v="4"/>
  </r>
  <r>
    <x v="1"/>
    <x v="9"/>
    <x v="956"/>
    <x v="4"/>
  </r>
  <r>
    <x v="1"/>
    <x v="10"/>
    <x v="957"/>
    <x v="4"/>
  </r>
  <r>
    <x v="1"/>
    <x v="11"/>
    <x v="958"/>
    <x v="4"/>
  </r>
  <r>
    <x v="1"/>
    <x v="12"/>
    <x v="959"/>
    <x v="4"/>
  </r>
  <r>
    <x v="1"/>
    <x v="13"/>
    <x v="960"/>
    <x v="4"/>
  </r>
  <r>
    <x v="1"/>
    <x v="14"/>
    <x v="961"/>
    <x v="4"/>
  </r>
  <r>
    <x v="1"/>
    <x v="0"/>
    <x v="962"/>
    <x v="4"/>
  </r>
  <r>
    <x v="1"/>
    <x v="1"/>
    <x v="963"/>
    <x v="4"/>
  </r>
  <r>
    <x v="1"/>
    <x v="2"/>
    <x v="732"/>
    <x v="4"/>
  </r>
  <r>
    <x v="1"/>
    <x v="3"/>
    <x v="964"/>
    <x v="4"/>
  </r>
  <r>
    <x v="1"/>
    <x v="4"/>
    <x v="965"/>
    <x v="4"/>
  </r>
  <r>
    <x v="1"/>
    <x v="5"/>
    <x v="966"/>
    <x v="4"/>
  </r>
  <r>
    <x v="1"/>
    <x v="6"/>
    <x v="195"/>
    <x v="4"/>
  </r>
  <r>
    <x v="1"/>
    <x v="7"/>
    <x v="967"/>
    <x v="4"/>
  </r>
  <r>
    <x v="1"/>
    <x v="8"/>
    <x v="968"/>
    <x v="4"/>
  </r>
  <r>
    <x v="1"/>
    <x v="9"/>
    <x v="969"/>
    <x v="4"/>
  </r>
  <r>
    <x v="1"/>
    <x v="10"/>
    <x v="970"/>
    <x v="4"/>
  </r>
  <r>
    <x v="1"/>
    <x v="11"/>
    <x v="971"/>
    <x v="4"/>
  </r>
  <r>
    <x v="1"/>
    <x v="12"/>
    <x v="972"/>
    <x v="4"/>
  </r>
  <r>
    <x v="1"/>
    <x v="13"/>
    <x v="973"/>
    <x v="4"/>
  </r>
  <r>
    <x v="1"/>
    <x v="14"/>
    <x v="974"/>
    <x v="4"/>
  </r>
  <r>
    <x v="1"/>
    <x v="0"/>
    <x v="975"/>
    <x v="4"/>
  </r>
  <r>
    <x v="1"/>
    <x v="1"/>
    <x v="976"/>
    <x v="4"/>
  </r>
  <r>
    <x v="1"/>
    <x v="2"/>
    <x v="148"/>
    <x v="4"/>
  </r>
  <r>
    <x v="1"/>
    <x v="3"/>
    <x v="977"/>
    <x v="4"/>
  </r>
  <r>
    <x v="1"/>
    <x v="4"/>
    <x v="907"/>
    <x v="4"/>
  </r>
  <r>
    <x v="1"/>
    <x v="5"/>
    <x v="978"/>
    <x v="4"/>
  </r>
  <r>
    <x v="1"/>
    <x v="6"/>
    <x v="209"/>
    <x v="4"/>
  </r>
  <r>
    <x v="1"/>
    <x v="7"/>
    <x v="979"/>
    <x v="4"/>
  </r>
  <r>
    <x v="1"/>
    <x v="8"/>
    <x v="980"/>
    <x v="4"/>
  </r>
  <r>
    <x v="1"/>
    <x v="9"/>
    <x v="981"/>
    <x v="4"/>
  </r>
  <r>
    <x v="1"/>
    <x v="10"/>
    <x v="982"/>
    <x v="4"/>
  </r>
  <r>
    <x v="1"/>
    <x v="11"/>
    <x v="983"/>
    <x v="4"/>
  </r>
  <r>
    <x v="1"/>
    <x v="12"/>
    <x v="984"/>
    <x v="4"/>
  </r>
  <r>
    <x v="1"/>
    <x v="13"/>
    <x v="985"/>
    <x v="4"/>
  </r>
  <r>
    <x v="1"/>
    <x v="14"/>
    <x v="986"/>
    <x v="4"/>
  </r>
  <r>
    <x v="1"/>
    <x v="0"/>
    <x v="987"/>
    <x v="4"/>
  </r>
  <r>
    <x v="1"/>
    <x v="1"/>
    <x v="988"/>
    <x v="4"/>
  </r>
  <r>
    <x v="1"/>
    <x v="2"/>
    <x v="95"/>
    <x v="4"/>
  </r>
  <r>
    <x v="1"/>
    <x v="3"/>
    <x v="989"/>
    <x v="4"/>
  </r>
  <r>
    <x v="1"/>
    <x v="4"/>
    <x v="302"/>
    <x v="4"/>
  </r>
  <r>
    <x v="1"/>
    <x v="5"/>
    <x v="781"/>
    <x v="4"/>
  </r>
  <r>
    <x v="1"/>
    <x v="6"/>
    <x v="224"/>
    <x v="4"/>
  </r>
  <r>
    <x v="1"/>
    <x v="7"/>
    <x v="990"/>
    <x v="4"/>
  </r>
  <r>
    <x v="1"/>
    <x v="8"/>
    <x v="991"/>
    <x v="4"/>
  </r>
  <r>
    <x v="1"/>
    <x v="9"/>
    <x v="696"/>
    <x v="4"/>
  </r>
  <r>
    <x v="1"/>
    <x v="10"/>
    <x v="992"/>
    <x v="4"/>
  </r>
  <r>
    <x v="1"/>
    <x v="11"/>
    <x v="993"/>
    <x v="4"/>
  </r>
  <r>
    <x v="1"/>
    <x v="12"/>
    <x v="994"/>
    <x v="4"/>
  </r>
  <r>
    <x v="1"/>
    <x v="13"/>
    <x v="995"/>
    <x v="4"/>
  </r>
  <r>
    <x v="1"/>
    <x v="14"/>
    <x v="996"/>
    <x v="4"/>
  </r>
  <r>
    <x v="0"/>
    <x v="0"/>
    <x v="997"/>
    <x v="5"/>
  </r>
  <r>
    <x v="0"/>
    <x v="1"/>
    <x v="998"/>
    <x v="5"/>
  </r>
  <r>
    <x v="0"/>
    <x v="2"/>
    <x v="288"/>
    <x v="5"/>
  </r>
  <r>
    <x v="0"/>
    <x v="3"/>
    <x v="135"/>
    <x v="5"/>
  </r>
  <r>
    <x v="0"/>
    <x v="4"/>
    <x v="999"/>
    <x v="5"/>
  </r>
  <r>
    <x v="0"/>
    <x v="5"/>
    <x v="1000"/>
    <x v="5"/>
  </r>
  <r>
    <x v="0"/>
    <x v="6"/>
    <x v="6"/>
    <x v="5"/>
  </r>
  <r>
    <x v="0"/>
    <x v="7"/>
    <x v="1001"/>
    <x v="5"/>
  </r>
  <r>
    <x v="0"/>
    <x v="8"/>
    <x v="1002"/>
    <x v="5"/>
  </r>
  <r>
    <x v="0"/>
    <x v="9"/>
    <x v="1003"/>
    <x v="5"/>
  </r>
  <r>
    <x v="0"/>
    <x v="10"/>
    <x v="1004"/>
    <x v="5"/>
  </r>
  <r>
    <x v="0"/>
    <x v="11"/>
    <x v="1005"/>
    <x v="5"/>
  </r>
  <r>
    <x v="0"/>
    <x v="12"/>
    <x v="1006"/>
    <x v="5"/>
  </r>
  <r>
    <x v="0"/>
    <x v="13"/>
    <x v="1007"/>
    <x v="5"/>
  </r>
  <r>
    <x v="0"/>
    <x v="14"/>
    <x v="1008"/>
    <x v="5"/>
  </r>
  <r>
    <x v="0"/>
    <x v="0"/>
    <x v="1009"/>
    <x v="5"/>
  </r>
  <r>
    <x v="0"/>
    <x v="1"/>
    <x v="1010"/>
    <x v="5"/>
  </r>
  <r>
    <x v="0"/>
    <x v="2"/>
    <x v="326"/>
    <x v="5"/>
  </r>
  <r>
    <x v="0"/>
    <x v="3"/>
    <x v="1011"/>
    <x v="5"/>
  </r>
  <r>
    <x v="0"/>
    <x v="4"/>
    <x v="1012"/>
    <x v="5"/>
  </r>
  <r>
    <x v="0"/>
    <x v="5"/>
    <x v="1013"/>
    <x v="5"/>
  </r>
  <r>
    <x v="0"/>
    <x v="6"/>
    <x v="21"/>
    <x v="5"/>
  </r>
  <r>
    <x v="0"/>
    <x v="7"/>
    <x v="1014"/>
    <x v="5"/>
  </r>
  <r>
    <x v="0"/>
    <x v="8"/>
    <x v="1015"/>
    <x v="5"/>
  </r>
  <r>
    <x v="0"/>
    <x v="9"/>
    <x v="1016"/>
    <x v="5"/>
  </r>
  <r>
    <x v="0"/>
    <x v="10"/>
    <x v="1017"/>
    <x v="5"/>
  </r>
  <r>
    <x v="0"/>
    <x v="11"/>
    <x v="1018"/>
    <x v="5"/>
  </r>
  <r>
    <x v="0"/>
    <x v="12"/>
    <x v="547"/>
    <x v="5"/>
  </r>
  <r>
    <x v="0"/>
    <x v="13"/>
    <x v="1019"/>
    <x v="5"/>
  </r>
  <r>
    <x v="0"/>
    <x v="14"/>
    <x v="1020"/>
    <x v="5"/>
  </r>
  <r>
    <x v="1"/>
    <x v="0"/>
    <x v="1021"/>
    <x v="5"/>
  </r>
  <r>
    <x v="1"/>
    <x v="1"/>
    <x v="1022"/>
    <x v="5"/>
  </r>
  <r>
    <x v="1"/>
    <x v="2"/>
    <x v="77"/>
    <x v="5"/>
  </r>
  <r>
    <x v="1"/>
    <x v="3"/>
    <x v="1023"/>
    <x v="5"/>
  </r>
  <r>
    <x v="1"/>
    <x v="4"/>
    <x v="389"/>
    <x v="5"/>
  </r>
  <r>
    <x v="1"/>
    <x v="5"/>
    <x v="883"/>
    <x v="5"/>
  </r>
  <r>
    <x v="1"/>
    <x v="6"/>
    <x v="36"/>
    <x v="5"/>
  </r>
  <r>
    <x v="1"/>
    <x v="7"/>
    <x v="1024"/>
    <x v="5"/>
  </r>
  <r>
    <x v="1"/>
    <x v="8"/>
    <x v="1025"/>
    <x v="5"/>
  </r>
  <r>
    <x v="1"/>
    <x v="9"/>
    <x v="1026"/>
    <x v="5"/>
  </r>
  <r>
    <x v="1"/>
    <x v="10"/>
    <x v="1027"/>
    <x v="5"/>
  </r>
  <r>
    <x v="1"/>
    <x v="11"/>
    <x v="1028"/>
    <x v="5"/>
  </r>
  <r>
    <x v="1"/>
    <x v="12"/>
    <x v="1029"/>
    <x v="5"/>
  </r>
  <r>
    <x v="1"/>
    <x v="13"/>
    <x v="1030"/>
    <x v="5"/>
  </r>
  <r>
    <x v="1"/>
    <x v="14"/>
    <x v="1031"/>
    <x v="5"/>
  </r>
  <r>
    <x v="0"/>
    <x v="0"/>
    <x v="1032"/>
    <x v="5"/>
  </r>
  <r>
    <x v="0"/>
    <x v="1"/>
    <x v="1033"/>
    <x v="5"/>
  </r>
  <r>
    <x v="0"/>
    <x v="2"/>
    <x v="106"/>
    <x v="5"/>
  </r>
  <r>
    <x v="0"/>
    <x v="3"/>
    <x v="1034"/>
    <x v="5"/>
  </r>
  <r>
    <x v="0"/>
    <x v="4"/>
    <x v="1035"/>
    <x v="5"/>
  </r>
  <r>
    <x v="0"/>
    <x v="5"/>
    <x v="416"/>
    <x v="5"/>
  </r>
  <r>
    <x v="0"/>
    <x v="6"/>
    <x v="51"/>
    <x v="5"/>
  </r>
  <r>
    <x v="0"/>
    <x v="7"/>
    <x v="1036"/>
    <x v="5"/>
  </r>
  <r>
    <x v="0"/>
    <x v="8"/>
    <x v="1037"/>
    <x v="5"/>
  </r>
  <r>
    <x v="0"/>
    <x v="9"/>
    <x v="1038"/>
    <x v="5"/>
  </r>
  <r>
    <x v="0"/>
    <x v="10"/>
    <x v="1039"/>
    <x v="5"/>
  </r>
  <r>
    <x v="0"/>
    <x v="11"/>
    <x v="1040"/>
    <x v="5"/>
  </r>
  <r>
    <x v="0"/>
    <x v="12"/>
    <x v="1041"/>
    <x v="5"/>
  </r>
  <r>
    <x v="0"/>
    <x v="13"/>
    <x v="1042"/>
    <x v="5"/>
  </r>
  <r>
    <x v="0"/>
    <x v="14"/>
    <x v="1043"/>
    <x v="5"/>
  </r>
  <r>
    <x v="1"/>
    <x v="0"/>
    <x v="1044"/>
    <x v="5"/>
  </r>
  <r>
    <x v="1"/>
    <x v="1"/>
    <x v="1045"/>
    <x v="5"/>
  </r>
  <r>
    <x v="1"/>
    <x v="2"/>
    <x v="17"/>
    <x v="5"/>
  </r>
  <r>
    <x v="1"/>
    <x v="3"/>
    <x v="1046"/>
    <x v="5"/>
  </r>
  <r>
    <x v="1"/>
    <x v="4"/>
    <x v="1047"/>
    <x v="5"/>
  </r>
  <r>
    <x v="1"/>
    <x v="5"/>
    <x v="793"/>
    <x v="5"/>
  </r>
  <r>
    <x v="1"/>
    <x v="6"/>
    <x v="66"/>
    <x v="5"/>
  </r>
  <r>
    <x v="1"/>
    <x v="7"/>
    <x v="1048"/>
    <x v="5"/>
  </r>
  <r>
    <x v="1"/>
    <x v="8"/>
    <x v="1049"/>
    <x v="5"/>
  </r>
  <r>
    <x v="1"/>
    <x v="9"/>
    <x v="1050"/>
    <x v="5"/>
  </r>
  <r>
    <x v="1"/>
    <x v="10"/>
    <x v="1051"/>
    <x v="5"/>
  </r>
  <r>
    <x v="1"/>
    <x v="11"/>
    <x v="1052"/>
    <x v="5"/>
  </r>
  <r>
    <x v="1"/>
    <x v="12"/>
    <x v="1053"/>
    <x v="5"/>
  </r>
  <r>
    <x v="1"/>
    <x v="13"/>
    <x v="1054"/>
    <x v="5"/>
  </r>
  <r>
    <x v="1"/>
    <x v="14"/>
    <x v="1055"/>
    <x v="5"/>
  </r>
  <r>
    <x v="0"/>
    <x v="0"/>
    <x v="1056"/>
    <x v="5"/>
  </r>
  <r>
    <x v="0"/>
    <x v="1"/>
    <x v="1057"/>
    <x v="5"/>
  </r>
  <r>
    <x v="0"/>
    <x v="2"/>
    <x v="300"/>
    <x v="5"/>
  </r>
  <r>
    <x v="0"/>
    <x v="3"/>
    <x v="1058"/>
    <x v="5"/>
  </r>
  <r>
    <x v="0"/>
    <x v="4"/>
    <x v="1022"/>
    <x v="5"/>
  </r>
  <r>
    <x v="0"/>
    <x v="5"/>
    <x v="353"/>
    <x v="5"/>
  </r>
  <r>
    <x v="0"/>
    <x v="6"/>
    <x v="81"/>
    <x v="5"/>
  </r>
  <r>
    <x v="0"/>
    <x v="7"/>
    <x v="1059"/>
    <x v="5"/>
  </r>
  <r>
    <x v="0"/>
    <x v="8"/>
    <x v="1060"/>
    <x v="5"/>
  </r>
  <r>
    <x v="0"/>
    <x v="9"/>
    <x v="1061"/>
    <x v="5"/>
  </r>
  <r>
    <x v="0"/>
    <x v="10"/>
    <x v="1062"/>
    <x v="5"/>
  </r>
  <r>
    <x v="0"/>
    <x v="11"/>
    <x v="1063"/>
    <x v="5"/>
  </r>
  <r>
    <x v="0"/>
    <x v="12"/>
    <x v="777"/>
    <x v="5"/>
  </r>
  <r>
    <x v="0"/>
    <x v="13"/>
    <x v="1064"/>
    <x v="5"/>
  </r>
  <r>
    <x v="0"/>
    <x v="14"/>
    <x v="1065"/>
    <x v="5"/>
  </r>
  <r>
    <x v="0"/>
    <x v="0"/>
    <x v="1066"/>
    <x v="5"/>
  </r>
  <r>
    <x v="0"/>
    <x v="1"/>
    <x v="1067"/>
    <x v="5"/>
  </r>
  <r>
    <x v="0"/>
    <x v="2"/>
    <x v="274"/>
    <x v="5"/>
  </r>
  <r>
    <x v="0"/>
    <x v="3"/>
    <x v="1068"/>
    <x v="5"/>
  </r>
  <r>
    <x v="0"/>
    <x v="4"/>
    <x v="1069"/>
    <x v="5"/>
  </r>
  <r>
    <x v="0"/>
    <x v="5"/>
    <x v="1070"/>
    <x v="5"/>
  </r>
  <r>
    <x v="0"/>
    <x v="6"/>
    <x v="95"/>
    <x v="5"/>
  </r>
  <r>
    <x v="0"/>
    <x v="7"/>
    <x v="1071"/>
    <x v="5"/>
  </r>
  <r>
    <x v="0"/>
    <x v="8"/>
    <x v="1072"/>
    <x v="5"/>
  </r>
  <r>
    <x v="0"/>
    <x v="9"/>
    <x v="1073"/>
    <x v="5"/>
  </r>
  <r>
    <x v="0"/>
    <x v="10"/>
    <x v="1074"/>
    <x v="5"/>
  </r>
  <r>
    <x v="0"/>
    <x v="11"/>
    <x v="1075"/>
    <x v="5"/>
  </r>
  <r>
    <x v="0"/>
    <x v="12"/>
    <x v="1076"/>
    <x v="5"/>
  </r>
  <r>
    <x v="0"/>
    <x v="13"/>
    <x v="1077"/>
    <x v="5"/>
  </r>
  <r>
    <x v="0"/>
    <x v="14"/>
    <x v="1078"/>
    <x v="5"/>
  </r>
  <r>
    <x v="1"/>
    <x v="0"/>
    <x v="1079"/>
    <x v="5"/>
  </r>
  <r>
    <x v="1"/>
    <x v="1"/>
    <x v="92"/>
    <x v="5"/>
  </r>
  <r>
    <x v="1"/>
    <x v="2"/>
    <x v="300"/>
    <x v="5"/>
  </r>
  <r>
    <x v="1"/>
    <x v="3"/>
    <x v="390"/>
    <x v="5"/>
  </r>
  <r>
    <x v="1"/>
    <x v="4"/>
    <x v="722"/>
    <x v="5"/>
  </r>
  <r>
    <x v="1"/>
    <x v="5"/>
    <x v="1080"/>
    <x v="5"/>
  </r>
  <r>
    <x v="1"/>
    <x v="6"/>
    <x v="110"/>
    <x v="5"/>
  </r>
  <r>
    <x v="1"/>
    <x v="7"/>
    <x v="1081"/>
    <x v="5"/>
  </r>
  <r>
    <x v="1"/>
    <x v="8"/>
    <x v="1082"/>
    <x v="5"/>
  </r>
  <r>
    <x v="1"/>
    <x v="9"/>
    <x v="1083"/>
    <x v="5"/>
  </r>
  <r>
    <x v="1"/>
    <x v="10"/>
    <x v="1084"/>
    <x v="5"/>
  </r>
  <r>
    <x v="1"/>
    <x v="11"/>
    <x v="1085"/>
    <x v="5"/>
  </r>
  <r>
    <x v="1"/>
    <x v="12"/>
    <x v="1086"/>
    <x v="5"/>
  </r>
  <r>
    <x v="1"/>
    <x v="13"/>
    <x v="1087"/>
    <x v="5"/>
  </r>
  <r>
    <x v="1"/>
    <x v="14"/>
    <x v="1088"/>
    <x v="5"/>
  </r>
  <r>
    <x v="1"/>
    <x v="0"/>
    <x v="1089"/>
    <x v="5"/>
  </r>
  <r>
    <x v="1"/>
    <x v="1"/>
    <x v="1090"/>
    <x v="5"/>
  </r>
  <r>
    <x v="1"/>
    <x v="2"/>
    <x v="235"/>
    <x v="5"/>
  </r>
  <r>
    <x v="1"/>
    <x v="3"/>
    <x v="453"/>
    <x v="5"/>
  </r>
  <r>
    <x v="1"/>
    <x v="4"/>
    <x v="805"/>
    <x v="5"/>
  </r>
  <r>
    <x v="1"/>
    <x v="5"/>
    <x v="1091"/>
    <x v="5"/>
  </r>
  <r>
    <x v="1"/>
    <x v="6"/>
    <x v="125"/>
    <x v="5"/>
  </r>
  <r>
    <x v="1"/>
    <x v="7"/>
    <x v="1092"/>
    <x v="5"/>
  </r>
  <r>
    <x v="1"/>
    <x v="8"/>
    <x v="1093"/>
    <x v="5"/>
  </r>
  <r>
    <x v="1"/>
    <x v="9"/>
    <x v="1094"/>
    <x v="5"/>
  </r>
  <r>
    <x v="1"/>
    <x v="10"/>
    <x v="1095"/>
    <x v="5"/>
  </r>
  <r>
    <x v="1"/>
    <x v="11"/>
    <x v="1096"/>
    <x v="5"/>
  </r>
  <r>
    <x v="1"/>
    <x v="12"/>
    <x v="1097"/>
    <x v="5"/>
  </r>
  <r>
    <x v="1"/>
    <x v="13"/>
    <x v="1098"/>
    <x v="5"/>
  </r>
  <r>
    <x v="1"/>
    <x v="14"/>
    <x v="1099"/>
    <x v="5"/>
  </r>
  <r>
    <x v="0"/>
    <x v="0"/>
    <x v="1100"/>
    <x v="5"/>
  </r>
  <r>
    <x v="0"/>
    <x v="1"/>
    <x v="1101"/>
    <x v="5"/>
  </r>
  <r>
    <x v="0"/>
    <x v="2"/>
    <x v="732"/>
    <x v="5"/>
  </r>
  <r>
    <x v="0"/>
    <x v="3"/>
    <x v="589"/>
    <x v="5"/>
  </r>
  <r>
    <x v="0"/>
    <x v="4"/>
    <x v="1102"/>
    <x v="5"/>
  </r>
  <r>
    <x v="0"/>
    <x v="5"/>
    <x v="1103"/>
    <x v="5"/>
  </r>
  <r>
    <x v="0"/>
    <x v="6"/>
    <x v="138"/>
    <x v="5"/>
  </r>
  <r>
    <x v="0"/>
    <x v="7"/>
    <x v="1104"/>
    <x v="5"/>
  </r>
  <r>
    <x v="0"/>
    <x v="8"/>
    <x v="1105"/>
    <x v="5"/>
  </r>
  <r>
    <x v="0"/>
    <x v="9"/>
    <x v="1106"/>
    <x v="5"/>
  </r>
  <r>
    <x v="0"/>
    <x v="10"/>
    <x v="1107"/>
    <x v="5"/>
  </r>
  <r>
    <x v="0"/>
    <x v="11"/>
    <x v="1108"/>
    <x v="5"/>
  </r>
  <r>
    <x v="0"/>
    <x v="12"/>
    <x v="1109"/>
    <x v="5"/>
  </r>
  <r>
    <x v="0"/>
    <x v="13"/>
    <x v="1110"/>
    <x v="5"/>
  </r>
  <r>
    <x v="0"/>
    <x v="14"/>
    <x v="1111"/>
    <x v="5"/>
  </r>
  <r>
    <x v="1"/>
    <x v="0"/>
    <x v="400"/>
    <x v="5"/>
  </r>
  <r>
    <x v="1"/>
    <x v="1"/>
    <x v="1112"/>
    <x v="5"/>
  </r>
  <r>
    <x v="1"/>
    <x v="2"/>
    <x v="757"/>
    <x v="5"/>
  </r>
  <r>
    <x v="1"/>
    <x v="3"/>
    <x v="1113"/>
    <x v="5"/>
  </r>
  <r>
    <x v="1"/>
    <x v="4"/>
    <x v="108"/>
    <x v="5"/>
  </r>
  <r>
    <x v="1"/>
    <x v="5"/>
    <x v="64"/>
    <x v="5"/>
  </r>
  <r>
    <x v="1"/>
    <x v="6"/>
    <x v="152"/>
    <x v="5"/>
  </r>
  <r>
    <x v="1"/>
    <x v="7"/>
    <x v="1114"/>
    <x v="5"/>
  </r>
  <r>
    <x v="1"/>
    <x v="8"/>
    <x v="1115"/>
    <x v="5"/>
  </r>
  <r>
    <x v="1"/>
    <x v="9"/>
    <x v="1116"/>
    <x v="5"/>
  </r>
  <r>
    <x v="1"/>
    <x v="10"/>
    <x v="1117"/>
    <x v="5"/>
  </r>
  <r>
    <x v="1"/>
    <x v="11"/>
    <x v="1118"/>
    <x v="5"/>
  </r>
  <r>
    <x v="1"/>
    <x v="12"/>
    <x v="1119"/>
    <x v="5"/>
  </r>
  <r>
    <x v="1"/>
    <x v="13"/>
    <x v="1120"/>
    <x v="5"/>
  </r>
  <r>
    <x v="1"/>
    <x v="14"/>
    <x v="1121"/>
    <x v="5"/>
  </r>
  <r>
    <x v="1"/>
    <x v="0"/>
    <x v="1122"/>
    <x v="5"/>
  </r>
  <r>
    <x v="1"/>
    <x v="1"/>
    <x v="703"/>
    <x v="5"/>
  </r>
  <r>
    <x v="1"/>
    <x v="2"/>
    <x v="121"/>
    <x v="5"/>
  </r>
  <r>
    <x v="1"/>
    <x v="3"/>
    <x v="1123"/>
    <x v="5"/>
  </r>
  <r>
    <x v="1"/>
    <x v="4"/>
    <x v="1124"/>
    <x v="5"/>
  </r>
  <r>
    <x v="1"/>
    <x v="5"/>
    <x v="1125"/>
    <x v="5"/>
  </r>
  <r>
    <x v="1"/>
    <x v="6"/>
    <x v="167"/>
    <x v="5"/>
  </r>
  <r>
    <x v="1"/>
    <x v="7"/>
    <x v="1126"/>
    <x v="5"/>
  </r>
  <r>
    <x v="1"/>
    <x v="8"/>
    <x v="1127"/>
    <x v="5"/>
  </r>
  <r>
    <x v="1"/>
    <x v="9"/>
    <x v="1128"/>
    <x v="5"/>
  </r>
  <r>
    <x v="1"/>
    <x v="10"/>
    <x v="1129"/>
    <x v="5"/>
  </r>
  <r>
    <x v="1"/>
    <x v="11"/>
    <x v="1130"/>
    <x v="5"/>
  </r>
  <r>
    <x v="1"/>
    <x v="12"/>
    <x v="1131"/>
    <x v="5"/>
  </r>
  <r>
    <x v="1"/>
    <x v="13"/>
    <x v="1132"/>
    <x v="5"/>
  </r>
  <r>
    <x v="1"/>
    <x v="14"/>
    <x v="1133"/>
    <x v="5"/>
  </r>
  <r>
    <x v="1"/>
    <x v="0"/>
    <x v="1134"/>
    <x v="5"/>
  </r>
  <r>
    <x v="1"/>
    <x v="1"/>
    <x v="1135"/>
    <x v="5"/>
  </r>
  <r>
    <x v="1"/>
    <x v="2"/>
    <x v="17"/>
    <x v="5"/>
  </r>
  <r>
    <x v="1"/>
    <x v="3"/>
    <x v="1136"/>
    <x v="5"/>
  </r>
  <r>
    <x v="1"/>
    <x v="4"/>
    <x v="1137"/>
    <x v="5"/>
  </r>
  <r>
    <x v="1"/>
    <x v="5"/>
    <x v="907"/>
    <x v="5"/>
  </r>
  <r>
    <x v="1"/>
    <x v="6"/>
    <x v="181"/>
    <x v="5"/>
  </r>
  <r>
    <x v="1"/>
    <x v="7"/>
    <x v="1138"/>
    <x v="5"/>
  </r>
  <r>
    <x v="1"/>
    <x v="8"/>
    <x v="1139"/>
    <x v="5"/>
  </r>
  <r>
    <x v="1"/>
    <x v="9"/>
    <x v="167"/>
    <x v="5"/>
  </r>
  <r>
    <x v="1"/>
    <x v="10"/>
    <x v="1140"/>
    <x v="5"/>
  </r>
  <r>
    <x v="1"/>
    <x v="11"/>
    <x v="1141"/>
    <x v="5"/>
  </r>
  <r>
    <x v="1"/>
    <x v="12"/>
    <x v="1142"/>
    <x v="5"/>
  </r>
  <r>
    <x v="1"/>
    <x v="13"/>
    <x v="1143"/>
    <x v="5"/>
  </r>
  <r>
    <x v="1"/>
    <x v="14"/>
    <x v="1144"/>
    <x v="5"/>
  </r>
  <r>
    <x v="1"/>
    <x v="0"/>
    <x v="728"/>
    <x v="5"/>
  </r>
  <r>
    <x v="1"/>
    <x v="1"/>
    <x v="553"/>
    <x v="5"/>
  </r>
  <r>
    <x v="1"/>
    <x v="2"/>
    <x v="326"/>
    <x v="5"/>
  </r>
  <r>
    <x v="1"/>
    <x v="3"/>
    <x v="1145"/>
    <x v="5"/>
  </r>
  <r>
    <x v="1"/>
    <x v="4"/>
    <x v="1146"/>
    <x v="5"/>
  </r>
  <r>
    <x v="1"/>
    <x v="5"/>
    <x v="1057"/>
    <x v="5"/>
  </r>
  <r>
    <x v="1"/>
    <x v="6"/>
    <x v="195"/>
    <x v="5"/>
  </r>
  <r>
    <x v="1"/>
    <x v="7"/>
    <x v="1147"/>
    <x v="5"/>
  </r>
  <r>
    <x v="1"/>
    <x v="8"/>
    <x v="1148"/>
    <x v="5"/>
  </r>
  <r>
    <x v="1"/>
    <x v="9"/>
    <x v="1149"/>
    <x v="5"/>
  </r>
  <r>
    <x v="1"/>
    <x v="10"/>
    <x v="1150"/>
    <x v="5"/>
  </r>
  <r>
    <x v="1"/>
    <x v="11"/>
    <x v="1151"/>
    <x v="5"/>
  </r>
  <r>
    <x v="1"/>
    <x v="12"/>
    <x v="1152"/>
    <x v="5"/>
  </r>
  <r>
    <x v="1"/>
    <x v="13"/>
    <x v="1153"/>
    <x v="5"/>
  </r>
  <r>
    <x v="1"/>
    <x v="14"/>
    <x v="1154"/>
    <x v="5"/>
  </r>
  <r>
    <x v="1"/>
    <x v="0"/>
    <x v="1155"/>
    <x v="5"/>
  </r>
  <r>
    <x v="1"/>
    <x v="1"/>
    <x v="1156"/>
    <x v="5"/>
  </r>
  <r>
    <x v="1"/>
    <x v="2"/>
    <x v="2"/>
    <x v="5"/>
  </r>
  <r>
    <x v="1"/>
    <x v="3"/>
    <x v="1157"/>
    <x v="5"/>
  </r>
  <r>
    <x v="1"/>
    <x v="4"/>
    <x v="46"/>
    <x v="5"/>
  </r>
  <r>
    <x v="1"/>
    <x v="5"/>
    <x v="635"/>
    <x v="5"/>
  </r>
  <r>
    <x v="1"/>
    <x v="6"/>
    <x v="209"/>
    <x v="5"/>
  </r>
  <r>
    <x v="1"/>
    <x v="7"/>
    <x v="1158"/>
    <x v="5"/>
  </r>
  <r>
    <x v="1"/>
    <x v="8"/>
    <x v="1159"/>
    <x v="5"/>
  </r>
  <r>
    <x v="1"/>
    <x v="9"/>
    <x v="1160"/>
    <x v="5"/>
  </r>
  <r>
    <x v="1"/>
    <x v="10"/>
    <x v="1161"/>
    <x v="5"/>
  </r>
  <r>
    <x v="1"/>
    <x v="11"/>
    <x v="1162"/>
    <x v="5"/>
  </r>
  <r>
    <x v="1"/>
    <x v="12"/>
    <x v="1163"/>
    <x v="5"/>
  </r>
  <r>
    <x v="1"/>
    <x v="13"/>
    <x v="1164"/>
    <x v="5"/>
  </r>
  <r>
    <x v="1"/>
    <x v="14"/>
    <x v="1165"/>
    <x v="5"/>
  </r>
  <r>
    <x v="0"/>
    <x v="0"/>
    <x v="1166"/>
    <x v="5"/>
  </r>
  <r>
    <x v="0"/>
    <x v="1"/>
    <x v="314"/>
    <x v="5"/>
  </r>
  <r>
    <x v="0"/>
    <x v="2"/>
    <x v="274"/>
    <x v="5"/>
  </r>
  <r>
    <x v="0"/>
    <x v="3"/>
    <x v="1167"/>
    <x v="5"/>
  </r>
  <r>
    <x v="0"/>
    <x v="4"/>
    <x v="1168"/>
    <x v="5"/>
  </r>
  <r>
    <x v="0"/>
    <x v="5"/>
    <x v="1169"/>
    <x v="5"/>
  </r>
  <r>
    <x v="0"/>
    <x v="6"/>
    <x v="224"/>
    <x v="5"/>
  </r>
  <r>
    <x v="0"/>
    <x v="7"/>
    <x v="1170"/>
    <x v="5"/>
  </r>
  <r>
    <x v="0"/>
    <x v="8"/>
    <x v="1171"/>
    <x v="5"/>
  </r>
  <r>
    <x v="0"/>
    <x v="9"/>
    <x v="1172"/>
    <x v="5"/>
  </r>
  <r>
    <x v="0"/>
    <x v="10"/>
    <x v="1173"/>
    <x v="5"/>
  </r>
  <r>
    <x v="0"/>
    <x v="11"/>
    <x v="1174"/>
    <x v="5"/>
  </r>
  <r>
    <x v="0"/>
    <x v="12"/>
    <x v="1175"/>
    <x v="5"/>
  </r>
  <r>
    <x v="0"/>
    <x v="13"/>
    <x v="1176"/>
    <x v="5"/>
  </r>
  <r>
    <x v="0"/>
    <x v="14"/>
    <x v="1177"/>
    <x v="5"/>
  </r>
  <r>
    <x v="0"/>
    <x v="0"/>
    <x v="1178"/>
    <x v="6"/>
  </r>
  <r>
    <x v="0"/>
    <x v="1"/>
    <x v="1179"/>
    <x v="6"/>
  </r>
  <r>
    <x v="0"/>
    <x v="2"/>
    <x v="235"/>
    <x v="6"/>
  </r>
  <r>
    <x v="0"/>
    <x v="3"/>
    <x v="1180"/>
    <x v="6"/>
  </r>
  <r>
    <x v="0"/>
    <x v="4"/>
    <x v="1181"/>
    <x v="6"/>
  </r>
  <r>
    <x v="0"/>
    <x v="5"/>
    <x v="1000"/>
    <x v="6"/>
  </r>
  <r>
    <x v="0"/>
    <x v="6"/>
    <x v="6"/>
    <x v="6"/>
  </r>
  <r>
    <x v="0"/>
    <x v="7"/>
    <x v="1182"/>
    <x v="6"/>
  </r>
  <r>
    <x v="0"/>
    <x v="8"/>
    <x v="1183"/>
    <x v="6"/>
  </r>
  <r>
    <x v="0"/>
    <x v="9"/>
    <x v="1184"/>
    <x v="6"/>
  </r>
  <r>
    <x v="0"/>
    <x v="10"/>
    <x v="1185"/>
    <x v="6"/>
  </r>
  <r>
    <x v="0"/>
    <x v="11"/>
    <x v="1186"/>
    <x v="6"/>
  </r>
  <r>
    <x v="0"/>
    <x v="12"/>
    <x v="1187"/>
    <x v="6"/>
  </r>
  <r>
    <x v="0"/>
    <x v="13"/>
    <x v="1188"/>
    <x v="6"/>
  </r>
  <r>
    <x v="0"/>
    <x v="14"/>
    <x v="1189"/>
    <x v="6"/>
  </r>
  <r>
    <x v="0"/>
    <x v="0"/>
    <x v="547"/>
    <x v="6"/>
  </r>
  <r>
    <x v="0"/>
    <x v="1"/>
    <x v="4"/>
    <x v="6"/>
  </r>
  <r>
    <x v="0"/>
    <x v="2"/>
    <x v="376"/>
    <x v="6"/>
  </r>
  <r>
    <x v="0"/>
    <x v="3"/>
    <x v="1190"/>
    <x v="6"/>
  </r>
  <r>
    <x v="0"/>
    <x v="4"/>
    <x v="862"/>
    <x v="6"/>
  </r>
  <r>
    <x v="0"/>
    <x v="5"/>
    <x v="839"/>
    <x v="6"/>
  </r>
  <r>
    <x v="0"/>
    <x v="6"/>
    <x v="21"/>
    <x v="6"/>
  </r>
  <r>
    <x v="0"/>
    <x v="7"/>
    <x v="1191"/>
    <x v="6"/>
  </r>
  <r>
    <x v="0"/>
    <x v="8"/>
    <x v="1192"/>
    <x v="6"/>
  </r>
  <r>
    <x v="0"/>
    <x v="9"/>
    <x v="1193"/>
    <x v="6"/>
  </r>
  <r>
    <x v="0"/>
    <x v="10"/>
    <x v="1194"/>
    <x v="6"/>
  </r>
  <r>
    <x v="0"/>
    <x v="11"/>
    <x v="1195"/>
    <x v="6"/>
  </r>
  <r>
    <x v="0"/>
    <x v="12"/>
    <x v="1196"/>
    <x v="6"/>
  </r>
  <r>
    <x v="0"/>
    <x v="13"/>
    <x v="1197"/>
    <x v="6"/>
  </r>
  <r>
    <x v="0"/>
    <x v="14"/>
    <x v="1198"/>
    <x v="6"/>
  </r>
  <r>
    <x v="0"/>
    <x v="0"/>
    <x v="1199"/>
    <x v="6"/>
  </r>
  <r>
    <x v="0"/>
    <x v="1"/>
    <x v="468"/>
    <x v="6"/>
  </r>
  <r>
    <x v="0"/>
    <x v="2"/>
    <x v="148"/>
    <x v="6"/>
  </r>
  <r>
    <x v="0"/>
    <x v="3"/>
    <x v="1200"/>
    <x v="6"/>
  </r>
  <r>
    <x v="0"/>
    <x v="4"/>
    <x v="1201"/>
    <x v="6"/>
  </r>
  <r>
    <x v="0"/>
    <x v="5"/>
    <x v="817"/>
    <x v="6"/>
  </r>
  <r>
    <x v="0"/>
    <x v="6"/>
    <x v="36"/>
    <x v="6"/>
  </r>
  <r>
    <x v="0"/>
    <x v="7"/>
    <x v="1202"/>
    <x v="6"/>
  </r>
  <r>
    <x v="0"/>
    <x v="8"/>
    <x v="1203"/>
    <x v="6"/>
  </r>
  <r>
    <x v="0"/>
    <x v="9"/>
    <x v="1204"/>
    <x v="6"/>
  </r>
  <r>
    <x v="0"/>
    <x v="10"/>
    <x v="1205"/>
    <x v="6"/>
  </r>
  <r>
    <x v="0"/>
    <x v="11"/>
    <x v="1206"/>
    <x v="6"/>
  </r>
  <r>
    <x v="0"/>
    <x v="12"/>
    <x v="1207"/>
    <x v="6"/>
  </r>
  <r>
    <x v="0"/>
    <x v="13"/>
    <x v="1208"/>
    <x v="6"/>
  </r>
  <r>
    <x v="0"/>
    <x v="14"/>
    <x v="1209"/>
    <x v="6"/>
  </r>
  <r>
    <x v="0"/>
    <x v="0"/>
    <x v="1210"/>
    <x v="6"/>
  </r>
  <r>
    <x v="0"/>
    <x v="1"/>
    <x v="1211"/>
    <x v="6"/>
  </r>
  <r>
    <x v="0"/>
    <x v="2"/>
    <x v="274"/>
    <x v="6"/>
  </r>
  <r>
    <x v="0"/>
    <x v="3"/>
    <x v="1212"/>
    <x v="6"/>
  </r>
  <r>
    <x v="0"/>
    <x v="4"/>
    <x v="930"/>
    <x v="6"/>
  </r>
  <r>
    <x v="0"/>
    <x v="5"/>
    <x v="1213"/>
    <x v="6"/>
  </r>
  <r>
    <x v="0"/>
    <x v="6"/>
    <x v="51"/>
    <x v="6"/>
  </r>
  <r>
    <x v="0"/>
    <x v="7"/>
    <x v="1214"/>
    <x v="6"/>
  </r>
  <r>
    <x v="0"/>
    <x v="8"/>
    <x v="1215"/>
    <x v="6"/>
  </r>
  <r>
    <x v="0"/>
    <x v="9"/>
    <x v="1216"/>
    <x v="6"/>
  </r>
  <r>
    <x v="0"/>
    <x v="10"/>
    <x v="1217"/>
    <x v="6"/>
  </r>
  <r>
    <x v="0"/>
    <x v="11"/>
    <x v="1218"/>
    <x v="6"/>
  </r>
  <r>
    <x v="0"/>
    <x v="12"/>
    <x v="1219"/>
    <x v="6"/>
  </r>
  <r>
    <x v="0"/>
    <x v="13"/>
    <x v="1220"/>
    <x v="6"/>
  </r>
  <r>
    <x v="0"/>
    <x v="14"/>
    <x v="1221"/>
    <x v="6"/>
  </r>
  <r>
    <x v="0"/>
    <x v="0"/>
    <x v="1222"/>
    <x v="6"/>
  </r>
  <r>
    <x v="0"/>
    <x v="1"/>
    <x v="1223"/>
    <x v="6"/>
  </r>
  <r>
    <x v="0"/>
    <x v="2"/>
    <x v="163"/>
    <x v="6"/>
  </r>
  <r>
    <x v="0"/>
    <x v="3"/>
    <x v="1034"/>
    <x v="6"/>
  </r>
  <r>
    <x v="0"/>
    <x v="4"/>
    <x v="1224"/>
    <x v="6"/>
  </r>
  <r>
    <x v="0"/>
    <x v="5"/>
    <x v="722"/>
    <x v="6"/>
  </r>
  <r>
    <x v="0"/>
    <x v="6"/>
    <x v="66"/>
    <x v="6"/>
  </r>
  <r>
    <x v="0"/>
    <x v="7"/>
    <x v="1225"/>
    <x v="6"/>
  </r>
  <r>
    <x v="0"/>
    <x v="8"/>
    <x v="1226"/>
    <x v="6"/>
  </r>
  <r>
    <x v="0"/>
    <x v="9"/>
    <x v="1227"/>
    <x v="6"/>
  </r>
  <r>
    <x v="0"/>
    <x v="10"/>
    <x v="1228"/>
    <x v="6"/>
  </r>
  <r>
    <x v="0"/>
    <x v="11"/>
    <x v="1229"/>
    <x v="6"/>
  </r>
  <r>
    <x v="0"/>
    <x v="12"/>
    <x v="1230"/>
    <x v="6"/>
  </r>
  <r>
    <x v="0"/>
    <x v="13"/>
    <x v="1231"/>
    <x v="6"/>
  </r>
  <r>
    <x v="0"/>
    <x v="14"/>
    <x v="1232"/>
    <x v="6"/>
  </r>
  <r>
    <x v="0"/>
    <x v="0"/>
    <x v="1233"/>
    <x v="6"/>
  </r>
  <r>
    <x v="0"/>
    <x v="1"/>
    <x v="829"/>
    <x v="6"/>
  </r>
  <r>
    <x v="0"/>
    <x v="2"/>
    <x v="326"/>
    <x v="6"/>
  </r>
  <r>
    <x v="0"/>
    <x v="3"/>
    <x v="1234"/>
    <x v="6"/>
  </r>
  <r>
    <x v="0"/>
    <x v="4"/>
    <x v="287"/>
    <x v="6"/>
  </r>
  <r>
    <x v="0"/>
    <x v="5"/>
    <x v="1235"/>
    <x v="6"/>
  </r>
  <r>
    <x v="0"/>
    <x v="6"/>
    <x v="81"/>
    <x v="6"/>
  </r>
  <r>
    <x v="0"/>
    <x v="7"/>
    <x v="1236"/>
    <x v="6"/>
  </r>
  <r>
    <x v="0"/>
    <x v="8"/>
    <x v="1237"/>
    <x v="6"/>
  </r>
  <r>
    <x v="0"/>
    <x v="9"/>
    <x v="1238"/>
    <x v="6"/>
  </r>
  <r>
    <x v="0"/>
    <x v="10"/>
    <x v="1239"/>
    <x v="6"/>
  </r>
  <r>
    <x v="0"/>
    <x v="11"/>
    <x v="1240"/>
    <x v="6"/>
  </r>
  <r>
    <x v="0"/>
    <x v="12"/>
    <x v="1241"/>
    <x v="6"/>
  </r>
  <r>
    <x v="0"/>
    <x v="13"/>
    <x v="1242"/>
    <x v="6"/>
  </r>
  <r>
    <x v="0"/>
    <x v="14"/>
    <x v="1243"/>
    <x v="6"/>
  </r>
  <r>
    <x v="0"/>
    <x v="0"/>
    <x v="1244"/>
    <x v="6"/>
  </r>
  <r>
    <x v="0"/>
    <x v="1"/>
    <x v="1245"/>
    <x v="6"/>
  </r>
  <r>
    <x v="0"/>
    <x v="2"/>
    <x v="32"/>
    <x v="6"/>
  </r>
  <r>
    <x v="0"/>
    <x v="3"/>
    <x v="1246"/>
    <x v="6"/>
  </r>
  <r>
    <x v="0"/>
    <x v="4"/>
    <x v="1247"/>
    <x v="6"/>
  </r>
  <r>
    <x v="0"/>
    <x v="5"/>
    <x v="426"/>
    <x v="6"/>
  </r>
  <r>
    <x v="0"/>
    <x v="6"/>
    <x v="95"/>
    <x v="6"/>
  </r>
  <r>
    <x v="0"/>
    <x v="7"/>
    <x v="126"/>
    <x v="6"/>
  </r>
  <r>
    <x v="0"/>
    <x v="8"/>
    <x v="127"/>
    <x v="6"/>
  </r>
  <r>
    <x v="0"/>
    <x v="9"/>
    <x v="1248"/>
    <x v="6"/>
  </r>
  <r>
    <x v="0"/>
    <x v="10"/>
    <x v="1249"/>
    <x v="6"/>
  </r>
  <r>
    <x v="0"/>
    <x v="11"/>
    <x v="1250"/>
    <x v="6"/>
  </r>
  <r>
    <x v="0"/>
    <x v="12"/>
    <x v="1251"/>
    <x v="6"/>
  </r>
  <r>
    <x v="0"/>
    <x v="13"/>
    <x v="1252"/>
    <x v="6"/>
  </r>
  <r>
    <x v="0"/>
    <x v="14"/>
    <x v="1253"/>
    <x v="6"/>
  </r>
  <r>
    <x v="1"/>
    <x v="0"/>
    <x v="1254"/>
    <x v="6"/>
  </r>
  <r>
    <x v="1"/>
    <x v="1"/>
    <x v="1181"/>
    <x v="6"/>
  </r>
  <r>
    <x v="1"/>
    <x v="2"/>
    <x v="6"/>
    <x v="6"/>
  </r>
  <r>
    <x v="1"/>
    <x v="3"/>
    <x v="1255"/>
    <x v="6"/>
  </r>
  <r>
    <x v="1"/>
    <x v="4"/>
    <x v="1256"/>
    <x v="6"/>
  </r>
  <r>
    <x v="1"/>
    <x v="5"/>
    <x v="1201"/>
    <x v="6"/>
  </r>
  <r>
    <x v="1"/>
    <x v="6"/>
    <x v="110"/>
    <x v="6"/>
  </r>
  <r>
    <x v="1"/>
    <x v="7"/>
    <x v="1257"/>
    <x v="6"/>
  </r>
  <r>
    <x v="1"/>
    <x v="8"/>
    <x v="1258"/>
    <x v="6"/>
  </r>
  <r>
    <x v="1"/>
    <x v="9"/>
    <x v="1259"/>
    <x v="6"/>
  </r>
  <r>
    <x v="1"/>
    <x v="10"/>
    <x v="1260"/>
    <x v="6"/>
  </r>
  <r>
    <x v="1"/>
    <x v="11"/>
    <x v="1261"/>
    <x v="6"/>
  </r>
  <r>
    <x v="1"/>
    <x v="12"/>
    <x v="1262"/>
    <x v="6"/>
  </r>
  <r>
    <x v="1"/>
    <x v="13"/>
    <x v="1263"/>
    <x v="6"/>
  </r>
  <r>
    <x v="1"/>
    <x v="14"/>
    <x v="1264"/>
    <x v="6"/>
  </r>
  <r>
    <x v="1"/>
    <x v="0"/>
    <x v="1265"/>
    <x v="6"/>
  </r>
  <r>
    <x v="1"/>
    <x v="1"/>
    <x v="1266"/>
    <x v="6"/>
  </r>
  <r>
    <x v="1"/>
    <x v="2"/>
    <x v="92"/>
    <x v="6"/>
  </r>
  <r>
    <x v="1"/>
    <x v="3"/>
    <x v="1267"/>
    <x v="6"/>
  </r>
  <r>
    <x v="1"/>
    <x v="4"/>
    <x v="491"/>
    <x v="6"/>
  </r>
  <r>
    <x v="1"/>
    <x v="5"/>
    <x v="109"/>
    <x v="6"/>
  </r>
  <r>
    <x v="1"/>
    <x v="6"/>
    <x v="125"/>
    <x v="6"/>
  </r>
  <r>
    <x v="1"/>
    <x v="7"/>
    <x v="1268"/>
    <x v="6"/>
  </r>
  <r>
    <x v="1"/>
    <x v="8"/>
    <x v="1269"/>
    <x v="6"/>
  </r>
  <r>
    <x v="1"/>
    <x v="9"/>
    <x v="1270"/>
    <x v="6"/>
  </r>
  <r>
    <x v="1"/>
    <x v="10"/>
    <x v="1271"/>
    <x v="6"/>
  </r>
  <r>
    <x v="1"/>
    <x v="11"/>
    <x v="1272"/>
    <x v="6"/>
  </r>
  <r>
    <x v="1"/>
    <x v="12"/>
    <x v="1273"/>
    <x v="6"/>
  </r>
  <r>
    <x v="1"/>
    <x v="13"/>
    <x v="1274"/>
    <x v="6"/>
  </r>
  <r>
    <x v="1"/>
    <x v="14"/>
    <x v="1275"/>
    <x v="6"/>
  </r>
  <r>
    <x v="1"/>
    <x v="0"/>
    <x v="1276"/>
    <x v="6"/>
  </r>
  <r>
    <x v="1"/>
    <x v="1"/>
    <x v="1277"/>
    <x v="6"/>
  </r>
  <r>
    <x v="1"/>
    <x v="2"/>
    <x v="235"/>
    <x v="6"/>
  </r>
  <r>
    <x v="1"/>
    <x v="3"/>
    <x v="1034"/>
    <x v="6"/>
  </r>
  <r>
    <x v="1"/>
    <x v="4"/>
    <x v="150"/>
    <x v="6"/>
  </r>
  <r>
    <x v="1"/>
    <x v="5"/>
    <x v="1278"/>
    <x v="6"/>
  </r>
  <r>
    <x v="1"/>
    <x v="6"/>
    <x v="138"/>
    <x v="6"/>
  </r>
  <r>
    <x v="1"/>
    <x v="7"/>
    <x v="1279"/>
    <x v="6"/>
  </r>
  <r>
    <x v="1"/>
    <x v="8"/>
    <x v="1280"/>
    <x v="6"/>
  </r>
  <r>
    <x v="1"/>
    <x v="9"/>
    <x v="1281"/>
    <x v="6"/>
  </r>
  <r>
    <x v="1"/>
    <x v="10"/>
    <x v="1282"/>
    <x v="6"/>
  </r>
  <r>
    <x v="1"/>
    <x v="11"/>
    <x v="1283"/>
    <x v="6"/>
  </r>
  <r>
    <x v="1"/>
    <x v="12"/>
    <x v="1284"/>
    <x v="6"/>
  </r>
  <r>
    <x v="1"/>
    <x v="13"/>
    <x v="1285"/>
    <x v="6"/>
  </r>
  <r>
    <x v="1"/>
    <x v="14"/>
    <x v="1286"/>
    <x v="6"/>
  </r>
  <r>
    <x v="1"/>
    <x v="0"/>
    <x v="1287"/>
    <x v="6"/>
  </r>
  <r>
    <x v="1"/>
    <x v="1"/>
    <x v="262"/>
    <x v="6"/>
  </r>
  <r>
    <x v="1"/>
    <x v="2"/>
    <x v="757"/>
    <x v="6"/>
  </r>
  <r>
    <x v="1"/>
    <x v="3"/>
    <x v="1288"/>
    <x v="6"/>
  </r>
  <r>
    <x v="1"/>
    <x v="4"/>
    <x v="136"/>
    <x v="6"/>
  </r>
  <r>
    <x v="1"/>
    <x v="5"/>
    <x v="1289"/>
    <x v="6"/>
  </r>
  <r>
    <x v="1"/>
    <x v="6"/>
    <x v="152"/>
    <x v="6"/>
  </r>
  <r>
    <x v="1"/>
    <x v="7"/>
    <x v="1290"/>
    <x v="6"/>
  </r>
  <r>
    <x v="1"/>
    <x v="8"/>
    <x v="1291"/>
    <x v="6"/>
  </r>
  <r>
    <x v="1"/>
    <x v="9"/>
    <x v="1292"/>
    <x v="6"/>
  </r>
  <r>
    <x v="1"/>
    <x v="10"/>
    <x v="142"/>
    <x v="6"/>
  </r>
  <r>
    <x v="1"/>
    <x v="11"/>
    <x v="1293"/>
    <x v="6"/>
  </r>
  <r>
    <x v="1"/>
    <x v="12"/>
    <x v="1294"/>
    <x v="6"/>
  </r>
  <r>
    <x v="1"/>
    <x v="13"/>
    <x v="1295"/>
    <x v="6"/>
  </r>
  <r>
    <x v="1"/>
    <x v="14"/>
    <x v="1296"/>
    <x v="6"/>
  </r>
  <r>
    <x v="1"/>
    <x v="0"/>
    <x v="1297"/>
    <x v="6"/>
  </r>
  <r>
    <x v="1"/>
    <x v="1"/>
    <x v="276"/>
    <x v="6"/>
  </r>
  <r>
    <x v="1"/>
    <x v="2"/>
    <x v="527"/>
    <x v="6"/>
  </r>
  <r>
    <x v="1"/>
    <x v="3"/>
    <x v="1298"/>
    <x v="6"/>
  </r>
  <r>
    <x v="1"/>
    <x v="4"/>
    <x v="1299"/>
    <x v="6"/>
  </r>
  <r>
    <x v="1"/>
    <x v="5"/>
    <x v="327"/>
    <x v="6"/>
  </r>
  <r>
    <x v="1"/>
    <x v="6"/>
    <x v="167"/>
    <x v="6"/>
  </r>
  <r>
    <x v="1"/>
    <x v="7"/>
    <x v="1300"/>
    <x v="6"/>
  </r>
  <r>
    <x v="1"/>
    <x v="8"/>
    <x v="1301"/>
    <x v="6"/>
  </r>
  <r>
    <x v="1"/>
    <x v="9"/>
    <x v="1302"/>
    <x v="6"/>
  </r>
  <r>
    <x v="1"/>
    <x v="10"/>
    <x v="1303"/>
    <x v="6"/>
  </r>
  <r>
    <x v="1"/>
    <x v="11"/>
    <x v="1304"/>
    <x v="6"/>
  </r>
  <r>
    <x v="1"/>
    <x v="12"/>
    <x v="1305"/>
    <x v="6"/>
  </r>
  <r>
    <x v="1"/>
    <x v="13"/>
    <x v="1306"/>
    <x v="6"/>
  </r>
  <r>
    <x v="1"/>
    <x v="14"/>
    <x v="1307"/>
    <x v="6"/>
  </r>
  <r>
    <x v="1"/>
    <x v="0"/>
    <x v="1308"/>
    <x v="6"/>
  </r>
  <r>
    <x v="1"/>
    <x v="1"/>
    <x v="1309"/>
    <x v="6"/>
  </r>
  <r>
    <x v="1"/>
    <x v="2"/>
    <x v="2"/>
    <x v="6"/>
  </r>
  <r>
    <x v="1"/>
    <x v="3"/>
    <x v="261"/>
    <x v="6"/>
  </r>
  <r>
    <x v="1"/>
    <x v="4"/>
    <x v="599"/>
    <x v="6"/>
  </r>
  <r>
    <x v="1"/>
    <x v="5"/>
    <x v="885"/>
    <x v="6"/>
  </r>
  <r>
    <x v="1"/>
    <x v="6"/>
    <x v="181"/>
    <x v="6"/>
  </r>
  <r>
    <x v="1"/>
    <x v="7"/>
    <x v="1310"/>
    <x v="6"/>
  </r>
  <r>
    <x v="1"/>
    <x v="8"/>
    <x v="1311"/>
    <x v="6"/>
  </r>
  <r>
    <x v="1"/>
    <x v="9"/>
    <x v="1312"/>
    <x v="6"/>
  </r>
  <r>
    <x v="1"/>
    <x v="10"/>
    <x v="1313"/>
    <x v="6"/>
  </r>
  <r>
    <x v="1"/>
    <x v="11"/>
    <x v="1314"/>
    <x v="6"/>
  </r>
  <r>
    <x v="1"/>
    <x v="12"/>
    <x v="173"/>
    <x v="6"/>
  </r>
  <r>
    <x v="1"/>
    <x v="13"/>
    <x v="1315"/>
    <x v="6"/>
  </r>
  <r>
    <x v="1"/>
    <x v="14"/>
    <x v="1316"/>
    <x v="6"/>
  </r>
  <r>
    <x v="1"/>
    <x v="0"/>
    <x v="1317"/>
    <x v="6"/>
  </r>
  <r>
    <x v="1"/>
    <x v="1"/>
    <x v="1318"/>
    <x v="6"/>
  </r>
  <r>
    <x v="1"/>
    <x v="2"/>
    <x v="95"/>
    <x v="6"/>
  </r>
  <r>
    <x v="1"/>
    <x v="3"/>
    <x v="1319"/>
    <x v="6"/>
  </r>
  <r>
    <x v="1"/>
    <x v="4"/>
    <x v="1320"/>
    <x v="6"/>
  </r>
  <r>
    <x v="1"/>
    <x v="5"/>
    <x v="491"/>
    <x v="6"/>
  </r>
  <r>
    <x v="1"/>
    <x v="6"/>
    <x v="195"/>
    <x v="6"/>
  </r>
  <r>
    <x v="1"/>
    <x v="7"/>
    <x v="1321"/>
    <x v="6"/>
  </r>
  <r>
    <x v="1"/>
    <x v="8"/>
    <x v="1322"/>
    <x v="6"/>
  </r>
  <r>
    <x v="1"/>
    <x v="9"/>
    <x v="685"/>
    <x v="6"/>
  </r>
  <r>
    <x v="1"/>
    <x v="10"/>
    <x v="1323"/>
    <x v="6"/>
  </r>
  <r>
    <x v="1"/>
    <x v="11"/>
    <x v="1324"/>
    <x v="6"/>
  </r>
  <r>
    <x v="1"/>
    <x v="12"/>
    <x v="1325"/>
    <x v="6"/>
  </r>
  <r>
    <x v="1"/>
    <x v="13"/>
    <x v="1326"/>
    <x v="6"/>
  </r>
  <r>
    <x v="1"/>
    <x v="14"/>
    <x v="1327"/>
    <x v="6"/>
  </r>
  <r>
    <x v="1"/>
    <x v="0"/>
    <x v="1328"/>
    <x v="6"/>
  </r>
  <r>
    <x v="1"/>
    <x v="1"/>
    <x v="1329"/>
    <x v="6"/>
  </r>
  <r>
    <x v="1"/>
    <x v="2"/>
    <x v="757"/>
    <x v="6"/>
  </r>
  <r>
    <x v="1"/>
    <x v="3"/>
    <x v="1330"/>
    <x v="6"/>
  </r>
  <r>
    <x v="1"/>
    <x v="4"/>
    <x v="1331"/>
    <x v="6"/>
  </r>
  <r>
    <x v="1"/>
    <x v="5"/>
    <x v="1332"/>
    <x v="6"/>
  </r>
  <r>
    <x v="1"/>
    <x v="6"/>
    <x v="209"/>
    <x v="6"/>
  </r>
  <r>
    <x v="1"/>
    <x v="7"/>
    <x v="1333"/>
    <x v="6"/>
  </r>
  <r>
    <x v="1"/>
    <x v="8"/>
    <x v="1334"/>
    <x v="6"/>
  </r>
  <r>
    <x v="1"/>
    <x v="9"/>
    <x v="1335"/>
    <x v="6"/>
  </r>
  <r>
    <x v="1"/>
    <x v="10"/>
    <x v="1336"/>
    <x v="6"/>
  </r>
  <r>
    <x v="1"/>
    <x v="11"/>
    <x v="1337"/>
    <x v="6"/>
  </r>
  <r>
    <x v="1"/>
    <x v="12"/>
    <x v="1338"/>
    <x v="6"/>
  </r>
  <r>
    <x v="1"/>
    <x v="13"/>
    <x v="1339"/>
    <x v="6"/>
  </r>
  <r>
    <x v="1"/>
    <x v="14"/>
    <x v="1340"/>
    <x v="6"/>
  </r>
  <r>
    <x v="1"/>
    <x v="0"/>
    <x v="1341"/>
    <x v="6"/>
  </r>
  <r>
    <x v="1"/>
    <x v="1"/>
    <x v="1342"/>
    <x v="6"/>
  </r>
  <r>
    <x v="1"/>
    <x v="2"/>
    <x v="220"/>
    <x v="6"/>
  </r>
  <r>
    <x v="1"/>
    <x v="3"/>
    <x v="1343"/>
    <x v="6"/>
  </r>
  <r>
    <x v="1"/>
    <x v="4"/>
    <x v="327"/>
    <x v="6"/>
  </r>
  <r>
    <x v="1"/>
    <x v="5"/>
    <x v="1344"/>
    <x v="6"/>
  </r>
  <r>
    <x v="1"/>
    <x v="6"/>
    <x v="224"/>
    <x v="6"/>
  </r>
  <r>
    <x v="1"/>
    <x v="7"/>
    <x v="1345"/>
    <x v="6"/>
  </r>
  <r>
    <x v="1"/>
    <x v="8"/>
    <x v="1346"/>
    <x v="6"/>
  </r>
  <r>
    <x v="1"/>
    <x v="9"/>
    <x v="1347"/>
    <x v="6"/>
  </r>
  <r>
    <x v="1"/>
    <x v="10"/>
    <x v="1348"/>
    <x v="6"/>
  </r>
  <r>
    <x v="1"/>
    <x v="11"/>
    <x v="1349"/>
    <x v="6"/>
  </r>
  <r>
    <x v="1"/>
    <x v="12"/>
    <x v="1350"/>
    <x v="6"/>
  </r>
  <r>
    <x v="1"/>
    <x v="13"/>
    <x v="1351"/>
    <x v="6"/>
  </r>
  <r>
    <x v="1"/>
    <x v="14"/>
    <x v="1352"/>
    <x v="6"/>
  </r>
  <r>
    <x v="0"/>
    <x v="0"/>
    <x v="1353"/>
    <x v="7"/>
  </r>
  <r>
    <x v="0"/>
    <x v="1"/>
    <x v="1010"/>
    <x v="7"/>
  </r>
  <r>
    <x v="0"/>
    <x v="2"/>
    <x v="274"/>
    <x v="7"/>
  </r>
  <r>
    <x v="0"/>
    <x v="3"/>
    <x v="884"/>
    <x v="7"/>
  </r>
  <r>
    <x v="0"/>
    <x v="4"/>
    <x v="746"/>
    <x v="7"/>
  </r>
  <r>
    <x v="0"/>
    <x v="5"/>
    <x v="19"/>
    <x v="7"/>
  </r>
  <r>
    <x v="0"/>
    <x v="6"/>
    <x v="6"/>
    <x v="7"/>
  </r>
  <r>
    <x v="0"/>
    <x v="7"/>
    <x v="1354"/>
    <x v="7"/>
  </r>
  <r>
    <x v="0"/>
    <x v="8"/>
    <x v="1355"/>
    <x v="7"/>
  </r>
  <r>
    <x v="0"/>
    <x v="9"/>
    <x v="1356"/>
    <x v="7"/>
  </r>
  <r>
    <x v="0"/>
    <x v="10"/>
    <x v="1357"/>
    <x v="7"/>
  </r>
  <r>
    <x v="0"/>
    <x v="11"/>
    <x v="1358"/>
    <x v="7"/>
  </r>
  <r>
    <x v="0"/>
    <x v="12"/>
    <x v="1359"/>
    <x v="7"/>
  </r>
  <r>
    <x v="0"/>
    <x v="13"/>
    <x v="1360"/>
    <x v="7"/>
  </r>
  <r>
    <x v="0"/>
    <x v="14"/>
    <x v="1361"/>
    <x v="7"/>
  </r>
  <r>
    <x v="0"/>
    <x v="0"/>
    <x v="1362"/>
    <x v="7"/>
  </r>
  <r>
    <x v="0"/>
    <x v="1"/>
    <x v="1363"/>
    <x v="7"/>
  </r>
  <r>
    <x v="0"/>
    <x v="2"/>
    <x v="647"/>
    <x v="7"/>
  </r>
  <r>
    <x v="0"/>
    <x v="3"/>
    <x v="1364"/>
    <x v="7"/>
  </r>
  <r>
    <x v="0"/>
    <x v="4"/>
    <x v="1365"/>
    <x v="7"/>
  </r>
  <r>
    <x v="0"/>
    <x v="5"/>
    <x v="124"/>
    <x v="7"/>
  </r>
  <r>
    <x v="0"/>
    <x v="6"/>
    <x v="21"/>
    <x v="7"/>
  </r>
  <r>
    <x v="0"/>
    <x v="7"/>
    <x v="1366"/>
    <x v="7"/>
  </r>
  <r>
    <x v="0"/>
    <x v="8"/>
    <x v="1367"/>
    <x v="7"/>
  </r>
  <r>
    <x v="0"/>
    <x v="9"/>
    <x v="1238"/>
    <x v="7"/>
  </r>
  <r>
    <x v="0"/>
    <x v="10"/>
    <x v="1368"/>
    <x v="7"/>
  </r>
  <r>
    <x v="0"/>
    <x v="11"/>
    <x v="1369"/>
    <x v="7"/>
  </r>
  <r>
    <x v="0"/>
    <x v="12"/>
    <x v="1370"/>
    <x v="7"/>
  </r>
  <r>
    <x v="0"/>
    <x v="13"/>
    <x v="1371"/>
    <x v="7"/>
  </r>
  <r>
    <x v="0"/>
    <x v="14"/>
    <x v="1372"/>
    <x v="7"/>
  </r>
  <r>
    <x v="1"/>
    <x v="0"/>
    <x v="1373"/>
    <x v="7"/>
  </r>
  <r>
    <x v="1"/>
    <x v="1"/>
    <x v="1374"/>
    <x v="7"/>
  </r>
  <r>
    <x v="1"/>
    <x v="2"/>
    <x v="62"/>
    <x v="7"/>
  </r>
  <r>
    <x v="1"/>
    <x v="3"/>
    <x v="1375"/>
    <x v="7"/>
  </r>
  <r>
    <x v="1"/>
    <x v="4"/>
    <x v="1376"/>
    <x v="7"/>
  </r>
  <r>
    <x v="1"/>
    <x v="5"/>
    <x v="193"/>
    <x v="7"/>
  </r>
  <r>
    <x v="1"/>
    <x v="6"/>
    <x v="36"/>
    <x v="7"/>
  </r>
  <r>
    <x v="1"/>
    <x v="7"/>
    <x v="1377"/>
    <x v="7"/>
  </r>
  <r>
    <x v="1"/>
    <x v="8"/>
    <x v="1378"/>
    <x v="7"/>
  </r>
  <r>
    <x v="1"/>
    <x v="9"/>
    <x v="1379"/>
    <x v="7"/>
  </r>
  <r>
    <x v="1"/>
    <x v="10"/>
    <x v="1380"/>
    <x v="7"/>
  </r>
  <r>
    <x v="1"/>
    <x v="11"/>
    <x v="1381"/>
    <x v="7"/>
  </r>
  <r>
    <x v="1"/>
    <x v="12"/>
    <x v="1382"/>
    <x v="7"/>
  </r>
  <r>
    <x v="1"/>
    <x v="13"/>
    <x v="1383"/>
    <x v="7"/>
  </r>
  <r>
    <x v="1"/>
    <x v="14"/>
    <x v="1384"/>
    <x v="7"/>
  </r>
  <r>
    <x v="0"/>
    <x v="0"/>
    <x v="1385"/>
    <x v="7"/>
  </r>
  <r>
    <x v="0"/>
    <x v="1"/>
    <x v="1386"/>
    <x v="7"/>
  </r>
  <r>
    <x v="0"/>
    <x v="2"/>
    <x v="647"/>
    <x v="7"/>
  </r>
  <r>
    <x v="0"/>
    <x v="3"/>
    <x v="1387"/>
    <x v="7"/>
  </r>
  <r>
    <x v="0"/>
    <x v="4"/>
    <x v="1388"/>
    <x v="7"/>
  </r>
  <r>
    <x v="0"/>
    <x v="5"/>
    <x v="1389"/>
    <x v="7"/>
  </r>
  <r>
    <x v="0"/>
    <x v="6"/>
    <x v="51"/>
    <x v="7"/>
  </r>
  <r>
    <x v="0"/>
    <x v="7"/>
    <x v="1390"/>
    <x v="7"/>
  </r>
  <r>
    <x v="0"/>
    <x v="8"/>
    <x v="1391"/>
    <x v="7"/>
  </r>
  <r>
    <x v="0"/>
    <x v="9"/>
    <x v="1392"/>
    <x v="7"/>
  </r>
  <r>
    <x v="0"/>
    <x v="10"/>
    <x v="1393"/>
    <x v="7"/>
  </r>
  <r>
    <x v="0"/>
    <x v="11"/>
    <x v="1394"/>
    <x v="7"/>
  </r>
  <r>
    <x v="0"/>
    <x v="12"/>
    <x v="1395"/>
    <x v="7"/>
  </r>
  <r>
    <x v="0"/>
    <x v="13"/>
    <x v="1396"/>
    <x v="7"/>
  </r>
  <r>
    <x v="0"/>
    <x v="14"/>
    <x v="1397"/>
    <x v="7"/>
  </r>
  <r>
    <x v="1"/>
    <x v="0"/>
    <x v="1398"/>
    <x v="7"/>
  </r>
  <r>
    <x v="1"/>
    <x v="1"/>
    <x v="325"/>
    <x v="7"/>
  </r>
  <r>
    <x v="1"/>
    <x v="2"/>
    <x v="77"/>
    <x v="7"/>
  </r>
  <r>
    <x v="1"/>
    <x v="3"/>
    <x v="1399"/>
    <x v="7"/>
  </r>
  <r>
    <x v="1"/>
    <x v="4"/>
    <x v="1400"/>
    <x v="7"/>
  </r>
  <r>
    <x v="1"/>
    <x v="5"/>
    <x v="441"/>
    <x v="7"/>
  </r>
  <r>
    <x v="1"/>
    <x v="6"/>
    <x v="66"/>
    <x v="7"/>
  </r>
  <r>
    <x v="1"/>
    <x v="7"/>
    <x v="1401"/>
    <x v="7"/>
  </r>
  <r>
    <x v="1"/>
    <x v="8"/>
    <x v="1402"/>
    <x v="7"/>
  </r>
  <r>
    <x v="1"/>
    <x v="9"/>
    <x v="1403"/>
    <x v="7"/>
  </r>
  <r>
    <x v="1"/>
    <x v="10"/>
    <x v="809"/>
    <x v="7"/>
  </r>
  <r>
    <x v="1"/>
    <x v="11"/>
    <x v="1404"/>
    <x v="7"/>
  </r>
  <r>
    <x v="1"/>
    <x v="12"/>
    <x v="1405"/>
    <x v="7"/>
  </r>
  <r>
    <x v="1"/>
    <x v="13"/>
    <x v="1406"/>
    <x v="7"/>
  </r>
  <r>
    <x v="1"/>
    <x v="14"/>
    <x v="1407"/>
    <x v="7"/>
  </r>
  <r>
    <x v="0"/>
    <x v="0"/>
    <x v="1408"/>
    <x v="7"/>
  </r>
  <r>
    <x v="0"/>
    <x v="1"/>
    <x v="703"/>
    <x v="7"/>
  </r>
  <r>
    <x v="0"/>
    <x v="2"/>
    <x v="17"/>
    <x v="7"/>
  </r>
  <r>
    <x v="0"/>
    <x v="3"/>
    <x v="1409"/>
    <x v="7"/>
  </r>
  <r>
    <x v="0"/>
    <x v="4"/>
    <x v="300"/>
    <x v="7"/>
  </r>
  <r>
    <x v="0"/>
    <x v="5"/>
    <x v="1256"/>
    <x v="7"/>
  </r>
  <r>
    <x v="0"/>
    <x v="6"/>
    <x v="81"/>
    <x v="7"/>
  </r>
  <r>
    <x v="0"/>
    <x v="7"/>
    <x v="1410"/>
    <x v="7"/>
  </r>
  <r>
    <x v="0"/>
    <x v="8"/>
    <x v="1411"/>
    <x v="7"/>
  </r>
  <r>
    <x v="0"/>
    <x v="9"/>
    <x v="1412"/>
    <x v="7"/>
  </r>
  <r>
    <x v="0"/>
    <x v="10"/>
    <x v="1413"/>
    <x v="7"/>
  </r>
  <r>
    <x v="0"/>
    <x v="11"/>
    <x v="1414"/>
    <x v="7"/>
  </r>
  <r>
    <x v="0"/>
    <x v="12"/>
    <x v="1415"/>
    <x v="7"/>
  </r>
  <r>
    <x v="0"/>
    <x v="13"/>
    <x v="1416"/>
    <x v="7"/>
  </r>
  <r>
    <x v="0"/>
    <x v="14"/>
    <x v="1417"/>
    <x v="7"/>
  </r>
  <r>
    <x v="0"/>
    <x v="0"/>
    <x v="1418"/>
    <x v="7"/>
  </r>
  <r>
    <x v="0"/>
    <x v="1"/>
    <x v="16"/>
    <x v="7"/>
  </r>
  <r>
    <x v="0"/>
    <x v="2"/>
    <x v="106"/>
    <x v="7"/>
  </r>
  <r>
    <x v="0"/>
    <x v="3"/>
    <x v="1419"/>
    <x v="7"/>
  </r>
  <r>
    <x v="0"/>
    <x v="4"/>
    <x v="793"/>
    <x v="7"/>
  </r>
  <r>
    <x v="0"/>
    <x v="5"/>
    <x v="328"/>
    <x v="7"/>
  </r>
  <r>
    <x v="0"/>
    <x v="6"/>
    <x v="95"/>
    <x v="7"/>
  </r>
  <r>
    <x v="0"/>
    <x v="7"/>
    <x v="1420"/>
    <x v="7"/>
  </r>
  <r>
    <x v="0"/>
    <x v="8"/>
    <x v="1421"/>
    <x v="7"/>
  </r>
  <r>
    <x v="0"/>
    <x v="9"/>
    <x v="1422"/>
    <x v="7"/>
  </r>
  <r>
    <x v="0"/>
    <x v="10"/>
    <x v="1423"/>
    <x v="7"/>
  </r>
  <r>
    <x v="0"/>
    <x v="11"/>
    <x v="1424"/>
    <x v="7"/>
  </r>
  <r>
    <x v="0"/>
    <x v="12"/>
    <x v="1425"/>
    <x v="7"/>
  </r>
  <r>
    <x v="0"/>
    <x v="13"/>
    <x v="1426"/>
    <x v="7"/>
  </r>
  <r>
    <x v="0"/>
    <x v="14"/>
    <x v="1427"/>
    <x v="7"/>
  </r>
  <r>
    <x v="1"/>
    <x v="0"/>
    <x v="1428"/>
    <x v="7"/>
  </r>
  <r>
    <x v="1"/>
    <x v="1"/>
    <x v="1429"/>
    <x v="7"/>
  </r>
  <r>
    <x v="1"/>
    <x v="2"/>
    <x v="376"/>
    <x v="7"/>
  </r>
  <r>
    <x v="1"/>
    <x v="3"/>
    <x v="1430"/>
    <x v="7"/>
  </r>
  <r>
    <x v="1"/>
    <x v="4"/>
    <x v="1431"/>
    <x v="7"/>
  </r>
  <r>
    <x v="1"/>
    <x v="5"/>
    <x v="862"/>
    <x v="7"/>
  </r>
  <r>
    <x v="1"/>
    <x v="6"/>
    <x v="110"/>
    <x v="7"/>
  </r>
  <r>
    <x v="1"/>
    <x v="7"/>
    <x v="1432"/>
    <x v="7"/>
  </r>
  <r>
    <x v="1"/>
    <x v="8"/>
    <x v="1433"/>
    <x v="7"/>
  </r>
  <r>
    <x v="1"/>
    <x v="9"/>
    <x v="1434"/>
    <x v="7"/>
  </r>
  <r>
    <x v="1"/>
    <x v="10"/>
    <x v="1435"/>
    <x v="7"/>
  </r>
  <r>
    <x v="1"/>
    <x v="11"/>
    <x v="1436"/>
    <x v="7"/>
  </r>
  <r>
    <x v="1"/>
    <x v="12"/>
    <x v="1437"/>
    <x v="7"/>
  </r>
  <r>
    <x v="1"/>
    <x v="13"/>
    <x v="1438"/>
    <x v="7"/>
  </r>
  <r>
    <x v="1"/>
    <x v="14"/>
    <x v="1439"/>
    <x v="7"/>
  </r>
  <r>
    <x v="1"/>
    <x v="0"/>
    <x v="1440"/>
    <x v="7"/>
  </r>
  <r>
    <x v="1"/>
    <x v="1"/>
    <x v="379"/>
    <x v="7"/>
  </r>
  <r>
    <x v="1"/>
    <x v="2"/>
    <x v="191"/>
    <x v="7"/>
  </r>
  <r>
    <x v="1"/>
    <x v="3"/>
    <x v="600"/>
    <x v="7"/>
  </r>
  <r>
    <x v="1"/>
    <x v="4"/>
    <x v="1441"/>
    <x v="7"/>
  </r>
  <r>
    <x v="1"/>
    <x v="5"/>
    <x v="1442"/>
    <x v="7"/>
  </r>
  <r>
    <x v="1"/>
    <x v="6"/>
    <x v="125"/>
    <x v="7"/>
  </r>
  <r>
    <x v="1"/>
    <x v="7"/>
    <x v="1443"/>
    <x v="7"/>
  </r>
  <r>
    <x v="1"/>
    <x v="8"/>
    <x v="1444"/>
    <x v="7"/>
  </r>
  <r>
    <x v="1"/>
    <x v="9"/>
    <x v="1445"/>
    <x v="7"/>
  </r>
  <r>
    <x v="1"/>
    <x v="10"/>
    <x v="1446"/>
    <x v="7"/>
  </r>
  <r>
    <x v="1"/>
    <x v="11"/>
    <x v="1447"/>
    <x v="7"/>
  </r>
  <r>
    <x v="1"/>
    <x v="12"/>
    <x v="1448"/>
    <x v="7"/>
  </r>
  <r>
    <x v="1"/>
    <x v="13"/>
    <x v="1449"/>
    <x v="7"/>
  </r>
  <r>
    <x v="1"/>
    <x v="14"/>
    <x v="1450"/>
    <x v="7"/>
  </r>
  <r>
    <x v="0"/>
    <x v="0"/>
    <x v="1451"/>
    <x v="7"/>
  </r>
  <r>
    <x v="0"/>
    <x v="1"/>
    <x v="1266"/>
    <x v="7"/>
  </r>
  <r>
    <x v="0"/>
    <x v="2"/>
    <x v="1452"/>
    <x v="7"/>
  </r>
  <r>
    <x v="0"/>
    <x v="3"/>
    <x v="1453"/>
    <x v="7"/>
  </r>
  <r>
    <x v="0"/>
    <x v="4"/>
    <x v="1454"/>
    <x v="7"/>
  </r>
  <r>
    <x v="0"/>
    <x v="5"/>
    <x v="177"/>
    <x v="7"/>
  </r>
  <r>
    <x v="0"/>
    <x v="6"/>
    <x v="138"/>
    <x v="7"/>
  </r>
  <r>
    <x v="0"/>
    <x v="7"/>
    <x v="1455"/>
    <x v="7"/>
  </r>
  <r>
    <x v="0"/>
    <x v="8"/>
    <x v="1456"/>
    <x v="7"/>
  </r>
  <r>
    <x v="0"/>
    <x v="9"/>
    <x v="1457"/>
    <x v="7"/>
  </r>
  <r>
    <x v="0"/>
    <x v="10"/>
    <x v="1458"/>
    <x v="7"/>
  </r>
  <r>
    <x v="0"/>
    <x v="11"/>
    <x v="1459"/>
    <x v="7"/>
  </r>
  <r>
    <x v="0"/>
    <x v="12"/>
    <x v="1460"/>
    <x v="7"/>
  </r>
  <r>
    <x v="0"/>
    <x v="13"/>
    <x v="1461"/>
    <x v="7"/>
  </r>
  <r>
    <x v="0"/>
    <x v="14"/>
    <x v="1462"/>
    <x v="7"/>
  </r>
  <r>
    <x v="1"/>
    <x v="0"/>
    <x v="1463"/>
    <x v="7"/>
  </r>
  <r>
    <x v="1"/>
    <x v="1"/>
    <x v="1169"/>
    <x v="7"/>
  </r>
  <r>
    <x v="1"/>
    <x v="2"/>
    <x v="376"/>
    <x v="7"/>
  </r>
  <r>
    <x v="1"/>
    <x v="3"/>
    <x v="1464"/>
    <x v="7"/>
  </r>
  <r>
    <x v="1"/>
    <x v="4"/>
    <x v="1465"/>
    <x v="7"/>
  </r>
  <r>
    <x v="1"/>
    <x v="5"/>
    <x v="1466"/>
    <x v="7"/>
  </r>
  <r>
    <x v="1"/>
    <x v="6"/>
    <x v="152"/>
    <x v="7"/>
  </r>
  <r>
    <x v="1"/>
    <x v="7"/>
    <x v="1467"/>
    <x v="7"/>
  </r>
  <r>
    <x v="1"/>
    <x v="8"/>
    <x v="1468"/>
    <x v="7"/>
  </r>
  <r>
    <x v="1"/>
    <x v="9"/>
    <x v="152"/>
    <x v="7"/>
  </r>
  <r>
    <x v="1"/>
    <x v="10"/>
    <x v="1469"/>
    <x v="7"/>
  </r>
  <r>
    <x v="1"/>
    <x v="11"/>
    <x v="1470"/>
    <x v="7"/>
  </r>
  <r>
    <x v="1"/>
    <x v="12"/>
    <x v="1471"/>
    <x v="7"/>
  </r>
  <r>
    <x v="1"/>
    <x v="13"/>
    <x v="1472"/>
    <x v="7"/>
  </r>
  <r>
    <x v="1"/>
    <x v="14"/>
    <x v="1473"/>
    <x v="7"/>
  </r>
  <r>
    <x v="1"/>
    <x v="0"/>
    <x v="1474"/>
    <x v="7"/>
  </r>
  <r>
    <x v="1"/>
    <x v="1"/>
    <x v="1475"/>
    <x v="7"/>
  </r>
  <r>
    <x v="1"/>
    <x v="2"/>
    <x v="300"/>
    <x v="7"/>
  </r>
  <r>
    <x v="1"/>
    <x v="3"/>
    <x v="1476"/>
    <x v="7"/>
  </r>
  <r>
    <x v="1"/>
    <x v="4"/>
    <x v="1477"/>
    <x v="7"/>
  </r>
  <r>
    <x v="1"/>
    <x v="5"/>
    <x v="682"/>
    <x v="7"/>
  </r>
  <r>
    <x v="1"/>
    <x v="6"/>
    <x v="167"/>
    <x v="7"/>
  </r>
  <r>
    <x v="1"/>
    <x v="7"/>
    <x v="1478"/>
    <x v="7"/>
  </r>
  <r>
    <x v="1"/>
    <x v="8"/>
    <x v="1479"/>
    <x v="7"/>
  </r>
  <r>
    <x v="1"/>
    <x v="9"/>
    <x v="1480"/>
    <x v="7"/>
  </r>
  <r>
    <x v="1"/>
    <x v="10"/>
    <x v="1481"/>
    <x v="7"/>
  </r>
  <r>
    <x v="1"/>
    <x v="11"/>
    <x v="1482"/>
    <x v="7"/>
  </r>
  <r>
    <x v="1"/>
    <x v="12"/>
    <x v="1483"/>
    <x v="7"/>
  </r>
  <r>
    <x v="1"/>
    <x v="13"/>
    <x v="1484"/>
    <x v="7"/>
  </r>
  <r>
    <x v="1"/>
    <x v="14"/>
    <x v="1485"/>
    <x v="7"/>
  </r>
  <r>
    <x v="1"/>
    <x v="0"/>
    <x v="1486"/>
    <x v="7"/>
  </r>
  <r>
    <x v="1"/>
    <x v="1"/>
    <x v="897"/>
    <x v="7"/>
  </r>
  <r>
    <x v="1"/>
    <x v="2"/>
    <x v="647"/>
    <x v="7"/>
  </r>
  <r>
    <x v="1"/>
    <x v="3"/>
    <x v="702"/>
    <x v="7"/>
  </r>
  <r>
    <x v="1"/>
    <x v="4"/>
    <x v="1487"/>
    <x v="7"/>
  </r>
  <r>
    <x v="1"/>
    <x v="5"/>
    <x v="1488"/>
    <x v="7"/>
  </r>
  <r>
    <x v="1"/>
    <x v="6"/>
    <x v="181"/>
    <x v="7"/>
  </r>
  <r>
    <x v="1"/>
    <x v="7"/>
    <x v="1489"/>
    <x v="7"/>
  </r>
  <r>
    <x v="1"/>
    <x v="8"/>
    <x v="1490"/>
    <x v="7"/>
  </r>
  <r>
    <x v="1"/>
    <x v="9"/>
    <x v="1491"/>
    <x v="7"/>
  </r>
  <r>
    <x v="1"/>
    <x v="10"/>
    <x v="675"/>
    <x v="7"/>
  </r>
  <r>
    <x v="1"/>
    <x v="11"/>
    <x v="1492"/>
    <x v="7"/>
  </r>
  <r>
    <x v="1"/>
    <x v="12"/>
    <x v="1493"/>
    <x v="7"/>
  </r>
  <r>
    <x v="1"/>
    <x v="13"/>
    <x v="1494"/>
    <x v="7"/>
  </r>
  <r>
    <x v="1"/>
    <x v="14"/>
    <x v="1495"/>
    <x v="7"/>
  </r>
  <r>
    <x v="1"/>
    <x v="0"/>
    <x v="1496"/>
    <x v="7"/>
  </r>
  <r>
    <x v="1"/>
    <x v="1"/>
    <x v="1497"/>
    <x v="7"/>
  </r>
  <r>
    <x v="1"/>
    <x v="2"/>
    <x v="288"/>
    <x v="7"/>
  </r>
  <r>
    <x v="1"/>
    <x v="3"/>
    <x v="989"/>
    <x v="7"/>
  </r>
  <r>
    <x v="1"/>
    <x v="4"/>
    <x v="31"/>
    <x v="7"/>
  </r>
  <r>
    <x v="1"/>
    <x v="5"/>
    <x v="263"/>
    <x v="7"/>
  </r>
  <r>
    <x v="1"/>
    <x v="6"/>
    <x v="195"/>
    <x v="7"/>
  </r>
  <r>
    <x v="1"/>
    <x v="7"/>
    <x v="1498"/>
    <x v="7"/>
  </r>
  <r>
    <x v="1"/>
    <x v="8"/>
    <x v="1499"/>
    <x v="7"/>
  </r>
  <r>
    <x v="1"/>
    <x v="9"/>
    <x v="1116"/>
    <x v="7"/>
  </r>
  <r>
    <x v="1"/>
    <x v="10"/>
    <x v="1500"/>
    <x v="7"/>
  </r>
  <r>
    <x v="1"/>
    <x v="11"/>
    <x v="1501"/>
    <x v="7"/>
  </r>
  <r>
    <x v="1"/>
    <x v="12"/>
    <x v="1502"/>
    <x v="7"/>
  </r>
  <r>
    <x v="1"/>
    <x v="13"/>
    <x v="1503"/>
    <x v="7"/>
  </r>
  <r>
    <x v="1"/>
    <x v="14"/>
    <x v="1504"/>
    <x v="7"/>
  </r>
  <r>
    <x v="1"/>
    <x v="0"/>
    <x v="1505"/>
    <x v="7"/>
  </r>
  <r>
    <x v="1"/>
    <x v="1"/>
    <x v="1506"/>
    <x v="7"/>
  </r>
  <r>
    <x v="1"/>
    <x v="2"/>
    <x v="288"/>
    <x v="7"/>
  </r>
  <r>
    <x v="1"/>
    <x v="3"/>
    <x v="1507"/>
    <x v="7"/>
  </r>
  <r>
    <x v="1"/>
    <x v="4"/>
    <x v="703"/>
    <x v="7"/>
  </r>
  <r>
    <x v="1"/>
    <x v="5"/>
    <x v="1033"/>
    <x v="7"/>
  </r>
  <r>
    <x v="1"/>
    <x v="6"/>
    <x v="209"/>
    <x v="7"/>
  </r>
  <r>
    <x v="1"/>
    <x v="7"/>
    <x v="1508"/>
    <x v="7"/>
  </r>
  <r>
    <x v="1"/>
    <x v="8"/>
    <x v="1509"/>
    <x v="7"/>
  </r>
  <r>
    <x v="1"/>
    <x v="9"/>
    <x v="1510"/>
    <x v="7"/>
  </r>
  <r>
    <x v="1"/>
    <x v="10"/>
    <x v="1511"/>
    <x v="7"/>
  </r>
  <r>
    <x v="1"/>
    <x v="11"/>
    <x v="1512"/>
    <x v="7"/>
  </r>
  <r>
    <x v="1"/>
    <x v="12"/>
    <x v="1513"/>
    <x v="7"/>
  </r>
  <r>
    <x v="1"/>
    <x v="13"/>
    <x v="1514"/>
    <x v="7"/>
  </r>
  <r>
    <x v="1"/>
    <x v="14"/>
    <x v="1515"/>
    <x v="7"/>
  </r>
  <r>
    <x v="0"/>
    <x v="0"/>
    <x v="826"/>
    <x v="7"/>
  </r>
  <r>
    <x v="0"/>
    <x v="1"/>
    <x v="247"/>
    <x v="7"/>
  </r>
  <r>
    <x v="0"/>
    <x v="2"/>
    <x v="121"/>
    <x v="7"/>
  </r>
  <r>
    <x v="0"/>
    <x v="3"/>
    <x v="1516"/>
    <x v="7"/>
  </r>
  <r>
    <x v="0"/>
    <x v="4"/>
    <x v="530"/>
    <x v="7"/>
  </r>
  <r>
    <x v="0"/>
    <x v="5"/>
    <x v="1320"/>
    <x v="7"/>
  </r>
  <r>
    <x v="0"/>
    <x v="6"/>
    <x v="224"/>
    <x v="7"/>
  </r>
  <r>
    <x v="0"/>
    <x v="7"/>
    <x v="1517"/>
    <x v="7"/>
  </r>
  <r>
    <x v="0"/>
    <x v="8"/>
    <x v="1518"/>
    <x v="7"/>
  </r>
  <r>
    <x v="0"/>
    <x v="9"/>
    <x v="1519"/>
    <x v="7"/>
  </r>
  <r>
    <x v="0"/>
    <x v="10"/>
    <x v="1520"/>
    <x v="7"/>
  </r>
  <r>
    <x v="0"/>
    <x v="11"/>
    <x v="1521"/>
    <x v="7"/>
  </r>
  <r>
    <x v="0"/>
    <x v="12"/>
    <x v="1522"/>
    <x v="7"/>
  </r>
  <r>
    <x v="0"/>
    <x v="13"/>
    <x v="1523"/>
    <x v="7"/>
  </r>
  <r>
    <x v="0"/>
    <x v="14"/>
    <x v="1524"/>
    <x v="7"/>
  </r>
  <r>
    <x v="0"/>
    <x v="0"/>
    <x v="230"/>
    <x v="8"/>
  </r>
  <r>
    <x v="0"/>
    <x v="1"/>
    <x v="480"/>
    <x v="8"/>
  </r>
  <r>
    <x v="0"/>
    <x v="2"/>
    <x v="17"/>
    <x v="8"/>
  </r>
  <r>
    <x v="0"/>
    <x v="3"/>
    <x v="977"/>
    <x v="8"/>
  </r>
  <r>
    <x v="0"/>
    <x v="4"/>
    <x v="966"/>
    <x v="8"/>
  </r>
  <r>
    <x v="0"/>
    <x v="5"/>
    <x v="1525"/>
    <x v="8"/>
  </r>
  <r>
    <x v="0"/>
    <x v="6"/>
    <x v="6"/>
    <x v="8"/>
  </r>
  <r>
    <x v="0"/>
    <x v="7"/>
    <x v="1526"/>
    <x v="8"/>
  </r>
  <r>
    <x v="0"/>
    <x v="8"/>
    <x v="1527"/>
    <x v="8"/>
  </r>
  <r>
    <x v="0"/>
    <x v="9"/>
    <x v="1528"/>
    <x v="8"/>
  </r>
  <r>
    <x v="0"/>
    <x v="10"/>
    <x v="1529"/>
    <x v="8"/>
  </r>
  <r>
    <x v="0"/>
    <x v="11"/>
    <x v="1530"/>
    <x v="8"/>
  </r>
  <r>
    <x v="0"/>
    <x v="12"/>
    <x v="1531"/>
    <x v="8"/>
  </r>
  <r>
    <x v="0"/>
    <x v="13"/>
    <x v="1532"/>
    <x v="8"/>
  </r>
  <r>
    <x v="0"/>
    <x v="14"/>
    <x v="1533"/>
    <x v="8"/>
  </r>
  <r>
    <x v="0"/>
    <x v="0"/>
    <x v="1534"/>
    <x v="8"/>
  </r>
  <r>
    <x v="0"/>
    <x v="1"/>
    <x v="1363"/>
    <x v="8"/>
  </r>
  <r>
    <x v="0"/>
    <x v="2"/>
    <x v="6"/>
    <x v="8"/>
  </r>
  <r>
    <x v="0"/>
    <x v="3"/>
    <x v="1535"/>
    <x v="8"/>
  </r>
  <r>
    <x v="0"/>
    <x v="4"/>
    <x v="1033"/>
    <x v="8"/>
  </r>
  <r>
    <x v="0"/>
    <x v="5"/>
    <x v="1536"/>
    <x v="8"/>
  </r>
  <r>
    <x v="0"/>
    <x v="6"/>
    <x v="21"/>
    <x v="8"/>
  </r>
  <r>
    <x v="0"/>
    <x v="7"/>
    <x v="1537"/>
    <x v="8"/>
  </r>
  <r>
    <x v="0"/>
    <x v="8"/>
    <x v="1538"/>
    <x v="8"/>
  </r>
  <r>
    <x v="0"/>
    <x v="9"/>
    <x v="1539"/>
    <x v="8"/>
  </r>
  <r>
    <x v="0"/>
    <x v="10"/>
    <x v="1540"/>
    <x v="8"/>
  </r>
  <r>
    <x v="0"/>
    <x v="11"/>
    <x v="1541"/>
    <x v="8"/>
  </r>
  <r>
    <x v="0"/>
    <x v="12"/>
    <x v="1542"/>
    <x v="8"/>
  </r>
  <r>
    <x v="0"/>
    <x v="13"/>
    <x v="1543"/>
    <x v="8"/>
  </r>
  <r>
    <x v="0"/>
    <x v="14"/>
    <x v="1544"/>
    <x v="8"/>
  </r>
  <r>
    <x v="1"/>
    <x v="0"/>
    <x v="1545"/>
    <x v="8"/>
  </r>
  <r>
    <x v="1"/>
    <x v="1"/>
    <x v="1546"/>
    <x v="8"/>
  </r>
  <r>
    <x v="1"/>
    <x v="2"/>
    <x v="95"/>
    <x v="8"/>
  </r>
  <r>
    <x v="1"/>
    <x v="3"/>
    <x v="1058"/>
    <x v="8"/>
  </r>
  <r>
    <x v="1"/>
    <x v="4"/>
    <x v="166"/>
    <x v="8"/>
  </r>
  <r>
    <x v="1"/>
    <x v="5"/>
    <x v="1497"/>
    <x v="8"/>
  </r>
  <r>
    <x v="1"/>
    <x v="6"/>
    <x v="110"/>
    <x v="8"/>
  </r>
  <r>
    <x v="1"/>
    <x v="7"/>
    <x v="1547"/>
    <x v="8"/>
  </r>
  <r>
    <x v="1"/>
    <x v="8"/>
    <x v="1548"/>
    <x v="8"/>
  </r>
  <r>
    <x v="1"/>
    <x v="9"/>
    <x v="1549"/>
    <x v="8"/>
  </r>
  <r>
    <x v="1"/>
    <x v="10"/>
    <x v="1550"/>
    <x v="8"/>
  </r>
  <r>
    <x v="1"/>
    <x v="11"/>
    <x v="1551"/>
    <x v="8"/>
  </r>
  <r>
    <x v="1"/>
    <x v="12"/>
    <x v="1552"/>
    <x v="8"/>
  </r>
  <r>
    <x v="1"/>
    <x v="13"/>
    <x v="1553"/>
    <x v="8"/>
  </r>
  <r>
    <x v="1"/>
    <x v="14"/>
    <x v="1554"/>
    <x v="8"/>
  </r>
  <r>
    <x v="1"/>
    <x v="0"/>
    <x v="1555"/>
    <x v="8"/>
  </r>
  <r>
    <x v="1"/>
    <x v="1"/>
    <x v="691"/>
    <x v="8"/>
  </r>
  <r>
    <x v="1"/>
    <x v="2"/>
    <x v="376"/>
    <x v="8"/>
  </r>
  <r>
    <x v="1"/>
    <x v="3"/>
    <x v="1556"/>
    <x v="8"/>
  </r>
  <r>
    <x v="1"/>
    <x v="4"/>
    <x v="1332"/>
    <x v="8"/>
  </r>
  <r>
    <x v="1"/>
    <x v="5"/>
    <x v="601"/>
    <x v="8"/>
  </r>
  <r>
    <x v="1"/>
    <x v="6"/>
    <x v="125"/>
    <x v="8"/>
  </r>
  <r>
    <x v="1"/>
    <x v="7"/>
    <x v="1557"/>
    <x v="8"/>
  </r>
  <r>
    <x v="1"/>
    <x v="8"/>
    <x v="1558"/>
    <x v="8"/>
  </r>
  <r>
    <x v="1"/>
    <x v="9"/>
    <x v="1559"/>
    <x v="8"/>
  </r>
  <r>
    <x v="1"/>
    <x v="10"/>
    <x v="1560"/>
    <x v="8"/>
  </r>
  <r>
    <x v="1"/>
    <x v="11"/>
    <x v="1561"/>
    <x v="8"/>
  </r>
  <r>
    <x v="1"/>
    <x v="12"/>
    <x v="1562"/>
    <x v="8"/>
  </r>
  <r>
    <x v="1"/>
    <x v="13"/>
    <x v="1563"/>
    <x v="8"/>
  </r>
  <r>
    <x v="1"/>
    <x v="14"/>
    <x v="1564"/>
    <x v="8"/>
  </r>
  <r>
    <x v="0"/>
    <x v="0"/>
    <x v="1565"/>
    <x v="8"/>
  </r>
  <r>
    <x v="0"/>
    <x v="1"/>
    <x v="1374"/>
    <x v="8"/>
  </r>
  <r>
    <x v="0"/>
    <x v="2"/>
    <x v="47"/>
    <x v="8"/>
  </r>
  <r>
    <x v="0"/>
    <x v="3"/>
    <x v="1566"/>
    <x v="8"/>
  </r>
  <r>
    <x v="0"/>
    <x v="4"/>
    <x v="288"/>
    <x v="8"/>
  </r>
  <r>
    <x v="0"/>
    <x v="5"/>
    <x v="366"/>
    <x v="8"/>
  </r>
  <r>
    <x v="0"/>
    <x v="6"/>
    <x v="36"/>
    <x v="8"/>
  </r>
  <r>
    <x v="0"/>
    <x v="7"/>
    <x v="1567"/>
    <x v="8"/>
  </r>
  <r>
    <x v="0"/>
    <x v="8"/>
    <x v="1568"/>
    <x v="8"/>
  </r>
  <r>
    <x v="0"/>
    <x v="9"/>
    <x v="1116"/>
    <x v="8"/>
  </r>
  <r>
    <x v="0"/>
    <x v="10"/>
    <x v="1569"/>
    <x v="8"/>
  </r>
  <r>
    <x v="0"/>
    <x v="11"/>
    <x v="1570"/>
    <x v="8"/>
  </r>
  <r>
    <x v="0"/>
    <x v="12"/>
    <x v="1571"/>
    <x v="8"/>
  </r>
  <r>
    <x v="0"/>
    <x v="13"/>
    <x v="1572"/>
    <x v="8"/>
  </r>
  <r>
    <x v="0"/>
    <x v="14"/>
    <x v="1573"/>
    <x v="8"/>
  </r>
  <r>
    <x v="0"/>
    <x v="0"/>
    <x v="1574"/>
    <x v="8"/>
  </r>
  <r>
    <x v="0"/>
    <x v="1"/>
    <x v="886"/>
    <x v="8"/>
  </r>
  <r>
    <x v="0"/>
    <x v="2"/>
    <x v="106"/>
    <x v="8"/>
  </r>
  <r>
    <x v="0"/>
    <x v="3"/>
    <x v="415"/>
    <x v="8"/>
  </r>
  <r>
    <x v="0"/>
    <x v="4"/>
    <x v="1575"/>
    <x v="8"/>
  </r>
  <r>
    <x v="0"/>
    <x v="5"/>
    <x v="1576"/>
    <x v="8"/>
  </r>
  <r>
    <x v="0"/>
    <x v="6"/>
    <x v="51"/>
    <x v="8"/>
  </r>
  <r>
    <x v="0"/>
    <x v="7"/>
    <x v="1577"/>
    <x v="8"/>
  </r>
  <r>
    <x v="0"/>
    <x v="8"/>
    <x v="1578"/>
    <x v="8"/>
  </r>
  <r>
    <x v="0"/>
    <x v="9"/>
    <x v="1579"/>
    <x v="8"/>
  </r>
  <r>
    <x v="0"/>
    <x v="10"/>
    <x v="1580"/>
    <x v="8"/>
  </r>
  <r>
    <x v="0"/>
    <x v="11"/>
    <x v="1581"/>
    <x v="8"/>
  </r>
  <r>
    <x v="0"/>
    <x v="12"/>
    <x v="1582"/>
    <x v="8"/>
  </r>
  <r>
    <x v="0"/>
    <x v="13"/>
    <x v="1583"/>
    <x v="8"/>
  </r>
  <r>
    <x v="0"/>
    <x v="14"/>
    <x v="1584"/>
    <x v="8"/>
  </r>
  <r>
    <x v="1"/>
    <x v="0"/>
    <x v="1585"/>
    <x v="8"/>
  </r>
  <r>
    <x v="1"/>
    <x v="1"/>
    <x v="468"/>
    <x v="8"/>
  </r>
  <r>
    <x v="1"/>
    <x v="2"/>
    <x v="121"/>
    <x v="8"/>
  </r>
  <r>
    <x v="1"/>
    <x v="3"/>
    <x v="1586"/>
    <x v="8"/>
  </r>
  <r>
    <x v="1"/>
    <x v="4"/>
    <x v="1587"/>
    <x v="8"/>
  </r>
  <r>
    <x v="1"/>
    <x v="5"/>
    <x v="553"/>
    <x v="8"/>
  </r>
  <r>
    <x v="1"/>
    <x v="6"/>
    <x v="138"/>
    <x v="8"/>
  </r>
  <r>
    <x v="1"/>
    <x v="7"/>
    <x v="1588"/>
    <x v="8"/>
  </r>
  <r>
    <x v="1"/>
    <x v="8"/>
    <x v="1589"/>
    <x v="8"/>
  </r>
  <r>
    <x v="1"/>
    <x v="9"/>
    <x v="1590"/>
    <x v="8"/>
  </r>
  <r>
    <x v="1"/>
    <x v="10"/>
    <x v="1591"/>
    <x v="8"/>
  </r>
  <r>
    <x v="1"/>
    <x v="11"/>
    <x v="1592"/>
    <x v="8"/>
  </r>
  <r>
    <x v="1"/>
    <x v="12"/>
    <x v="1593"/>
    <x v="8"/>
  </r>
  <r>
    <x v="1"/>
    <x v="13"/>
    <x v="1594"/>
    <x v="8"/>
  </r>
  <r>
    <x v="1"/>
    <x v="14"/>
    <x v="1595"/>
    <x v="8"/>
  </r>
  <r>
    <x v="0"/>
    <x v="0"/>
    <x v="1596"/>
    <x v="8"/>
  </r>
  <r>
    <x v="0"/>
    <x v="1"/>
    <x v="1575"/>
    <x v="8"/>
  </r>
  <r>
    <x v="0"/>
    <x v="2"/>
    <x v="527"/>
    <x v="8"/>
  </r>
  <r>
    <x v="0"/>
    <x v="3"/>
    <x v="352"/>
    <x v="8"/>
  </r>
  <r>
    <x v="0"/>
    <x v="4"/>
    <x v="746"/>
    <x v="8"/>
  </r>
  <r>
    <x v="0"/>
    <x v="5"/>
    <x v="287"/>
    <x v="8"/>
  </r>
  <r>
    <x v="0"/>
    <x v="6"/>
    <x v="66"/>
    <x v="8"/>
  </r>
  <r>
    <x v="0"/>
    <x v="7"/>
    <x v="1597"/>
    <x v="8"/>
  </r>
  <r>
    <x v="0"/>
    <x v="8"/>
    <x v="1598"/>
    <x v="8"/>
  </r>
  <r>
    <x v="0"/>
    <x v="9"/>
    <x v="1599"/>
    <x v="8"/>
  </r>
  <r>
    <x v="0"/>
    <x v="10"/>
    <x v="1600"/>
    <x v="8"/>
  </r>
  <r>
    <x v="0"/>
    <x v="11"/>
    <x v="1601"/>
    <x v="8"/>
  </r>
  <r>
    <x v="0"/>
    <x v="12"/>
    <x v="1602"/>
    <x v="8"/>
  </r>
  <r>
    <x v="0"/>
    <x v="13"/>
    <x v="1603"/>
    <x v="8"/>
  </r>
  <r>
    <x v="0"/>
    <x v="14"/>
    <x v="1604"/>
    <x v="8"/>
  </r>
  <r>
    <x v="1"/>
    <x v="0"/>
    <x v="1605"/>
    <x v="8"/>
  </r>
  <r>
    <x v="1"/>
    <x v="1"/>
    <x v="1389"/>
    <x v="8"/>
  </r>
  <r>
    <x v="1"/>
    <x v="2"/>
    <x v="6"/>
    <x v="8"/>
  </r>
  <r>
    <x v="1"/>
    <x v="3"/>
    <x v="1606"/>
    <x v="8"/>
  </r>
  <r>
    <x v="1"/>
    <x v="4"/>
    <x v="803"/>
    <x v="8"/>
  </r>
  <r>
    <x v="1"/>
    <x v="5"/>
    <x v="249"/>
    <x v="8"/>
  </r>
  <r>
    <x v="1"/>
    <x v="6"/>
    <x v="152"/>
    <x v="8"/>
  </r>
  <r>
    <x v="1"/>
    <x v="7"/>
    <x v="1607"/>
    <x v="8"/>
  </r>
  <r>
    <x v="1"/>
    <x v="8"/>
    <x v="1608"/>
    <x v="8"/>
  </r>
  <r>
    <x v="1"/>
    <x v="9"/>
    <x v="1609"/>
    <x v="8"/>
  </r>
  <r>
    <x v="1"/>
    <x v="10"/>
    <x v="992"/>
    <x v="8"/>
  </r>
  <r>
    <x v="1"/>
    <x v="11"/>
    <x v="1610"/>
    <x v="8"/>
  </r>
  <r>
    <x v="1"/>
    <x v="12"/>
    <x v="1611"/>
    <x v="8"/>
  </r>
  <r>
    <x v="1"/>
    <x v="13"/>
    <x v="1612"/>
    <x v="8"/>
  </r>
  <r>
    <x v="1"/>
    <x v="14"/>
    <x v="1613"/>
    <x v="8"/>
  </r>
  <r>
    <x v="0"/>
    <x v="0"/>
    <x v="1614"/>
    <x v="8"/>
  </r>
  <r>
    <x v="0"/>
    <x v="1"/>
    <x v="1080"/>
    <x v="8"/>
  </r>
  <r>
    <x v="0"/>
    <x v="2"/>
    <x v="527"/>
    <x v="8"/>
  </r>
  <r>
    <x v="0"/>
    <x v="3"/>
    <x v="1615"/>
    <x v="8"/>
  </r>
  <r>
    <x v="0"/>
    <x v="4"/>
    <x v="942"/>
    <x v="8"/>
  </r>
  <r>
    <x v="0"/>
    <x v="5"/>
    <x v="722"/>
    <x v="8"/>
  </r>
  <r>
    <x v="0"/>
    <x v="6"/>
    <x v="81"/>
    <x v="8"/>
  </r>
  <r>
    <x v="0"/>
    <x v="7"/>
    <x v="1616"/>
    <x v="8"/>
  </r>
  <r>
    <x v="0"/>
    <x v="8"/>
    <x v="1617"/>
    <x v="8"/>
  </r>
  <r>
    <x v="0"/>
    <x v="9"/>
    <x v="1618"/>
    <x v="8"/>
  </r>
  <r>
    <x v="0"/>
    <x v="10"/>
    <x v="1619"/>
    <x v="8"/>
  </r>
  <r>
    <x v="0"/>
    <x v="11"/>
    <x v="1620"/>
    <x v="8"/>
  </r>
  <r>
    <x v="0"/>
    <x v="12"/>
    <x v="1621"/>
    <x v="8"/>
  </r>
  <r>
    <x v="0"/>
    <x v="13"/>
    <x v="1622"/>
    <x v="8"/>
  </r>
  <r>
    <x v="0"/>
    <x v="14"/>
    <x v="1623"/>
    <x v="8"/>
  </r>
  <r>
    <x v="1"/>
    <x v="0"/>
    <x v="1624"/>
    <x v="8"/>
  </r>
  <r>
    <x v="1"/>
    <x v="1"/>
    <x v="480"/>
    <x v="8"/>
  </r>
  <r>
    <x v="1"/>
    <x v="2"/>
    <x v="6"/>
    <x v="8"/>
  </r>
  <r>
    <x v="1"/>
    <x v="3"/>
    <x v="1625"/>
    <x v="8"/>
  </r>
  <r>
    <x v="1"/>
    <x v="4"/>
    <x v="80"/>
    <x v="8"/>
  </r>
  <r>
    <x v="1"/>
    <x v="5"/>
    <x v="401"/>
    <x v="8"/>
  </r>
  <r>
    <x v="1"/>
    <x v="6"/>
    <x v="167"/>
    <x v="8"/>
  </r>
  <r>
    <x v="1"/>
    <x v="7"/>
    <x v="1626"/>
    <x v="8"/>
  </r>
  <r>
    <x v="1"/>
    <x v="8"/>
    <x v="1627"/>
    <x v="8"/>
  </r>
  <r>
    <x v="1"/>
    <x v="9"/>
    <x v="1628"/>
    <x v="8"/>
  </r>
  <r>
    <x v="1"/>
    <x v="10"/>
    <x v="1629"/>
    <x v="8"/>
  </r>
  <r>
    <x v="1"/>
    <x v="11"/>
    <x v="1630"/>
    <x v="8"/>
  </r>
  <r>
    <x v="1"/>
    <x v="12"/>
    <x v="1631"/>
    <x v="8"/>
  </r>
  <r>
    <x v="1"/>
    <x v="13"/>
    <x v="1632"/>
    <x v="8"/>
  </r>
  <r>
    <x v="1"/>
    <x v="14"/>
    <x v="1633"/>
    <x v="8"/>
  </r>
  <r>
    <x v="1"/>
    <x v="0"/>
    <x v="1634"/>
    <x v="8"/>
  </r>
  <r>
    <x v="1"/>
    <x v="1"/>
    <x v="1635"/>
    <x v="8"/>
  </r>
  <r>
    <x v="1"/>
    <x v="2"/>
    <x v="77"/>
    <x v="8"/>
  </r>
  <r>
    <x v="1"/>
    <x v="3"/>
    <x v="1636"/>
    <x v="8"/>
  </r>
  <r>
    <x v="1"/>
    <x v="4"/>
    <x v="137"/>
    <x v="8"/>
  </r>
  <r>
    <x v="1"/>
    <x v="5"/>
    <x v="1637"/>
    <x v="8"/>
  </r>
  <r>
    <x v="1"/>
    <x v="6"/>
    <x v="181"/>
    <x v="8"/>
  </r>
  <r>
    <x v="1"/>
    <x v="7"/>
    <x v="1638"/>
    <x v="8"/>
  </r>
  <r>
    <x v="1"/>
    <x v="8"/>
    <x v="1639"/>
    <x v="8"/>
  </r>
  <r>
    <x v="1"/>
    <x v="9"/>
    <x v="1640"/>
    <x v="8"/>
  </r>
  <r>
    <x v="1"/>
    <x v="10"/>
    <x v="1641"/>
    <x v="8"/>
  </r>
  <r>
    <x v="1"/>
    <x v="11"/>
    <x v="1642"/>
    <x v="8"/>
  </r>
  <r>
    <x v="1"/>
    <x v="12"/>
    <x v="1643"/>
    <x v="8"/>
  </r>
  <r>
    <x v="1"/>
    <x v="13"/>
    <x v="1644"/>
    <x v="8"/>
  </r>
  <r>
    <x v="1"/>
    <x v="14"/>
    <x v="1645"/>
    <x v="8"/>
  </r>
  <r>
    <x v="1"/>
    <x v="0"/>
    <x v="1646"/>
    <x v="8"/>
  </r>
  <r>
    <x v="1"/>
    <x v="1"/>
    <x v="691"/>
    <x v="8"/>
  </r>
  <r>
    <x v="1"/>
    <x v="2"/>
    <x v="106"/>
    <x v="8"/>
  </r>
  <r>
    <x v="1"/>
    <x v="3"/>
    <x v="1647"/>
    <x v="8"/>
  </r>
  <r>
    <x v="1"/>
    <x v="4"/>
    <x v="1441"/>
    <x v="8"/>
  </r>
  <r>
    <x v="1"/>
    <x v="5"/>
    <x v="613"/>
    <x v="8"/>
  </r>
  <r>
    <x v="1"/>
    <x v="6"/>
    <x v="195"/>
    <x v="8"/>
  </r>
  <r>
    <x v="1"/>
    <x v="7"/>
    <x v="1648"/>
    <x v="8"/>
  </r>
  <r>
    <x v="1"/>
    <x v="8"/>
    <x v="1649"/>
    <x v="8"/>
  </r>
  <r>
    <x v="1"/>
    <x v="9"/>
    <x v="1650"/>
    <x v="8"/>
  </r>
  <r>
    <x v="1"/>
    <x v="10"/>
    <x v="1651"/>
    <x v="8"/>
  </r>
  <r>
    <x v="1"/>
    <x v="11"/>
    <x v="1652"/>
    <x v="8"/>
  </r>
  <r>
    <x v="1"/>
    <x v="12"/>
    <x v="1653"/>
    <x v="8"/>
  </r>
  <r>
    <x v="1"/>
    <x v="13"/>
    <x v="1654"/>
    <x v="8"/>
  </r>
  <r>
    <x v="1"/>
    <x v="14"/>
    <x v="1655"/>
    <x v="8"/>
  </r>
  <r>
    <x v="1"/>
    <x v="0"/>
    <x v="1656"/>
    <x v="8"/>
  </r>
  <r>
    <x v="1"/>
    <x v="1"/>
    <x v="208"/>
    <x v="8"/>
  </r>
  <r>
    <x v="1"/>
    <x v="2"/>
    <x v="32"/>
    <x v="8"/>
  </r>
  <r>
    <x v="1"/>
    <x v="3"/>
    <x v="1657"/>
    <x v="8"/>
  </r>
  <r>
    <x v="1"/>
    <x v="4"/>
    <x v="403"/>
    <x v="8"/>
  </r>
  <r>
    <x v="1"/>
    <x v="5"/>
    <x v="1658"/>
    <x v="8"/>
  </r>
  <r>
    <x v="1"/>
    <x v="6"/>
    <x v="209"/>
    <x v="8"/>
  </r>
  <r>
    <x v="1"/>
    <x v="7"/>
    <x v="1659"/>
    <x v="8"/>
  </r>
  <r>
    <x v="1"/>
    <x v="8"/>
    <x v="1660"/>
    <x v="8"/>
  </r>
  <r>
    <x v="1"/>
    <x v="9"/>
    <x v="1661"/>
    <x v="8"/>
  </r>
  <r>
    <x v="1"/>
    <x v="10"/>
    <x v="1662"/>
    <x v="8"/>
  </r>
  <r>
    <x v="1"/>
    <x v="11"/>
    <x v="1663"/>
    <x v="8"/>
  </r>
  <r>
    <x v="1"/>
    <x v="12"/>
    <x v="1362"/>
    <x v="8"/>
  </r>
  <r>
    <x v="1"/>
    <x v="13"/>
    <x v="1664"/>
    <x v="8"/>
  </r>
  <r>
    <x v="1"/>
    <x v="14"/>
    <x v="1665"/>
    <x v="8"/>
  </r>
  <r>
    <x v="1"/>
    <x v="0"/>
    <x v="1666"/>
    <x v="8"/>
  </r>
  <r>
    <x v="1"/>
    <x v="1"/>
    <x v="551"/>
    <x v="8"/>
  </r>
  <r>
    <x v="1"/>
    <x v="2"/>
    <x v="274"/>
    <x v="8"/>
  </r>
  <r>
    <x v="1"/>
    <x v="3"/>
    <x v="1667"/>
    <x v="8"/>
  </r>
  <r>
    <x v="1"/>
    <x v="4"/>
    <x v="1477"/>
    <x v="8"/>
  </r>
  <r>
    <x v="1"/>
    <x v="5"/>
    <x v="428"/>
    <x v="8"/>
  </r>
  <r>
    <x v="1"/>
    <x v="6"/>
    <x v="224"/>
    <x v="8"/>
  </r>
  <r>
    <x v="1"/>
    <x v="7"/>
    <x v="1668"/>
    <x v="8"/>
  </r>
  <r>
    <x v="1"/>
    <x v="8"/>
    <x v="1669"/>
    <x v="8"/>
  </r>
  <r>
    <x v="1"/>
    <x v="9"/>
    <x v="1670"/>
    <x v="8"/>
  </r>
  <r>
    <x v="1"/>
    <x v="10"/>
    <x v="1671"/>
    <x v="8"/>
  </r>
  <r>
    <x v="1"/>
    <x v="11"/>
    <x v="1672"/>
    <x v="8"/>
  </r>
  <r>
    <x v="1"/>
    <x v="12"/>
    <x v="1673"/>
    <x v="8"/>
  </r>
  <r>
    <x v="1"/>
    <x v="13"/>
    <x v="1674"/>
    <x v="8"/>
  </r>
  <r>
    <x v="1"/>
    <x v="14"/>
    <x v="1675"/>
    <x v="8"/>
  </r>
  <r>
    <x v="0"/>
    <x v="0"/>
    <x v="1676"/>
    <x v="8"/>
  </r>
  <r>
    <x v="0"/>
    <x v="1"/>
    <x v="613"/>
    <x v="8"/>
  </r>
  <r>
    <x v="0"/>
    <x v="2"/>
    <x v="95"/>
    <x v="8"/>
  </r>
  <r>
    <x v="0"/>
    <x v="3"/>
    <x v="1677"/>
    <x v="8"/>
  </r>
  <r>
    <x v="0"/>
    <x v="4"/>
    <x v="530"/>
    <x v="8"/>
  </r>
  <r>
    <x v="0"/>
    <x v="5"/>
    <x v="805"/>
    <x v="8"/>
  </r>
  <r>
    <x v="0"/>
    <x v="6"/>
    <x v="95"/>
    <x v="8"/>
  </r>
  <r>
    <x v="0"/>
    <x v="7"/>
    <x v="1678"/>
    <x v="8"/>
  </r>
  <r>
    <x v="0"/>
    <x v="8"/>
    <x v="1679"/>
    <x v="8"/>
  </r>
  <r>
    <x v="0"/>
    <x v="9"/>
    <x v="1680"/>
    <x v="8"/>
  </r>
  <r>
    <x v="0"/>
    <x v="10"/>
    <x v="77"/>
    <x v="8"/>
  </r>
  <r>
    <x v="0"/>
    <x v="11"/>
    <x v="1681"/>
    <x v="8"/>
  </r>
  <r>
    <x v="0"/>
    <x v="12"/>
    <x v="1682"/>
    <x v="8"/>
  </r>
  <r>
    <x v="0"/>
    <x v="13"/>
    <x v="1683"/>
    <x v="8"/>
  </r>
  <r>
    <x v="0"/>
    <x v="14"/>
    <x v="1684"/>
    <x v="8"/>
  </r>
  <r>
    <x v="0"/>
    <x v="0"/>
    <x v="1685"/>
    <x v="9"/>
  </r>
  <r>
    <x v="0"/>
    <x v="1"/>
    <x v="1686"/>
    <x v="9"/>
  </r>
  <r>
    <x v="0"/>
    <x v="2"/>
    <x v="121"/>
    <x v="9"/>
  </r>
  <r>
    <x v="0"/>
    <x v="3"/>
    <x v="1687"/>
    <x v="9"/>
  </r>
  <r>
    <x v="0"/>
    <x v="4"/>
    <x v="1344"/>
    <x v="9"/>
  </r>
  <r>
    <x v="0"/>
    <x v="5"/>
    <x v="223"/>
    <x v="9"/>
  </r>
  <r>
    <x v="0"/>
    <x v="6"/>
    <x v="21"/>
    <x v="9"/>
  </r>
  <r>
    <x v="0"/>
    <x v="7"/>
    <x v="1688"/>
    <x v="9"/>
  </r>
  <r>
    <x v="0"/>
    <x v="8"/>
    <x v="1689"/>
    <x v="9"/>
  </r>
  <r>
    <x v="0"/>
    <x v="9"/>
    <x v="1690"/>
    <x v="9"/>
  </r>
  <r>
    <x v="0"/>
    <x v="10"/>
    <x v="1691"/>
    <x v="9"/>
  </r>
  <r>
    <x v="0"/>
    <x v="11"/>
    <x v="1692"/>
    <x v="9"/>
  </r>
  <r>
    <x v="0"/>
    <x v="12"/>
    <x v="1693"/>
    <x v="9"/>
  </r>
  <r>
    <x v="0"/>
    <x v="13"/>
    <x v="1694"/>
    <x v="9"/>
  </r>
  <r>
    <x v="0"/>
    <x v="14"/>
    <x v="1695"/>
    <x v="9"/>
  </r>
  <r>
    <x v="0"/>
    <x v="0"/>
    <x v="1696"/>
    <x v="9"/>
  </r>
  <r>
    <x v="0"/>
    <x v="1"/>
    <x v="1697"/>
    <x v="9"/>
  </r>
  <r>
    <x v="0"/>
    <x v="2"/>
    <x v="288"/>
    <x v="9"/>
  </r>
  <r>
    <x v="0"/>
    <x v="3"/>
    <x v="1698"/>
    <x v="9"/>
  </r>
  <r>
    <x v="0"/>
    <x v="4"/>
    <x v="815"/>
    <x v="9"/>
  </r>
  <r>
    <x v="0"/>
    <x v="5"/>
    <x v="219"/>
    <x v="9"/>
  </r>
  <r>
    <x v="0"/>
    <x v="6"/>
    <x v="36"/>
    <x v="9"/>
  </r>
  <r>
    <x v="0"/>
    <x v="7"/>
    <x v="1699"/>
    <x v="9"/>
  </r>
  <r>
    <x v="0"/>
    <x v="8"/>
    <x v="1700"/>
    <x v="9"/>
  </r>
  <r>
    <x v="0"/>
    <x v="9"/>
    <x v="1701"/>
    <x v="9"/>
  </r>
  <r>
    <x v="0"/>
    <x v="10"/>
    <x v="982"/>
    <x v="9"/>
  </r>
  <r>
    <x v="0"/>
    <x v="11"/>
    <x v="1702"/>
    <x v="9"/>
  </r>
  <r>
    <x v="0"/>
    <x v="12"/>
    <x v="1703"/>
    <x v="9"/>
  </r>
  <r>
    <x v="0"/>
    <x v="13"/>
    <x v="1704"/>
    <x v="9"/>
  </r>
  <r>
    <x v="0"/>
    <x v="14"/>
    <x v="1705"/>
    <x v="9"/>
  </r>
  <r>
    <x v="0"/>
    <x v="0"/>
    <x v="1706"/>
    <x v="9"/>
  </r>
  <r>
    <x v="0"/>
    <x v="1"/>
    <x v="1137"/>
    <x v="9"/>
  </r>
  <r>
    <x v="0"/>
    <x v="2"/>
    <x v="757"/>
    <x v="9"/>
  </r>
  <r>
    <x v="0"/>
    <x v="3"/>
    <x v="1707"/>
    <x v="9"/>
  </r>
  <r>
    <x v="0"/>
    <x v="4"/>
    <x v="501"/>
    <x v="9"/>
  </r>
  <r>
    <x v="0"/>
    <x v="5"/>
    <x v="1576"/>
    <x v="9"/>
  </r>
  <r>
    <x v="0"/>
    <x v="6"/>
    <x v="51"/>
    <x v="9"/>
  </r>
  <r>
    <x v="0"/>
    <x v="7"/>
    <x v="1708"/>
    <x v="9"/>
  </r>
  <r>
    <x v="0"/>
    <x v="8"/>
    <x v="1709"/>
    <x v="9"/>
  </r>
  <r>
    <x v="0"/>
    <x v="9"/>
    <x v="1710"/>
    <x v="9"/>
  </r>
  <r>
    <x v="0"/>
    <x v="10"/>
    <x v="1711"/>
    <x v="9"/>
  </r>
  <r>
    <x v="0"/>
    <x v="11"/>
    <x v="1712"/>
    <x v="9"/>
  </r>
  <r>
    <x v="0"/>
    <x v="12"/>
    <x v="1713"/>
    <x v="9"/>
  </r>
  <r>
    <x v="0"/>
    <x v="13"/>
    <x v="1714"/>
    <x v="9"/>
  </r>
  <r>
    <x v="0"/>
    <x v="14"/>
    <x v="1715"/>
    <x v="9"/>
  </r>
  <r>
    <x v="0"/>
    <x v="0"/>
    <x v="1716"/>
    <x v="9"/>
  </r>
  <r>
    <x v="0"/>
    <x v="1"/>
    <x v="1135"/>
    <x v="9"/>
  </r>
  <r>
    <x v="0"/>
    <x v="2"/>
    <x v="2"/>
    <x v="9"/>
  </r>
  <r>
    <x v="0"/>
    <x v="3"/>
    <x v="1717"/>
    <x v="9"/>
  </r>
  <r>
    <x v="0"/>
    <x v="4"/>
    <x v="1718"/>
    <x v="9"/>
  </r>
  <r>
    <x v="0"/>
    <x v="5"/>
    <x v="963"/>
    <x v="9"/>
  </r>
  <r>
    <x v="0"/>
    <x v="6"/>
    <x v="66"/>
    <x v="9"/>
  </r>
  <r>
    <x v="0"/>
    <x v="7"/>
    <x v="1719"/>
    <x v="9"/>
  </r>
  <r>
    <x v="0"/>
    <x v="8"/>
    <x v="1720"/>
    <x v="9"/>
  </r>
  <r>
    <x v="0"/>
    <x v="9"/>
    <x v="407"/>
    <x v="9"/>
  </r>
  <r>
    <x v="0"/>
    <x v="10"/>
    <x v="1721"/>
    <x v="9"/>
  </r>
  <r>
    <x v="0"/>
    <x v="11"/>
    <x v="1722"/>
    <x v="9"/>
  </r>
  <r>
    <x v="0"/>
    <x v="12"/>
    <x v="1723"/>
    <x v="9"/>
  </r>
  <r>
    <x v="0"/>
    <x v="13"/>
    <x v="1724"/>
    <x v="9"/>
  </r>
  <r>
    <x v="0"/>
    <x v="14"/>
    <x v="1725"/>
    <x v="9"/>
  </r>
  <r>
    <x v="0"/>
    <x v="0"/>
    <x v="1726"/>
    <x v="9"/>
  </r>
  <r>
    <x v="0"/>
    <x v="1"/>
    <x v="1506"/>
    <x v="9"/>
  </r>
  <r>
    <x v="0"/>
    <x v="2"/>
    <x v="121"/>
    <x v="9"/>
  </r>
  <r>
    <x v="0"/>
    <x v="3"/>
    <x v="1727"/>
    <x v="9"/>
  </r>
  <r>
    <x v="0"/>
    <x v="4"/>
    <x v="1431"/>
    <x v="9"/>
  </r>
  <r>
    <x v="0"/>
    <x v="5"/>
    <x v="660"/>
    <x v="9"/>
  </r>
  <r>
    <x v="0"/>
    <x v="6"/>
    <x v="81"/>
    <x v="9"/>
  </r>
  <r>
    <x v="0"/>
    <x v="7"/>
    <x v="1728"/>
    <x v="9"/>
  </r>
  <r>
    <x v="0"/>
    <x v="8"/>
    <x v="1729"/>
    <x v="9"/>
  </r>
  <r>
    <x v="0"/>
    <x v="9"/>
    <x v="1730"/>
    <x v="9"/>
  </r>
  <r>
    <x v="0"/>
    <x v="10"/>
    <x v="1731"/>
    <x v="9"/>
  </r>
  <r>
    <x v="0"/>
    <x v="11"/>
    <x v="1732"/>
    <x v="9"/>
  </r>
  <r>
    <x v="0"/>
    <x v="12"/>
    <x v="1733"/>
    <x v="9"/>
  </r>
  <r>
    <x v="0"/>
    <x v="13"/>
    <x v="1734"/>
    <x v="9"/>
  </r>
  <r>
    <x v="0"/>
    <x v="14"/>
    <x v="1735"/>
    <x v="9"/>
  </r>
  <r>
    <x v="1"/>
    <x v="0"/>
    <x v="1736"/>
    <x v="9"/>
  </r>
  <r>
    <x v="1"/>
    <x v="1"/>
    <x v="148"/>
    <x v="9"/>
  </r>
  <r>
    <x v="1"/>
    <x v="2"/>
    <x v="300"/>
    <x v="9"/>
  </r>
  <r>
    <x v="1"/>
    <x v="3"/>
    <x v="1737"/>
    <x v="9"/>
  </r>
  <r>
    <x v="1"/>
    <x v="4"/>
    <x v="1344"/>
    <x v="9"/>
  </r>
  <r>
    <x v="1"/>
    <x v="5"/>
    <x v="682"/>
    <x v="9"/>
  </r>
  <r>
    <x v="1"/>
    <x v="6"/>
    <x v="95"/>
    <x v="9"/>
  </r>
  <r>
    <x v="1"/>
    <x v="7"/>
    <x v="1738"/>
    <x v="9"/>
  </r>
  <r>
    <x v="1"/>
    <x v="8"/>
    <x v="1739"/>
    <x v="9"/>
  </r>
  <r>
    <x v="1"/>
    <x v="9"/>
    <x v="184"/>
    <x v="9"/>
  </r>
  <r>
    <x v="1"/>
    <x v="10"/>
    <x v="1740"/>
    <x v="9"/>
  </r>
  <r>
    <x v="1"/>
    <x v="11"/>
    <x v="1741"/>
    <x v="9"/>
  </r>
  <r>
    <x v="1"/>
    <x v="12"/>
    <x v="1742"/>
    <x v="9"/>
  </r>
  <r>
    <x v="1"/>
    <x v="13"/>
    <x v="1743"/>
    <x v="9"/>
  </r>
  <r>
    <x v="1"/>
    <x v="14"/>
    <x v="1744"/>
    <x v="9"/>
  </r>
  <r>
    <x v="1"/>
    <x v="0"/>
    <x v="1745"/>
    <x v="9"/>
  </r>
  <r>
    <x v="1"/>
    <x v="1"/>
    <x v="1746"/>
    <x v="9"/>
  </r>
  <r>
    <x v="1"/>
    <x v="2"/>
    <x v="6"/>
    <x v="9"/>
  </r>
  <r>
    <x v="1"/>
    <x v="3"/>
    <x v="1747"/>
    <x v="9"/>
  </r>
  <r>
    <x v="1"/>
    <x v="4"/>
    <x v="1748"/>
    <x v="9"/>
  </r>
  <r>
    <x v="1"/>
    <x v="5"/>
    <x v="1224"/>
    <x v="9"/>
  </r>
  <r>
    <x v="1"/>
    <x v="6"/>
    <x v="125"/>
    <x v="9"/>
  </r>
  <r>
    <x v="1"/>
    <x v="7"/>
    <x v="1749"/>
    <x v="9"/>
  </r>
  <r>
    <x v="1"/>
    <x v="8"/>
    <x v="1750"/>
    <x v="9"/>
  </r>
  <r>
    <x v="1"/>
    <x v="9"/>
    <x v="1751"/>
    <x v="9"/>
  </r>
  <r>
    <x v="1"/>
    <x v="10"/>
    <x v="1752"/>
    <x v="9"/>
  </r>
  <r>
    <x v="1"/>
    <x v="11"/>
    <x v="1753"/>
    <x v="9"/>
  </r>
  <r>
    <x v="1"/>
    <x v="12"/>
    <x v="1754"/>
    <x v="9"/>
  </r>
  <r>
    <x v="1"/>
    <x v="13"/>
    <x v="1755"/>
    <x v="9"/>
  </r>
  <r>
    <x v="1"/>
    <x v="14"/>
    <x v="1756"/>
    <x v="9"/>
  </r>
  <r>
    <x v="1"/>
    <x v="0"/>
    <x v="1757"/>
    <x v="9"/>
  </r>
  <r>
    <x v="1"/>
    <x v="1"/>
    <x v="1758"/>
    <x v="9"/>
  </r>
  <r>
    <x v="1"/>
    <x v="2"/>
    <x v="647"/>
    <x v="9"/>
  </r>
  <r>
    <x v="1"/>
    <x v="3"/>
    <x v="1759"/>
    <x v="9"/>
  </r>
  <r>
    <x v="1"/>
    <x v="4"/>
    <x v="1013"/>
    <x v="9"/>
  </r>
  <r>
    <x v="1"/>
    <x v="5"/>
    <x v="1760"/>
    <x v="9"/>
  </r>
  <r>
    <x v="1"/>
    <x v="6"/>
    <x v="138"/>
    <x v="9"/>
  </r>
  <r>
    <x v="1"/>
    <x v="7"/>
    <x v="1761"/>
    <x v="9"/>
  </r>
  <r>
    <x v="1"/>
    <x v="8"/>
    <x v="1762"/>
    <x v="9"/>
  </r>
  <r>
    <x v="1"/>
    <x v="9"/>
    <x v="1763"/>
    <x v="9"/>
  </r>
  <r>
    <x v="1"/>
    <x v="10"/>
    <x v="1217"/>
    <x v="9"/>
  </r>
  <r>
    <x v="1"/>
    <x v="11"/>
    <x v="1764"/>
    <x v="9"/>
  </r>
  <r>
    <x v="1"/>
    <x v="12"/>
    <x v="1765"/>
    <x v="9"/>
  </r>
  <r>
    <x v="1"/>
    <x v="13"/>
    <x v="1766"/>
    <x v="9"/>
  </r>
  <r>
    <x v="1"/>
    <x v="14"/>
    <x v="1767"/>
    <x v="9"/>
  </r>
  <r>
    <x v="1"/>
    <x v="0"/>
    <x v="1723"/>
    <x v="9"/>
  </r>
  <r>
    <x v="1"/>
    <x v="1"/>
    <x v="1320"/>
    <x v="9"/>
  </r>
  <r>
    <x v="1"/>
    <x v="2"/>
    <x v="121"/>
    <x v="9"/>
  </r>
  <r>
    <x v="1"/>
    <x v="3"/>
    <x v="1768"/>
    <x v="9"/>
  </r>
  <r>
    <x v="1"/>
    <x v="4"/>
    <x v="64"/>
    <x v="9"/>
  </r>
  <r>
    <x v="1"/>
    <x v="5"/>
    <x v="1746"/>
    <x v="9"/>
  </r>
  <r>
    <x v="1"/>
    <x v="6"/>
    <x v="167"/>
    <x v="9"/>
  </r>
  <r>
    <x v="1"/>
    <x v="7"/>
    <x v="1769"/>
    <x v="9"/>
  </r>
  <r>
    <x v="1"/>
    <x v="8"/>
    <x v="1770"/>
    <x v="9"/>
  </r>
  <r>
    <x v="1"/>
    <x v="9"/>
    <x v="1771"/>
    <x v="9"/>
  </r>
  <r>
    <x v="1"/>
    <x v="10"/>
    <x v="1772"/>
    <x v="9"/>
  </r>
  <r>
    <x v="1"/>
    <x v="11"/>
    <x v="1773"/>
    <x v="9"/>
  </r>
  <r>
    <x v="1"/>
    <x v="12"/>
    <x v="1774"/>
    <x v="9"/>
  </r>
  <r>
    <x v="1"/>
    <x v="13"/>
    <x v="1775"/>
    <x v="9"/>
  </r>
  <r>
    <x v="1"/>
    <x v="14"/>
    <x v="1776"/>
    <x v="9"/>
  </r>
  <r>
    <x v="1"/>
    <x v="0"/>
    <x v="1777"/>
    <x v="9"/>
  </r>
  <r>
    <x v="1"/>
    <x v="1"/>
    <x v="1778"/>
    <x v="9"/>
  </r>
  <r>
    <x v="1"/>
    <x v="2"/>
    <x v="288"/>
    <x v="9"/>
  </r>
  <r>
    <x v="1"/>
    <x v="3"/>
    <x v="1288"/>
    <x v="9"/>
  </r>
  <r>
    <x v="1"/>
    <x v="4"/>
    <x v="965"/>
    <x v="9"/>
  </r>
  <r>
    <x v="1"/>
    <x v="5"/>
    <x v="1342"/>
    <x v="9"/>
  </r>
  <r>
    <x v="1"/>
    <x v="6"/>
    <x v="181"/>
    <x v="9"/>
  </r>
  <r>
    <x v="1"/>
    <x v="7"/>
    <x v="1779"/>
    <x v="9"/>
  </r>
  <r>
    <x v="1"/>
    <x v="8"/>
    <x v="1780"/>
    <x v="9"/>
  </r>
  <r>
    <x v="1"/>
    <x v="9"/>
    <x v="1781"/>
    <x v="9"/>
  </r>
  <r>
    <x v="1"/>
    <x v="10"/>
    <x v="617"/>
    <x v="9"/>
  </r>
  <r>
    <x v="1"/>
    <x v="11"/>
    <x v="1782"/>
    <x v="9"/>
  </r>
  <r>
    <x v="1"/>
    <x v="12"/>
    <x v="1783"/>
    <x v="9"/>
  </r>
  <r>
    <x v="1"/>
    <x v="13"/>
    <x v="1784"/>
    <x v="9"/>
  </r>
  <r>
    <x v="1"/>
    <x v="14"/>
    <x v="1785"/>
    <x v="9"/>
  </r>
  <r>
    <x v="1"/>
    <x v="0"/>
    <x v="1786"/>
    <x v="9"/>
  </r>
  <r>
    <x v="1"/>
    <x v="1"/>
    <x v="1787"/>
    <x v="9"/>
  </r>
  <r>
    <x v="1"/>
    <x v="2"/>
    <x v="235"/>
    <x v="9"/>
  </r>
  <r>
    <x v="1"/>
    <x v="3"/>
    <x v="1788"/>
    <x v="9"/>
  </r>
  <r>
    <x v="1"/>
    <x v="4"/>
    <x v="1789"/>
    <x v="9"/>
  </r>
  <r>
    <x v="1"/>
    <x v="5"/>
    <x v="1012"/>
    <x v="9"/>
  </r>
  <r>
    <x v="1"/>
    <x v="6"/>
    <x v="195"/>
    <x v="9"/>
  </r>
  <r>
    <x v="1"/>
    <x v="7"/>
    <x v="1268"/>
    <x v="9"/>
  </r>
  <r>
    <x v="1"/>
    <x v="8"/>
    <x v="1269"/>
    <x v="9"/>
  </r>
  <r>
    <x v="1"/>
    <x v="9"/>
    <x v="1790"/>
    <x v="9"/>
  </r>
  <r>
    <x v="1"/>
    <x v="10"/>
    <x v="775"/>
    <x v="9"/>
  </r>
  <r>
    <x v="1"/>
    <x v="11"/>
    <x v="1791"/>
    <x v="9"/>
  </r>
  <r>
    <x v="1"/>
    <x v="12"/>
    <x v="1792"/>
    <x v="9"/>
  </r>
  <r>
    <x v="1"/>
    <x v="13"/>
    <x v="1793"/>
    <x v="9"/>
  </r>
  <r>
    <x v="1"/>
    <x v="14"/>
    <x v="1794"/>
    <x v="9"/>
  </r>
  <r>
    <x v="1"/>
    <x v="0"/>
    <x v="1795"/>
    <x v="9"/>
  </r>
  <r>
    <x v="1"/>
    <x v="1"/>
    <x v="1487"/>
    <x v="9"/>
  </r>
  <r>
    <x v="1"/>
    <x v="2"/>
    <x v="92"/>
    <x v="9"/>
  </r>
  <r>
    <x v="1"/>
    <x v="3"/>
    <x v="1796"/>
    <x v="9"/>
  </r>
  <r>
    <x v="1"/>
    <x v="4"/>
    <x v="599"/>
    <x v="9"/>
  </r>
  <r>
    <x v="1"/>
    <x v="5"/>
    <x v="1797"/>
    <x v="9"/>
  </r>
  <r>
    <x v="1"/>
    <x v="6"/>
    <x v="209"/>
    <x v="9"/>
  </r>
  <r>
    <x v="1"/>
    <x v="7"/>
    <x v="1798"/>
    <x v="9"/>
  </r>
  <r>
    <x v="1"/>
    <x v="8"/>
    <x v="1799"/>
    <x v="9"/>
  </r>
  <r>
    <x v="1"/>
    <x v="9"/>
    <x v="1800"/>
    <x v="9"/>
  </r>
  <r>
    <x v="1"/>
    <x v="10"/>
    <x v="1801"/>
    <x v="9"/>
  </r>
  <r>
    <x v="1"/>
    <x v="11"/>
    <x v="1802"/>
    <x v="9"/>
  </r>
  <r>
    <x v="1"/>
    <x v="12"/>
    <x v="1803"/>
    <x v="9"/>
  </r>
  <r>
    <x v="1"/>
    <x v="13"/>
    <x v="1804"/>
    <x v="9"/>
  </r>
  <r>
    <x v="1"/>
    <x v="14"/>
    <x v="1805"/>
    <x v="9"/>
  </r>
  <r>
    <x v="1"/>
    <x v="0"/>
    <x v="987"/>
    <x v="9"/>
  </r>
  <r>
    <x v="1"/>
    <x v="1"/>
    <x v="636"/>
    <x v="9"/>
  </r>
  <r>
    <x v="1"/>
    <x v="2"/>
    <x v="300"/>
    <x v="9"/>
  </r>
  <r>
    <x v="1"/>
    <x v="3"/>
    <x v="1806"/>
    <x v="9"/>
  </r>
  <r>
    <x v="1"/>
    <x v="4"/>
    <x v="1807"/>
    <x v="9"/>
  </r>
  <r>
    <x v="1"/>
    <x v="5"/>
    <x v="263"/>
    <x v="9"/>
  </r>
  <r>
    <x v="1"/>
    <x v="6"/>
    <x v="224"/>
    <x v="9"/>
  </r>
  <r>
    <x v="1"/>
    <x v="7"/>
    <x v="1808"/>
    <x v="9"/>
  </r>
  <r>
    <x v="1"/>
    <x v="8"/>
    <x v="1809"/>
    <x v="9"/>
  </r>
  <r>
    <x v="1"/>
    <x v="9"/>
    <x v="1810"/>
    <x v="9"/>
  </r>
  <r>
    <x v="1"/>
    <x v="10"/>
    <x v="1811"/>
    <x v="9"/>
  </r>
  <r>
    <x v="1"/>
    <x v="11"/>
    <x v="1812"/>
    <x v="9"/>
  </r>
  <r>
    <x v="1"/>
    <x v="12"/>
    <x v="1813"/>
    <x v="9"/>
  </r>
  <r>
    <x v="1"/>
    <x v="13"/>
    <x v="1814"/>
    <x v="9"/>
  </r>
  <r>
    <x v="1"/>
    <x v="14"/>
    <x v="1815"/>
    <x v="9"/>
  </r>
  <r>
    <x v="0"/>
    <x v="0"/>
    <x v="1816"/>
    <x v="9"/>
  </r>
  <r>
    <x v="0"/>
    <x v="1"/>
    <x v="670"/>
    <x v="9"/>
  </r>
  <r>
    <x v="0"/>
    <x v="2"/>
    <x v="220"/>
    <x v="9"/>
  </r>
  <r>
    <x v="0"/>
    <x v="3"/>
    <x v="289"/>
    <x v="9"/>
  </r>
  <r>
    <x v="0"/>
    <x v="4"/>
    <x v="150"/>
    <x v="9"/>
  </r>
  <r>
    <x v="0"/>
    <x v="5"/>
    <x v="1817"/>
    <x v="9"/>
  </r>
  <r>
    <x v="0"/>
    <x v="6"/>
    <x v="224"/>
    <x v="9"/>
  </r>
  <r>
    <x v="0"/>
    <x v="7"/>
    <x v="1818"/>
    <x v="9"/>
  </r>
  <r>
    <x v="0"/>
    <x v="8"/>
    <x v="1819"/>
    <x v="9"/>
  </r>
  <r>
    <x v="0"/>
    <x v="9"/>
    <x v="1820"/>
    <x v="9"/>
  </r>
  <r>
    <x v="0"/>
    <x v="10"/>
    <x v="1821"/>
    <x v="9"/>
  </r>
  <r>
    <x v="0"/>
    <x v="11"/>
    <x v="1822"/>
    <x v="9"/>
  </r>
  <r>
    <x v="0"/>
    <x v="12"/>
    <x v="1823"/>
    <x v="9"/>
  </r>
  <r>
    <x v="0"/>
    <x v="13"/>
    <x v="1824"/>
    <x v="9"/>
  </r>
  <r>
    <x v="0"/>
    <x v="14"/>
    <x v="1825"/>
    <x v="9"/>
  </r>
  <r>
    <x v="1"/>
    <x v="0"/>
    <x v="1826"/>
    <x v="9"/>
  </r>
  <r>
    <x v="1"/>
    <x v="1"/>
    <x v="124"/>
    <x v="9"/>
  </r>
  <r>
    <x v="1"/>
    <x v="2"/>
    <x v="62"/>
    <x v="9"/>
  </r>
  <r>
    <x v="1"/>
    <x v="3"/>
    <x v="1827"/>
    <x v="9"/>
  </r>
  <r>
    <x v="1"/>
    <x v="4"/>
    <x v="1035"/>
    <x v="9"/>
  </r>
  <r>
    <x v="1"/>
    <x v="5"/>
    <x v="1125"/>
    <x v="9"/>
  </r>
  <r>
    <x v="1"/>
    <x v="6"/>
    <x v="224"/>
    <x v="9"/>
  </r>
  <r>
    <x v="1"/>
    <x v="7"/>
    <x v="1828"/>
    <x v="9"/>
  </r>
  <r>
    <x v="1"/>
    <x v="8"/>
    <x v="1829"/>
    <x v="9"/>
  </r>
  <r>
    <x v="1"/>
    <x v="9"/>
    <x v="1830"/>
    <x v="9"/>
  </r>
  <r>
    <x v="1"/>
    <x v="10"/>
    <x v="1831"/>
    <x v="9"/>
  </r>
  <r>
    <x v="1"/>
    <x v="11"/>
    <x v="1832"/>
    <x v="9"/>
  </r>
  <r>
    <x v="1"/>
    <x v="12"/>
    <x v="1833"/>
    <x v="9"/>
  </r>
  <r>
    <x v="1"/>
    <x v="13"/>
    <x v="1834"/>
    <x v="9"/>
  </r>
  <r>
    <x v="1"/>
    <x v="14"/>
    <x v="1835"/>
    <x v="9"/>
  </r>
  <r>
    <x v="0"/>
    <x v="0"/>
    <x v="1836"/>
    <x v="9"/>
  </r>
  <r>
    <x v="0"/>
    <x v="1"/>
    <x v="150"/>
    <x v="9"/>
  </r>
  <r>
    <x v="0"/>
    <x v="2"/>
    <x v="17"/>
    <x v="9"/>
  </r>
  <r>
    <x v="0"/>
    <x v="3"/>
    <x v="1837"/>
    <x v="9"/>
  </r>
  <r>
    <x v="0"/>
    <x v="4"/>
    <x v="1838"/>
    <x v="9"/>
  </r>
  <r>
    <x v="0"/>
    <x v="5"/>
    <x v="998"/>
    <x v="9"/>
  </r>
  <r>
    <x v="0"/>
    <x v="6"/>
    <x v="224"/>
    <x v="9"/>
  </r>
  <r>
    <x v="0"/>
    <x v="7"/>
    <x v="1839"/>
    <x v="9"/>
  </r>
  <r>
    <x v="0"/>
    <x v="8"/>
    <x v="1840"/>
    <x v="9"/>
  </r>
  <r>
    <x v="0"/>
    <x v="9"/>
    <x v="1841"/>
    <x v="9"/>
  </r>
  <r>
    <x v="0"/>
    <x v="10"/>
    <x v="1842"/>
    <x v="9"/>
  </r>
  <r>
    <x v="0"/>
    <x v="11"/>
    <x v="1843"/>
    <x v="9"/>
  </r>
  <r>
    <x v="0"/>
    <x v="12"/>
    <x v="1844"/>
    <x v="9"/>
  </r>
  <r>
    <x v="0"/>
    <x v="13"/>
    <x v="1845"/>
    <x v="9"/>
  </r>
  <r>
    <x v="0"/>
    <x v="14"/>
    <x v="1846"/>
    <x v="9"/>
  </r>
  <r>
    <x v="0"/>
    <x v="0"/>
    <x v="1847"/>
    <x v="10"/>
  </r>
  <r>
    <x v="0"/>
    <x v="1"/>
    <x v="1587"/>
    <x v="10"/>
  </r>
  <r>
    <x v="0"/>
    <x v="2"/>
    <x v="17"/>
    <x v="10"/>
  </r>
  <r>
    <x v="0"/>
    <x v="3"/>
    <x v="1848"/>
    <x v="10"/>
  </r>
  <r>
    <x v="0"/>
    <x v="4"/>
    <x v="1849"/>
    <x v="10"/>
  </r>
  <r>
    <x v="0"/>
    <x v="5"/>
    <x v="953"/>
    <x v="10"/>
  </r>
  <r>
    <x v="0"/>
    <x v="6"/>
    <x v="21"/>
    <x v="10"/>
  </r>
  <r>
    <x v="0"/>
    <x v="7"/>
    <x v="1850"/>
    <x v="10"/>
  </r>
  <r>
    <x v="0"/>
    <x v="8"/>
    <x v="1851"/>
    <x v="10"/>
  </r>
  <r>
    <x v="0"/>
    <x v="9"/>
    <x v="1852"/>
    <x v="10"/>
  </r>
  <r>
    <x v="0"/>
    <x v="10"/>
    <x v="1853"/>
    <x v="10"/>
  </r>
  <r>
    <x v="0"/>
    <x v="11"/>
    <x v="1854"/>
    <x v="10"/>
  </r>
  <r>
    <x v="0"/>
    <x v="12"/>
    <x v="1855"/>
    <x v="10"/>
  </r>
  <r>
    <x v="0"/>
    <x v="13"/>
    <x v="1856"/>
    <x v="10"/>
  </r>
  <r>
    <x v="0"/>
    <x v="14"/>
    <x v="1857"/>
    <x v="10"/>
  </r>
  <r>
    <x v="0"/>
    <x v="0"/>
    <x v="1858"/>
    <x v="10"/>
  </r>
  <r>
    <x v="0"/>
    <x v="1"/>
    <x v="354"/>
    <x v="10"/>
  </r>
  <r>
    <x v="0"/>
    <x v="2"/>
    <x v="220"/>
    <x v="10"/>
  </r>
  <r>
    <x v="0"/>
    <x v="3"/>
    <x v="1859"/>
    <x v="10"/>
  </r>
  <r>
    <x v="0"/>
    <x v="4"/>
    <x v="1860"/>
    <x v="10"/>
  </r>
  <r>
    <x v="0"/>
    <x v="5"/>
    <x v="1861"/>
    <x v="10"/>
  </r>
  <r>
    <x v="0"/>
    <x v="6"/>
    <x v="36"/>
    <x v="10"/>
  </r>
  <r>
    <x v="0"/>
    <x v="7"/>
    <x v="1862"/>
    <x v="10"/>
  </r>
  <r>
    <x v="0"/>
    <x v="8"/>
    <x v="1863"/>
    <x v="10"/>
  </r>
  <r>
    <x v="0"/>
    <x v="9"/>
    <x v="1864"/>
    <x v="10"/>
  </r>
  <r>
    <x v="0"/>
    <x v="10"/>
    <x v="1865"/>
    <x v="10"/>
  </r>
  <r>
    <x v="0"/>
    <x v="11"/>
    <x v="1866"/>
    <x v="10"/>
  </r>
  <r>
    <x v="0"/>
    <x v="12"/>
    <x v="360"/>
    <x v="10"/>
  </r>
  <r>
    <x v="0"/>
    <x v="13"/>
    <x v="1867"/>
    <x v="10"/>
  </r>
  <r>
    <x v="0"/>
    <x v="14"/>
    <x v="1868"/>
    <x v="10"/>
  </r>
  <r>
    <x v="0"/>
    <x v="0"/>
    <x v="1869"/>
    <x v="10"/>
  </r>
  <r>
    <x v="0"/>
    <x v="1"/>
    <x v="120"/>
    <x v="10"/>
  </r>
  <r>
    <x v="0"/>
    <x v="2"/>
    <x v="326"/>
    <x v="10"/>
  </r>
  <r>
    <x v="0"/>
    <x v="3"/>
    <x v="1870"/>
    <x v="10"/>
  </r>
  <r>
    <x v="0"/>
    <x v="4"/>
    <x v="1871"/>
    <x v="10"/>
  </r>
  <r>
    <x v="0"/>
    <x v="5"/>
    <x v="1872"/>
    <x v="10"/>
  </r>
  <r>
    <x v="0"/>
    <x v="6"/>
    <x v="51"/>
    <x v="10"/>
  </r>
  <r>
    <x v="0"/>
    <x v="7"/>
    <x v="1873"/>
    <x v="10"/>
  </r>
  <r>
    <x v="0"/>
    <x v="8"/>
    <x v="1874"/>
    <x v="10"/>
  </r>
  <r>
    <x v="0"/>
    <x v="9"/>
    <x v="1875"/>
    <x v="10"/>
  </r>
  <r>
    <x v="0"/>
    <x v="10"/>
    <x v="1876"/>
    <x v="10"/>
  </r>
  <r>
    <x v="0"/>
    <x v="11"/>
    <x v="1877"/>
    <x v="10"/>
  </r>
  <r>
    <x v="0"/>
    <x v="12"/>
    <x v="1878"/>
    <x v="10"/>
  </r>
  <r>
    <x v="0"/>
    <x v="13"/>
    <x v="1879"/>
    <x v="10"/>
  </r>
  <r>
    <x v="0"/>
    <x v="14"/>
    <x v="1880"/>
    <x v="10"/>
  </r>
  <r>
    <x v="0"/>
    <x v="0"/>
    <x v="1881"/>
    <x v="10"/>
  </r>
  <r>
    <x v="0"/>
    <x v="1"/>
    <x v="1882"/>
    <x v="10"/>
  </r>
  <r>
    <x v="0"/>
    <x v="2"/>
    <x v="163"/>
    <x v="10"/>
  </r>
  <r>
    <x v="0"/>
    <x v="3"/>
    <x v="1883"/>
    <x v="10"/>
  </r>
  <r>
    <x v="0"/>
    <x v="4"/>
    <x v="1884"/>
    <x v="10"/>
  </r>
  <r>
    <x v="0"/>
    <x v="5"/>
    <x v="1885"/>
    <x v="10"/>
  </r>
  <r>
    <x v="0"/>
    <x v="6"/>
    <x v="66"/>
    <x v="10"/>
  </r>
  <r>
    <x v="0"/>
    <x v="7"/>
    <x v="1886"/>
    <x v="10"/>
  </r>
  <r>
    <x v="0"/>
    <x v="8"/>
    <x v="1887"/>
    <x v="10"/>
  </r>
  <r>
    <x v="0"/>
    <x v="9"/>
    <x v="1888"/>
    <x v="10"/>
  </r>
  <r>
    <x v="0"/>
    <x v="10"/>
    <x v="1889"/>
    <x v="10"/>
  </r>
  <r>
    <x v="0"/>
    <x v="11"/>
    <x v="1890"/>
    <x v="10"/>
  </r>
  <r>
    <x v="0"/>
    <x v="12"/>
    <x v="1891"/>
    <x v="10"/>
  </r>
  <r>
    <x v="0"/>
    <x v="13"/>
    <x v="1892"/>
    <x v="10"/>
  </r>
  <r>
    <x v="0"/>
    <x v="14"/>
    <x v="1893"/>
    <x v="10"/>
  </r>
  <r>
    <x v="0"/>
    <x v="0"/>
    <x v="1894"/>
    <x v="10"/>
  </r>
  <r>
    <x v="0"/>
    <x v="1"/>
    <x v="1895"/>
    <x v="10"/>
  </r>
  <r>
    <x v="0"/>
    <x v="2"/>
    <x v="2"/>
    <x v="10"/>
  </r>
  <r>
    <x v="0"/>
    <x v="3"/>
    <x v="339"/>
    <x v="10"/>
  </r>
  <r>
    <x v="0"/>
    <x v="4"/>
    <x v="1896"/>
    <x v="10"/>
  </r>
  <r>
    <x v="0"/>
    <x v="5"/>
    <x v="165"/>
    <x v="10"/>
  </r>
  <r>
    <x v="0"/>
    <x v="6"/>
    <x v="81"/>
    <x v="10"/>
  </r>
  <r>
    <x v="0"/>
    <x v="7"/>
    <x v="1897"/>
    <x v="10"/>
  </r>
  <r>
    <x v="0"/>
    <x v="8"/>
    <x v="1898"/>
    <x v="10"/>
  </r>
  <r>
    <x v="0"/>
    <x v="9"/>
    <x v="1899"/>
    <x v="10"/>
  </r>
  <r>
    <x v="0"/>
    <x v="10"/>
    <x v="446"/>
    <x v="10"/>
  </r>
  <r>
    <x v="0"/>
    <x v="11"/>
    <x v="1900"/>
    <x v="10"/>
  </r>
  <r>
    <x v="0"/>
    <x v="12"/>
    <x v="1901"/>
    <x v="10"/>
  </r>
  <r>
    <x v="0"/>
    <x v="13"/>
    <x v="1902"/>
    <x v="10"/>
  </r>
  <r>
    <x v="0"/>
    <x v="14"/>
    <x v="1903"/>
    <x v="10"/>
  </r>
  <r>
    <x v="1"/>
    <x v="0"/>
    <x v="1904"/>
    <x v="10"/>
  </r>
  <r>
    <x v="1"/>
    <x v="1"/>
    <x v="1905"/>
    <x v="10"/>
  </r>
  <r>
    <x v="1"/>
    <x v="2"/>
    <x v="148"/>
    <x v="10"/>
  </r>
  <r>
    <x v="1"/>
    <x v="3"/>
    <x v="1906"/>
    <x v="10"/>
  </r>
  <r>
    <x v="1"/>
    <x v="4"/>
    <x v="759"/>
    <x v="10"/>
  </r>
  <r>
    <x v="1"/>
    <x v="5"/>
    <x v="1907"/>
    <x v="10"/>
  </r>
  <r>
    <x v="1"/>
    <x v="6"/>
    <x v="95"/>
    <x v="10"/>
  </r>
  <r>
    <x v="1"/>
    <x v="7"/>
    <x v="1908"/>
    <x v="10"/>
  </r>
  <r>
    <x v="1"/>
    <x v="8"/>
    <x v="1909"/>
    <x v="10"/>
  </r>
  <r>
    <x v="1"/>
    <x v="9"/>
    <x v="1910"/>
    <x v="10"/>
  </r>
  <r>
    <x v="1"/>
    <x v="10"/>
    <x v="1911"/>
    <x v="10"/>
  </r>
  <r>
    <x v="1"/>
    <x v="11"/>
    <x v="1912"/>
    <x v="10"/>
  </r>
  <r>
    <x v="1"/>
    <x v="12"/>
    <x v="1913"/>
    <x v="10"/>
  </r>
  <r>
    <x v="1"/>
    <x v="13"/>
    <x v="1914"/>
    <x v="10"/>
  </r>
  <r>
    <x v="1"/>
    <x v="14"/>
    <x v="1915"/>
    <x v="10"/>
  </r>
  <r>
    <x v="1"/>
    <x v="0"/>
    <x v="1916"/>
    <x v="10"/>
  </r>
  <r>
    <x v="1"/>
    <x v="1"/>
    <x v="106"/>
    <x v="10"/>
  </r>
  <r>
    <x v="1"/>
    <x v="2"/>
    <x v="288"/>
    <x v="10"/>
  </r>
  <r>
    <x v="1"/>
    <x v="3"/>
    <x v="1917"/>
    <x v="10"/>
  </r>
  <r>
    <x v="1"/>
    <x v="4"/>
    <x v="1918"/>
    <x v="10"/>
  </r>
  <r>
    <x v="1"/>
    <x v="5"/>
    <x v="504"/>
    <x v="10"/>
  </r>
  <r>
    <x v="1"/>
    <x v="6"/>
    <x v="125"/>
    <x v="10"/>
  </r>
  <r>
    <x v="1"/>
    <x v="7"/>
    <x v="1919"/>
    <x v="10"/>
  </r>
  <r>
    <x v="1"/>
    <x v="8"/>
    <x v="1920"/>
    <x v="10"/>
  </r>
  <r>
    <x v="1"/>
    <x v="9"/>
    <x v="113"/>
    <x v="10"/>
  </r>
  <r>
    <x v="1"/>
    <x v="10"/>
    <x v="1921"/>
    <x v="10"/>
  </r>
  <r>
    <x v="1"/>
    <x v="11"/>
    <x v="1922"/>
    <x v="10"/>
  </r>
  <r>
    <x v="1"/>
    <x v="12"/>
    <x v="1923"/>
    <x v="10"/>
  </r>
  <r>
    <x v="1"/>
    <x v="13"/>
    <x v="1924"/>
    <x v="10"/>
  </r>
  <r>
    <x v="1"/>
    <x v="14"/>
    <x v="1925"/>
    <x v="10"/>
  </r>
  <r>
    <x v="1"/>
    <x v="0"/>
    <x v="1926"/>
    <x v="10"/>
  </r>
  <r>
    <x v="1"/>
    <x v="1"/>
    <x v="930"/>
    <x v="10"/>
  </r>
  <r>
    <x v="1"/>
    <x v="2"/>
    <x v="732"/>
    <x v="10"/>
  </r>
  <r>
    <x v="1"/>
    <x v="3"/>
    <x v="1927"/>
    <x v="10"/>
  </r>
  <r>
    <x v="1"/>
    <x v="4"/>
    <x v="1102"/>
    <x v="10"/>
  </r>
  <r>
    <x v="1"/>
    <x v="5"/>
    <x v="1928"/>
    <x v="10"/>
  </r>
  <r>
    <x v="1"/>
    <x v="6"/>
    <x v="138"/>
    <x v="10"/>
  </r>
  <r>
    <x v="1"/>
    <x v="7"/>
    <x v="1156"/>
    <x v="10"/>
  </r>
  <r>
    <x v="1"/>
    <x v="8"/>
    <x v="771"/>
    <x v="10"/>
  </r>
  <r>
    <x v="1"/>
    <x v="9"/>
    <x v="1929"/>
    <x v="10"/>
  </r>
  <r>
    <x v="1"/>
    <x v="10"/>
    <x v="821"/>
    <x v="10"/>
  </r>
  <r>
    <x v="1"/>
    <x v="11"/>
    <x v="1930"/>
    <x v="10"/>
  </r>
  <r>
    <x v="1"/>
    <x v="12"/>
    <x v="1931"/>
    <x v="10"/>
  </r>
  <r>
    <x v="1"/>
    <x v="13"/>
    <x v="1932"/>
    <x v="10"/>
  </r>
  <r>
    <x v="1"/>
    <x v="14"/>
    <x v="1933"/>
    <x v="10"/>
  </r>
  <r>
    <x v="1"/>
    <x v="0"/>
    <x v="1934"/>
    <x v="10"/>
  </r>
  <r>
    <x v="1"/>
    <x v="1"/>
    <x v="469"/>
    <x v="10"/>
  </r>
  <r>
    <x v="1"/>
    <x v="2"/>
    <x v="6"/>
    <x v="10"/>
  </r>
  <r>
    <x v="1"/>
    <x v="3"/>
    <x v="1068"/>
    <x v="10"/>
  </r>
  <r>
    <x v="1"/>
    <x v="4"/>
    <x v="744"/>
    <x v="10"/>
  </r>
  <r>
    <x v="1"/>
    <x v="5"/>
    <x v="1278"/>
    <x v="10"/>
  </r>
  <r>
    <x v="1"/>
    <x v="6"/>
    <x v="167"/>
    <x v="10"/>
  </r>
  <r>
    <x v="1"/>
    <x v="7"/>
    <x v="747"/>
    <x v="10"/>
  </r>
  <r>
    <x v="1"/>
    <x v="8"/>
    <x v="748"/>
    <x v="10"/>
  </r>
  <r>
    <x v="1"/>
    <x v="9"/>
    <x v="889"/>
    <x v="10"/>
  </r>
  <r>
    <x v="1"/>
    <x v="10"/>
    <x v="1651"/>
    <x v="10"/>
  </r>
  <r>
    <x v="1"/>
    <x v="11"/>
    <x v="1935"/>
    <x v="10"/>
  </r>
  <r>
    <x v="1"/>
    <x v="12"/>
    <x v="1936"/>
    <x v="10"/>
  </r>
  <r>
    <x v="1"/>
    <x v="13"/>
    <x v="1937"/>
    <x v="10"/>
  </r>
  <r>
    <x v="1"/>
    <x v="14"/>
    <x v="1938"/>
    <x v="10"/>
  </r>
  <r>
    <x v="1"/>
    <x v="0"/>
    <x v="1939"/>
    <x v="10"/>
  </r>
  <r>
    <x v="1"/>
    <x v="1"/>
    <x v="1940"/>
    <x v="10"/>
  </r>
  <r>
    <x v="1"/>
    <x v="2"/>
    <x v="300"/>
    <x v="10"/>
  </r>
  <r>
    <x v="1"/>
    <x v="3"/>
    <x v="1941"/>
    <x v="10"/>
  </r>
  <r>
    <x v="1"/>
    <x v="4"/>
    <x v="351"/>
    <x v="10"/>
  </r>
  <r>
    <x v="1"/>
    <x v="5"/>
    <x v="1942"/>
    <x v="10"/>
  </r>
  <r>
    <x v="1"/>
    <x v="6"/>
    <x v="181"/>
    <x v="10"/>
  </r>
  <r>
    <x v="1"/>
    <x v="7"/>
    <x v="1943"/>
    <x v="10"/>
  </r>
  <r>
    <x v="1"/>
    <x v="8"/>
    <x v="1944"/>
    <x v="10"/>
  </r>
  <r>
    <x v="1"/>
    <x v="9"/>
    <x v="1945"/>
    <x v="10"/>
  </r>
  <r>
    <x v="1"/>
    <x v="10"/>
    <x v="707"/>
    <x v="10"/>
  </r>
  <r>
    <x v="1"/>
    <x v="11"/>
    <x v="1946"/>
    <x v="10"/>
  </r>
  <r>
    <x v="1"/>
    <x v="12"/>
    <x v="1947"/>
    <x v="10"/>
  </r>
  <r>
    <x v="1"/>
    <x v="13"/>
    <x v="1948"/>
    <x v="10"/>
  </r>
  <r>
    <x v="1"/>
    <x v="14"/>
    <x v="1949"/>
    <x v="10"/>
  </r>
  <r>
    <x v="1"/>
    <x v="0"/>
    <x v="1950"/>
    <x v="10"/>
  </r>
  <r>
    <x v="1"/>
    <x v="1"/>
    <x v="455"/>
    <x v="10"/>
  </r>
  <r>
    <x v="1"/>
    <x v="2"/>
    <x v="527"/>
    <x v="10"/>
  </r>
  <r>
    <x v="1"/>
    <x v="3"/>
    <x v="1212"/>
    <x v="10"/>
  </r>
  <r>
    <x v="1"/>
    <x v="4"/>
    <x v="1686"/>
    <x v="10"/>
  </r>
  <r>
    <x v="1"/>
    <x v="5"/>
    <x v="328"/>
    <x v="10"/>
  </r>
  <r>
    <x v="1"/>
    <x v="6"/>
    <x v="195"/>
    <x v="10"/>
  </r>
  <r>
    <x v="1"/>
    <x v="7"/>
    <x v="1951"/>
    <x v="10"/>
  </r>
  <r>
    <x v="1"/>
    <x v="8"/>
    <x v="1952"/>
    <x v="10"/>
  </r>
  <r>
    <x v="1"/>
    <x v="9"/>
    <x v="1403"/>
    <x v="10"/>
  </r>
  <r>
    <x v="1"/>
    <x v="10"/>
    <x v="1953"/>
    <x v="10"/>
  </r>
  <r>
    <x v="1"/>
    <x v="11"/>
    <x v="1954"/>
    <x v="10"/>
  </r>
  <r>
    <x v="1"/>
    <x v="12"/>
    <x v="1955"/>
    <x v="10"/>
  </r>
  <r>
    <x v="1"/>
    <x v="13"/>
    <x v="1956"/>
    <x v="10"/>
  </r>
  <r>
    <x v="1"/>
    <x v="14"/>
    <x v="1957"/>
    <x v="10"/>
  </r>
  <r>
    <x v="1"/>
    <x v="0"/>
    <x v="1958"/>
    <x v="10"/>
  </r>
  <r>
    <x v="1"/>
    <x v="1"/>
    <x v="379"/>
    <x v="10"/>
  </r>
  <r>
    <x v="1"/>
    <x v="2"/>
    <x v="47"/>
    <x v="10"/>
  </r>
  <r>
    <x v="1"/>
    <x v="3"/>
    <x v="1959"/>
    <x v="10"/>
  </r>
  <r>
    <x v="1"/>
    <x v="4"/>
    <x v="1960"/>
    <x v="10"/>
  </r>
  <r>
    <x v="1"/>
    <x v="5"/>
    <x v="1045"/>
    <x v="10"/>
  </r>
  <r>
    <x v="1"/>
    <x v="6"/>
    <x v="209"/>
    <x v="10"/>
  </r>
  <r>
    <x v="1"/>
    <x v="7"/>
    <x v="1961"/>
    <x v="10"/>
  </r>
  <r>
    <x v="1"/>
    <x v="8"/>
    <x v="1962"/>
    <x v="10"/>
  </r>
  <r>
    <x v="1"/>
    <x v="9"/>
    <x v="1963"/>
    <x v="10"/>
  </r>
  <r>
    <x v="1"/>
    <x v="10"/>
    <x v="1964"/>
    <x v="10"/>
  </r>
  <r>
    <x v="1"/>
    <x v="11"/>
    <x v="1965"/>
    <x v="10"/>
  </r>
  <r>
    <x v="1"/>
    <x v="12"/>
    <x v="1966"/>
    <x v="10"/>
  </r>
  <r>
    <x v="1"/>
    <x v="13"/>
    <x v="1967"/>
    <x v="10"/>
  </r>
  <r>
    <x v="1"/>
    <x v="14"/>
    <x v="1968"/>
    <x v="10"/>
  </r>
  <r>
    <x v="1"/>
    <x v="0"/>
    <x v="1969"/>
    <x v="10"/>
  </r>
  <r>
    <x v="1"/>
    <x v="1"/>
    <x v="354"/>
    <x v="10"/>
  </r>
  <r>
    <x v="1"/>
    <x v="2"/>
    <x v="62"/>
    <x v="10"/>
  </r>
  <r>
    <x v="1"/>
    <x v="3"/>
    <x v="1970"/>
    <x v="10"/>
  </r>
  <r>
    <x v="1"/>
    <x v="4"/>
    <x v="1090"/>
    <x v="10"/>
  </r>
  <r>
    <x v="1"/>
    <x v="5"/>
    <x v="1971"/>
    <x v="10"/>
  </r>
  <r>
    <x v="1"/>
    <x v="6"/>
    <x v="224"/>
    <x v="10"/>
  </r>
  <r>
    <x v="1"/>
    <x v="7"/>
    <x v="1972"/>
    <x v="10"/>
  </r>
  <r>
    <x v="1"/>
    <x v="8"/>
    <x v="1973"/>
    <x v="10"/>
  </r>
  <r>
    <x v="1"/>
    <x v="9"/>
    <x v="1974"/>
    <x v="10"/>
  </r>
  <r>
    <x v="1"/>
    <x v="10"/>
    <x v="1975"/>
    <x v="10"/>
  </r>
  <r>
    <x v="1"/>
    <x v="11"/>
    <x v="1976"/>
    <x v="10"/>
  </r>
  <r>
    <x v="1"/>
    <x v="12"/>
    <x v="1977"/>
    <x v="10"/>
  </r>
  <r>
    <x v="1"/>
    <x v="13"/>
    <x v="1978"/>
    <x v="10"/>
  </r>
  <r>
    <x v="1"/>
    <x v="14"/>
    <x v="1979"/>
    <x v="10"/>
  </r>
  <r>
    <x v="0"/>
    <x v="0"/>
    <x v="1980"/>
    <x v="10"/>
  </r>
  <r>
    <x v="0"/>
    <x v="1"/>
    <x v="1981"/>
    <x v="10"/>
  </r>
  <r>
    <x v="0"/>
    <x v="2"/>
    <x v="121"/>
    <x v="10"/>
  </r>
  <r>
    <x v="0"/>
    <x v="3"/>
    <x v="952"/>
    <x v="10"/>
  </r>
  <r>
    <x v="0"/>
    <x v="4"/>
    <x v="1982"/>
    <x v="10"/>
  </r>
  <r>
    <x v="0"/>
    <x v="5"/>
    <x v="1983"/>
    <x v="10"/>
  </r>
  <r>
    <x v="0"/>
    <x v="6"/>
    <x v="224"/>
    <x v="10"/>
  </r>
  <r>
    <x v="0"/>
    <x v="7"/>
    <x v="1984"/>
    <x v="10"/>
  </r>
  <r>
    <x v="0"/>
    <x v="8"/>
    <x v="1985"/>
    <x v="10"/>
  </r>
  <r>
    <x v="0"/>
    <x v="9"/>
    <x v="1986"/>
    <x v="10"/>
  </r>
  <r>
    <x v="0"/>
    <x v="10"/>
    <x v="1987"/>
    <x v="10"/>
  </r>
  <r>
    <x v="0"/>
    <x v="11"/>
    <x v="1988"/>
    <x v="10"/>
  </r>
  <r>
    <x v="0"/>
    <x v="12"/>
    <x v="1989"/>
    <x v="10"/>
  </r>
  <r>
    <x v="0"/>
    <x v="13"/>
    <x v="1990"/>
    <x v="10"/>
  </r>
  <r>
    <x v="0"/>
    <x v="14"/>
    <x v="1991"/>
    <x v="10"/>
  </r>
  <r>
    <x v="1"/>
    <x v="0"/>
    <x v="1992"/>
    <x v="10"/>
  </r>
  <r>
    <x v="1"/>
    <x v="1"/>
    <x v="300"/>
    <x v="10"/>
  </r>
  <r>
    <x v="1"/>
    <x v="2"/>
    <x v="376"/>
    <x v="10"/>
  </r>
  <r>
    <x v="1"/>
    <x v="3"/>
    <x v="1993"/>
    <x v="10"/>
  </r>
  <r>
    <x v="1"/>
    <x v="4"/>
    <x v="121"/>
    <x v="10"/>
  </r>
  <r>
    <x v="1"/>
    <x v="5"/>
    <x v="404"/>
    <x v="10"/>
  </r>
  <r>
    <x v="1"/>
    <x v="6"/>
    <x v="224"/>
    <x v="10"/>
  </r>
  <r>
    <x v="1"/>
    <x v="7"/>
    <x v="1994"/>
    <x v="10"/>
  </r>
  <r>
    <x v="1"/>
    <x v="8"/>
    <x v="1995"/>
    <x v="10"/>
  </r>
  <r>
    <x v="1"/>
    <x v="9"/>
    <x v="1996"/>
    <x v="10"/>
  </r>
  <r>
    <x v="1"/>
    <x v="10"/>
    <x v="1997"/>
    <x v="10"/>
  </r>
  <r>
    <x v="1"/>
    <x v="11"/>
    <x v="1998"/>
    <x v="10"/>
  </r>
  <r>
    <x v="1"/>
    <x v="12"/>
    <x v="1999"/>
    <x v="10"/>
  </r>
  <r>
    <x v="1"/>
    <x v="13"/>
    <x v="2000"/>
    <x v="10"/>
  </r>
  <r>
    <x v="1"/>
    <x v="14"/>
    <x v="2001"/>
    <x v="10"/>
  </r>
  <r>
    <x v="0"/>
    <x v="0"/>
    <x v="2002"/>
    <x v="10"/>
  </r>
  <r>
    <x v="0"/>
    <x v="1"/>
    <x v="416"/>
    <x v="10"/>
  </r>
  <r>
    <x v="0"/>
    <x v="2"/>
    <x v="2"/>
    <x v="10"/>
  </r>
  <r>
    <x v="0"/>
    <x v="3"/>
    <x v="1375"/>
    <x v="10"/>
  </r>
  <r>
    <x v="0"/>
    <x v="4"/>
    <x v="529"/>
    <x v="10"/>
  </r>
  <r>
    <x v="0"/>
    <x v="5"/>
    <x v="2003"/>
    <x v="10"/>
  </r>
  <r>
    <x v="0"/>
    <x v="6"/>
    <x v="224"/>
    <x v="10"/>
  </r>
  <r>
    <x v="0"/>
    <x v="7"/>
    <x v="2004"/>
    <x v="10"/>
  </r>
  <r>
    <x v="0"/>
    <x v="8"/>
    <x v="2005"/>
    <x v="10"/>
  </r>
  <r>
    <x v="0"/>
    <x v="9"/>
    <x v="2006"/>
    <x v="10"/>
  </r>
  <r>
    <x v="0"/>
    <x v="10"/>
    <x v="2007"/>
    <x v="10"/>
  </r>
  <r>
    <x v="0"/>
    <x v="11"/>
    <x v="2008"/>
    <x v="10"/>
  </r>
  <r>
    <x v="0"/>
    <x v="12"/>
    <x v="2009"/>
    <x v="10"/>
  </r>
  <r>
    <x v="0"/>
    <x v="13"/>
    <x v="2010"/>
    <x v="10"/>
  </r>
  <r>
    <x v="0"/>
    <x v="14"/>
    <x v="2011"/>
    <x v="10"/>
  </r>
  <r>
    <x v="0"/>
    <x v="0"/>
    <x v="2012"/>
    <x v="11"/>
  </r>
  <r>
    <x v="0"/>
    <x v="1"/>
    <x v="1067"/>
    <x v="11"/>
  </r>
  <r>
    <x v="0"/>
    <x v="2"/>
    <x v="220"/>
    <x v="11"/>
  </r>
  <r>
    <x v="0"/>
    <x v="3"/>
    <x v="490"/>
    <x v="11"/>
  </r>
  <r>
    <x v="0"/>
    <x v="4"/>
    <x v="179"/>
    <x v="11"/>
  </r>
  <r>
    <x v="0"/>
    <x v="5"/>
    <x v="91"/>
    <x v="11"/>
  </r>
  <r>
    <x v="0"/>
    <x v="6"/>
    <x v="21"/>
    <x v="11"/>
  </r>
  <r>
    <x v="0"/>
    <x v="7"/>
    <x v="2013"/>
    <x v="11"/>
  </r>
  <r>
    <x v="0"/>
    <x v="8"/>
    <x v="2014"/>
    <x v="11"/>
  </r>
  <r>
    <x v="0"/>
    <x v="9"/>
    <x v="2015"/>
    <x v="11"/>
  </r>
  <r>
    <x v="0"/>
    <x v="10"/>
    <x v="2016"/>
    <x v="11"/>
  </r>
  <r>
    <x v="0"/>
    <x v="11"/>
    <x v="2017"/>
    <x v="11"/>
  </r>
  <r>
    <x v="0"/>
    <x v="12"/>
    <x v="2018"/>
    <x v="11"/>
  </r>
  <r>
    <x v="0"/>
    <x v="13"/>
    <x v="2019"/>
    <x v="11"/>
  </r>
  <r>
    <x v="0"/>
    <x v="14"/>
    <x v="2020"/>
    <x v="11"/>
  </r>
  <r>
    <x v="0"/>
    <x v="0"/>
    <x v="2021"/>
    <x v="11"/>
  </r>
  <r>
    <x v="0"/>
    <x v="1"/>
    <x v="942"/>
    <x v="11"/>
  </r>
  <r>
    <x v="0"/>
    <x v="2"/>
    <x v="191"/>
    <x v="11"/>
  </r>
  <r>
    <x v="0"/>
    <x v="3"/>
    <x v="2022"/>
    <x v="11"/>
  </r>
  <r>
    <x v="0"/>
    <x v="4"/>
    <x v="1169"/>
    <x v="11"/>
  </r>
  <r>
    <x v="0"/>
    <x v="5"/>
    <x v="1746"/>
    <x v="11"/>
  </r>
  <r>
    <x v="0"/>
    <x v="6"/>
    <x v="36"/>
    <x v="11"/>
  </r>
  <r>
    <x v="0"/>
    <x v="7"/>
    <x v="2023"/>
    <x v="11"/>
  </r>
  <r>
    <x v="0"/>
    <x v="8"/>
    <x v="2024"/>
    <x v="11"/>
  </r>
  <r>
    <x v="0"/>
    <x v="9"/>
    <x v="2025"/>
    <x v="11"/>
  </r>
  <r>
    <x v="0"/>
    <x v="10"/>
    <x v="2026"/>
    <x v="11"/>
  </r>
  <r>
    <x v="0"/>
    <x v="11"/>
    <x v="2027"/>
    <x v="11"/>
  </r>
  <r>
    <x v="0"/>
    <x v="12"/>
    <x v="2028"/>
    <x v="11"/>
  </r>
  <r>
    <x v="0"/>
    <x v="13"/>
    <x v="2029"/>
    <x v="11"/>
  </r>
  <r>
    <x v="0"/>
    <x v="14"/>
    <x v="2030"/>
    <x v="11"/>
  </r>
  <r>
    <x v="0"/>
    <x v="0"/>
    <x v="2031"/>
    <x v="11"/>
  </r>
  <r>
    <x v="0"/>
    <x v="1"/>
    <x v="351"/>
    <x v="11"/>
  </r>
  <r>
    <x v="0"/>
    <x v="2"/>
    <x v="235"/>
    <x v="11"/>
  </r>
  <r>
    <x v="0"/>
    <x v="3"/>
    <x v="2032"/>
    <x v="11"/>
  </r>
  <r>
    <x v="0"/>
    <x v="4"/>
    <x v="756"/>
    <x v="11"/>
  </r>
  <r>
    <x v="0"/>
    <x v="5"/>
    <x v="64"/>
    <x v="11"/>
  </r>
  <r>
    <x v="0"/>
    <x v="6"/>
    <x v="51"/>
    <x v="11"/>
  </r>
  <r>
    <x v="0"/>
    <x v="7"/>
    <x v="2033"/>
    <x v="11"/>
  </r>
  <r>
    <x v="0"/>
    <x v="8"/>
    <x v="2034"/>
    <x v="11"/>
  </r>
  <r>
    <x v="0"/>
    <x v="9"/>
    <x v="2035"/>
    <x v="11"/>
  </r>
  <r>
    <x v="0"/>
    <x v="10"/>
    <x v="2036"/>
    <x v="11"/>
  </r>
  <r>
    <x v="0"/>
    <x v="11"/>
    <x v="2037"/>
    <x v="11"/>
  </r>
  <r>
    <x v="0"/>
    <x v="12"/>
    <x v="2038"/>
    <x v="11"/>
  </r>
  <r>
    <x v="0"/>
    <x v="13"/>
    <x v="2039"/>
    <x v="11"/>
  </r>
  <r>
    <x v="0"/>
    <x v="14"/>
    <x v="2040"/>
    <x v="11"/>
  </r>
  <r>
    <x v="0"/>
    <x v="0"/>
    <x v="2041"/>
    <x v="11"/>
  </r>
  <r>
    <x v="0"/>
    <x v="1"/>
    <x v="2042"/>
    <x v="11"/>
  </r>
  <r>
    <x v="0"/>
    <x v="2"/>
    <x v="326"/>
    <x v="11"/>
  </r>
  <r>
    <x v="0"/>
    <x v="3"/>
    <x v="2043"/>
    <x v="11"/>
  </r>
  <r>
    <x v="0"/>
    <x v="4"/>
    <x v="180"/>
    <x v="11"/>
  </r>
  <r>
    <x v="0"/>
    <x v="5"/>
    <x v="805"/>
    <x v="11"/>
  </r>
  <r>
    <x v="0"/>
    <x v="6"/>
    <x v="66"/>
    <x v="11"/>
  </r>
  <r>
    <x v="0"/>
    <x v="7"/>
    <x v="2044"/>
    <x v="11"/>
  </r>
  <r>
    <x v="0"/>
    <x v="8"/>
    <x v="2045"/>
    <x v="11"/>
  </r>
  <r>
    <x v="0"/>
    <x v="9"/>
    <x v="2046"/>
    <x v="11"/>
  </r>
  <r>
    <x v="0"/>
    <x v="10"/>
    <x v="2047"/>
    <x v="11"/>
  </r>
  <r>
    <x v="0"/>
    <x v="11"/>
    <x v="2048"/>
    <x v="11"/>
  </r>
  <r>
    <x v="0"/>
    <x v="12"/>
    <x v="2049"/>
    <x v="11"/>
  </r>
  <r>
    <x v="0"/>
    <x v="13"/>
    <x v="2050"/>
    <x v="11"/>
  </r>
  <r>
    <x v="0"/>
    <x v="14"/>
    <x v="2051"/>
    <x v="11"/>
  </r>
  <r>
    <x v="0"/>
    <x v="0"/>
    <x v="2052"/>
    <x v="11"/>
  </r>
  <r>
    <x v="0"/>
    <x v="1"/>
    <x v="2053"/>
    <x v="11"/>
  </r>
  <r>
    <x v="0"/>
    <x v="2"/>
    <x v="121"/>
    <x v="11"/>
  </r>
  <r>
    <x v="0"/>
    <x v="3"/>
    <x v="2054"/>
    <x v="11"/>
  </r>
  <r>
    <x v="0"/>
    <x v="4"/>
    <x v="378"/>
    <x v="11"/>
  </r>
  <r>
    <x v="0"/>
    <x v="5"/>
    <x v="1872"/>
    <x v="11"/>
  </r>
  <r>
    <x v="0"/>
    <x v="6"/>
    <x v="81"/>
    <x v="11"/>
  </r>
  <r>
    <x v="0"/>
    <x v="7"/>
    <x v="2055"/>
    <x v="11"/>
  </r>
  <r>
    <x v="0"/>
    <x v="8"/>
    <x v="2056"/>
    <x v="11"/>
  </r>
  <r>
    <x v="0"/>
    <x v="9"/>
    <x v="2057"/>
    <x v="11"/>
  </r>
  <r>
    <x v="0"/>
    <x v="10"/>
    <x v="2058"/>
    <x v="11"/>
  </r>
  <r>
    <x v="0"/>
    <x v="11"/>
    <x v="2059"/>
    <x v="11"/>
  </r>
  <r>
    <x v="0"/>
    <x v="12"/>
    <x v="2060"/>
    <x v="11"/>
  </r>
  <r>
    <x v="0"/>
    <x v="13"/>
    <x v="2061"/>
    <x v="11"/>
  </r>
  <r>
    <x v="0"/>
    <x v="14"/>
    <x v="2062"/>
    <x v="11"/>
  </r>
  <r>
    <x v="1"/>
    <x v="0"/>
    <x v="2063"/>
    <x v="11"/>
  </r>
  <r>
    <x v="1"/>
    <x v="1"/>
    <x v="2064"/>
    <x v="11"/>
  </r>
  <r>
    <x v="1"/>
    <x v="2"/>
    <x v="148"/>
    <x v="11"/>
  </r>
  <r>
    <x v="1"/>
    <x v="3"/>
    <x v="1409"/>
    <x v="11"/>
  </r>
  <r>
    <x v="1"/>
    <x v="4"/>
    <x v="2042"/>
    <x v="11"/>
  </r>
  <r>
    <x v="1"/>
    <x v="5"/>
    <x v="2065"/>
    <x v="11"/>
  </r>
  <r>
    <x v="1"/>
    <x v="6"/>
    <x v="95"/>
    <x v="11"/>
  </r>
  <r>
    <x v="1"/>
    <x v="7"/>
    <x v="2066"/>
    <x v="11"/>
  </r>
  <r>
    <x v="1"/>
    <x v="8"/>
    <x v="2067"/>
    <x v="11"/>
  </r>
  <r>
    <x v="1"/>
    <x v="9"/>
    <x v="2068"/>
    <x v="11"/>
  </r>
  <r>
    <x v="1"/>
    <x v="10"/>
    <x v="2069"/>
    <x v="11"/>
  </r>
  <r>
    <x v="1"/>
    <x v="11"/>
    <x v="2070"/>
    <x v="11"/>
  </r>
  <r>
    <x v="1"/>
    <x v="12"/>
    <x v="2071"/>
    <x v="11"/>
  </r>
  <r>
    <x v="1"/>
    <x v="13"/>
    <x v="2072"/>
    <x v="11"/>
  </r>
  <r>
    <x v="1"/>
    <x v="14"/>
    <x v="2073"/>
    <x v="11"/>
  </r>
  <r>
    <x v="1"/>
    <x v="0"/>
    <x v="2074"/>
    <x v="11"/>
  </r>
  <r>
    <x v="1"/>
    <x v="1"/>
    <x v="1365"/>
    <x v="11"/>
  </r>
  <r>
    <x v="1"/>
    <x v="2"/>
    <x v="32"/>
    <x v="11"/>
  </r>
  <r>
    <x v="1"/>
    <x v="3"/>
    <x v="2075"/>
    <x v="11"/>
  </r>
  <r>
    <x v="1"/>
    <x v="4"/>
    <x v="1778"/>
    <x v="11"/>
  </r>
  <r>
    <x v="1"/>
    <x v="5"/>
    <x v="1245"/>
    <x v="11"/>
  </r>
  <r>
    <x v="1"/>
    <x v="6"/>
    <x v="125"/>
    <x v="11"/>
  </r>
  <r>
    <x v="1"/>
    <x v="7"/>
    <x v="2076"/>
    <x v="11"/>
  </r>
  <r>
    <x v="1"/>
    <x v="8"/>
    <x v="2077"/>
    <x v="11"/>
  </r>
  <r>
    <x v="1"/>
    <x v="9"/>
    <x v="1149"/>
    <x v="11"/>
  </r>
  <r>
    <x v="1"/>
    <x v="10"/>
    <x v="2078"/>
    <x v="11"/>
  </r>
  <r>
    <x v="1"/>
    <x v="11"/>
    <x v="2079"/>
    <x v="11"/>
  </r>
  <r>
    <x v="1"/>
    <x v="12"/>
    <x v="2080"/>
    <x v="11"/>
  </r>
  <r>
    <x v="1"/>
    <x v="13"/>
    <x v="2081"/>
    <x v="11"/>
  </r>
  <r>
    <x v="1"/>
    <x v="14"/>
    <x v="2082"/>
    <x v="11"/>
  </r>
  <r>
    <x v="1"/>
    <x v="0"/>
    <x v="2083"/>
    <x v="11"/>
  </r>
  <r>
    <x v="1"/>
    <x v="1"/>
    <x v="177"/>
    <x v="11"/>
  </r>
  <r>
    <x v="1"/>
    <x v="2"/>
    <x v="148"/>
    <x v="11"/>
  </r>
  <r>
    <x v="1"/>
    <x v="3"/>
    <x v="2084"/>
    <x v="11"/>
  </r>
  <r>
    <x v="1"/>
    <x v="4"/>
    <x v="1697"/>
    <x v="11"/>
  </r>
  <r>
    <x v="1"/>
    <x v="5"/>
    <x v="249"/>
    <x v="11"/>
  </r>
  <r>
    <x v="1"/>
    <x v="6"/>
    <x v="138"/>
    <x v="11"/>
  </r>
  <r>
    <x v="1"/>
    <x v="7"/>
    <x v="2085"/>
    <x v="11"/>
  </r>
  <r>
    <x v="1"/>
    <x v="8"/>
    <x v="2086"/>
    <x v="11"/>
  </r>
  <r>
    <x v="1"/>
    <x v="9"/>
    <x v="2087"/>
    <x v="11"/>
  </r>
  <r>
    <x v="1"/>
    <x v="10"/>
    <x v="2088"/>
    <x v="11"/>
  </r>
  <r>
    <x v="1"/>
    <x v="11"/>
    <x v="2089"/>
    <x v="11"/>
  </r>
  <r>
    <x v="1"/>
    <x v="12"/>
    <x v="2090"/>
    <x v="11"/>
  </r>
  <r>
    <x v="1"/>
    <x v="13"/>
    <x v="2091"/>
    <x v="11"/>
  </r>
  <r>
    <x v="1"/>
    <x v="14"/>
    <x v="2092"/>
    <x v="11"/>
  </r>
  <r>
    <x v="1"/>
    <x v="0"/>
    <x v="2093"/>
    <x v="11"/>
  </r>
  <r>
    <x v="1"/>
    <x v="1"/>
    <x v="1057"/>
    <x v="11"/>
  </r>
  <r>
    <x v="1"/>
    <x v="2"/>
    <x v="220"/>
    <x v="11"/>
  </r>
  <r>
    <x v="1"/>
    <x v="3"/>
    <x v="2094"/>
    <x v="11"/>
  </r>
  <r>
    <x v="1"/>
    <x v="4"/>
    <x v="1000"/>
    <x v="11"/>
  </r>
  <r>
    <x v="1"/>
    <x v="5"/>
    <x v="2095"/>
    <x v="11"/>
  </r>
  <r>
    <x v="1"/>
    <x v="6"/>
    <x v="167"/>
    <x v="11"/>
  </r>
  <r>
    <x v="1"/>
    <x v="7"/>
    <x v="2096"/>
    <x v="11"/>
  </r>
  <r>
    <x v="1"/>
    <x v="8"/>
    <x v="2097"/>
    <x v="11"/>
  </r>
  <r>
    <x v="1"/>
    <x v="9"/>
    <x v="2098"/>
    <x v="11"/>
  </r>
  <r>
    <x v="1"/>
    <x v="10"/>
    <x v="2099"/>
    <x v="11"/>
  </r>
  <r>
    <x v="1"/>
    <x v="11"/>
    <x v="2100"/>
    <x v="11"/>
  </r>
  <r>
    <x v="1"/>
    <x v="12"/>
    <x v="2101"/>
    <x v="11"/>
  </r>
  <r>
    <x v="1"/>
    <x v="13"/>
    <x v="2102"/>
    <x v="11"/>
  </r>
  <r>
    <x v="1"/>
    <x v="14"/>
    <x v="2103"/>
    <x v="11"/>
  </r>
  <r>
    <x v="1"/>
    <x v="0"/>
    <x v="2104"/>
    <x v="11"/>
  </r>
  <r>
    <x v="1"/>
    <x v="1"/>
    <x v="1940"/>
    <x v="11"/>
  </r>
  <r>
    <x v="1"/>
    <x v="2"/>
    <x v="163"/>
    <x v="11"/>
  </r>
  <r>
    <x v="1"/>
    <x v="3"/>
    <x v="589"/>
    <x v="11"/>
  </r>
  <r>
    <x v="1"/>
    <x v="4"/>
    <x v="61"/>
    <x v="11"/>
  </r>
  <r>
    <x v="1"/>
    <x v="5"/>
    <x v="442"/>
    <x v="11"/>
  </r>
  <r>
    <x v="1"/>
    <x v="6"/>
    <x v="181"/>
    <x v="11"/>
  </r>
  <r>
    <x v="1"/>
    <x v="7"/>
    <x v="394"/>
    <x v="11"/>
  </r>
  <r>
    <x v="1"/>
    <x v="8"/>
    <x v="2105"/>
    <x v="11"/>
  </r>
  <r>
    <x v="1"/>
    <x v="9"/>
    <x v="2106"/>
    <x v="11"/>
  </r>
  <r>
    <x v="1"/>
    <x v="10"/>
    <x v="2107"/>
    <x v="11"/>
  </r>
  <r>
    <x v="1"/>
    <x v="11"/>
    <x v="2108"/>
    <x v="11"/>
  </r>
  <r>
    <x v="1"/>
    <x v="12"/>
    <x v="2109"/>
    <x v="11"/>
  </r>
  <r>
    <x v="1"/>
    <x v="13"/>
    <x v="2110"/>
    <x v="11"/>
  </r>
  <r>
    <x v="1"/>
    <x v="14"/>
    <x v="2111"/>
    <x v="11"/>
  </r>
  <r>
    <x v="1"/>
    <x v="0"/>
    <x v="2112"/>
    <x v="11"/>
  </r>
  <r>
    <x v="1"/>
    <x v="1"/>
    <x v="442"/>
    <x v="11"/>
  </r>
  <r>
    <x v="1"/>
    <x v="2"/>
    <x v="300"/>
    <x v="11"/>
  </r>
  <r>
    <x v="1"/>
    <x v="3"/>
    <x v="2113"/>
    <x v="11"/>
  </r>
  <r>
    <x v="1"/>
    <x v="4"/>
    <x v="1760"/>
    <x v="11"/>
  </r>
  <r>
    <x v="1"/>
    <x v="5"/>
    <x v="491"/>
    <x v="11"/>
  </r>
  <r>
    <x v="1"/>
    <x v="6"/>
    <x v="195"/>
    <x v="11"/>
  </r>
  <r>
    <x v="1"/>
    <x v="7"/>
    <x v="2114"/>
    <x v="11"/>
  </r>
  <r>
    <x v="1"/>
    <x v="8"/>
    <x v="2115"/>
    <x v="11"/>
  </r>
  <r>
    <x v="1"/>
    <x v="9"/>
    <x v="2116"/>
    <x v="11"/>
  </r>
  <r>
    <x v="1"/>
    <x v="10"/>
    <x v="2117"/>
    <x v="11"/>
  </r>
  <r>
    <x v="1"/>
    <x v="11"/>
    <x v="2118"/>
    <x v="11"/>
  </r>
  <r>
    <x v="1"/>
    <x v="12"/>
    <x v="2119"/>
    <x v="11"/>
  </r>
  <r>
    <x v="1"/>
    <x v="13"/>
    <x v="2120"/>
    <x v="11"/>
  </r>
  <r>
    <x v="1"/>
    <x v="14"/>
    <x v="2121"/>
    <x v="11"/>
  </r>
  <r>
    <x v="1"/>
    <x v="0"/>
    <x v="2122"/>
    <x v="11"/>
  </r>
  <r>
    <x v="1"/>
    <x v="1"/>
    <x v="179"/>
    <x v="11"/>
  </r>
  <r>
    <x v="1"/>
    <x v="2"/>
    <x v="191"/>
    <x v="11"/>
  </r>
  <r>
    <x v="1"/>
    <x v="3"/>
    <x v="2075"/>
    <x v="11"/>
  </r>
  <r>
    <x v="1"/>
    <x v="4"/>
    <x v="2123"/>
    <x v="11"/>
  </r>
  <r>
    <x v="1"/>
    <x v="5"/>
    <x v="1778"/>
    <x v="11"/>
  </r>
  <r>
    <x v="1"/>
    <x v="6"/>
    <x v="209"/>
    <x v="11"/>
  </r>
  <r>
    <x v="1"/>
    <x v="7"/>
    <x v="864"/>
    <x v="11"/>
  </r>
  <r>
    <x v="1"/>
    <x v="8"/>
    <x v="865"/>
    <x v="11"/>
  </r>
  <r>
    <x v="1"/>
    <x v="9"/>
    <x v="2124"/>
    <x v="11"/>
  </r>
  <r>
    <x v="1"/>
    <x v="10"/>
    <x v="2125"/>
    <x v="11"/>
  </r>
  <r>
    <x v="1"/>
    <x v="11"/>
    <x v="2126"/>
    <x v="11"/>
  </r>
  <r>
    <x v="1"/>
    <x v="12"/>
    <x v="717"/>
    <x v="11"/>
  </r>
  <r>
    <x v="1"/>
    <x v="13"/>
    <x v="2127"/>
    <x v="11"/>
  </r>
  <r>
    <x v="1"/>
    <x v="14"/>
    <x v="2128"/>
    <x v="11"/>
  </r>
  <r>
    <x v="1"/>
    <x v="0"/>
    <x v="2129"/>
    <x v="11"/>
  </r>
  <r>
    <x v="1"/>
    <x v="1"/>
    <x v="220"/>
    <x v="11"/>
  </r>
  <r>
    <x v="1"/>
    <x v="2"/>
    <x v="2"/>
    <x v="11"/>
  </r>
  <r>
    <x v="1"/>
    <x v="3"/>
    <x v="2130"/>
    <x v="11"/>
  </r>
  <r>
    <x v="1"/>
    <x v="4"/>
    <x v="2131"/>
    <x v="11"/>
  </r>
  <r>
    <x v="1"/>
    <x v="5"/>
    <x v="863"/>
    <x v="11"/>
  </r>
  <r>
    <x v="1"/>
    <x v="6"/>
    <x v="224"/>
    <x v="11"/>
  </r>
  <r>
    <x v="1"/>
    <x v="7"/>
    <x v="2132"/>
    <x v="11"/>
  </r>
  <r>
    <x v="1"/>
    <x v="8"/>
    <x v="2133"/>
    <x v="11"/>
  </r>
  <r>
    <x v="1"/>
    <x v="9"/>
    <x v="2134"/>
    <x v="11"/>
  </r>
  <r>
    <x v="1"/>
    <x v="10"/>
    <x v="2135"/>
    <x v="11"/>
  </r>
  <r>
    <x v="1"/>
    <x v="11"/>
    <x v="2136"/>
    <x v="11"/>
  </r>
  <r>
    <x v="1"/>
    <x v="12"/>
    <x v="2137"/>
    <x v="11"/>
  </r>
  <r>
    <x v="1"/>
    <x v="13"/>
    <x v="2138"/>
    <x v="11"/>
  </r>
  <r>
    <x v="1"/>
    <x v="14"/>
    <x v="2139"/>
    <x v="11"/>
  </r>
  <r>
    <x v="0"/>
    <x v="0"/>
    <x v="2140"/>
    <x v="11"/>
  </r>
  <r>
    <x v="0"/>
    <x v="1"/>
    <x v="781"/>
    <x v="11"/>
  </r>
  <r>
    <x v="0"/>
    <x v="2"/>
    <x v="288"/>
    <x v="11"/>
  </r>
  <r>
    <x v="0"/>
    <x v="3"/>
    <x v="2141"/>
    <x v="11"/>
  </r>
  <r>
    <x v="0"/>
    <x v="4"/>
    <x v="1022"/>
    <x v="11"/>
  </r>
  <r>
    <x v="0"/>
    <x v="5"/>
    <x v="2142"/>
    <x v="11"/>
  </r>
  <r>
    <x v="0"/>
    <x v="6"/>
    <x v="224"/>
    <x v="11"/>
  </r>
  <r>
    <x v="0"/>
    <x v="7"/>
    <x v="2143"/>
    <x v="11"/>
  </r>
  <r>
    <x v="0"/>
    <x v="8"/>
    <x v="2144"/>
    <x v="11"/>
  </r>
  <r>
    <x v="0"/>
    <x v="9"/>
    <x v="2145"/>
    <x v="11"/>
  </r>
  <r>
    <x v="0"/>
    <x v="10"/>
    <x v="2146"/>
    <x v="11"/>
  </r>
  <r>
    <x v="0"/>
    <x v="11"/>
    <x v="2147"/>
    <x v="11"/>
  </r>
  <r>
    <x v="0"/>
    <x v="12"/>
    <x v="2148"/>
    <x v="11"/>
  </r>
  <r>
    <x v="0"/>
    <x v="13"/>
    <x v="2149"/>
    <x v="11"/>
  </r>
  <r>
    <x v="0"/>
    <x v="14"/>
    <x v="2150"/>
    <x v="11"/>
  </r>
  <r>
    <x v="1"/>
    <x v="0"/>
    <x v="2151"/>
    <x v="11"/>
  </r>
  <r>
    <x v="1"/>
    <x v="1"/>
    <x v="238"/>
    <x v="11"/>
  </r>
  <r>
    <x v="1"/>
    <x v="2"/>
    <x v="92"/>
    <x v="11"/>
  </r>
  <r>
    <x v="1"/>
    <x v="3"/>
    <x v="1625"/>
    <x v="11"/>
  </r>
  <r>
    <x v="1"/>
    <x v="4"/>
    <x v="2064"/>
    <x v="11"/>
  </r>
  <r>
    <x v="1"/>
    <x v="5"/>
    <x v="2053"/>
    <x v="11"/>
  </r>
  <r>
    <x v="1"/>
    <x v="6"/>
    <x v="224"/>
    <x v="11"/>
  </r>
  <r>
    <x v="1"/>
    <x v="7"/>
    <x v="2152"/>
    <x v="11"/>
  </r>
  <r>
    <x v="1"/>
    <x v="8"/>
    <x v="2153"/>
    <x v="11"/>
  </r>
  <r>
    <x v="1"/>
    <x v="9"/>
    <x v="2154"/>
    <x v="11"/>
  </r>
  <r>
    <x v="1"/>
    <x v="10"/>
    <x v="2155"/>
    <x v="11"/>
  </r>
  <r>
    <x v="1"/>
    <x v="11"/>
    <x v="2156"/>
    <x v="11"/>
  </r>
  <r>
    <x v="1"/>
    <x v="12"/>
    <x v="2157"/>
    <x v="11"/>
  </r>
  <r>
    <x v="1"/>
    <x v="13"/>
    <x v="2158"/>
    <x v="11"/>
  </r>
  <r>
    <x v="1"/>
    <x v="14"/>
    <x v="2159"/>
    <x v="11"/>
  </r>
  <r>
    <x v="0"/>
    <x v="0"/>
    <x v="2160"/>
    <x v="11"/>
  </r>
  <r>
    <x v="0"/>
    <x v="1"/>
    <x v="223"/>
    <x v="11"/>
  </r>
  <r>
    <x v="0"/>
    <x v="2"/>
    <x v="235"/>
    <x v="11"/>
  </r>
  <r>
    <x v="0"/>
    <x v="3"/>
    <x v="2161"/>
    <x v="11"/>
  </r>
  <r>
    <x v="0"/>
    <x v="4"/>
    <x v="988"/>
    <x v="11"/>
  </r>
  <r>
    <x v="0"/>
    <x v="5"/>
    <x v="177"/>
    <x v="11"/>
  </r>
  <r>
    <x v="0"/>
    <x v="6"/>
    <x v="224"/>
    <x v="11"/>
  </r>
  <r>
    <x v="0"/>
    <x v="7"/>
    <x v="2162"/>
    <x v="11"/>
  </r>
  <r>
    <x v="0"/>
    <x v="8"/>
    <x v="2163"/>
    <x v="11"/>
  </r>
  <r>
    <x v="0"/>
    <x v="9"/>
    <x v="2164"/>
    <x v="11"/>
  </r>
  <r>
    <x v="0"/>
    <x v="10"/>
    <x v="2165"/>
    <x v="11"/>
  </r>
  <r>
    <x v="0"/>
    <x v="11"/>
    <x v="2166"/>
    <x v="11"/>
  </r>
  <r>
    <x v="0"/>
    <x v="12"/>
    <x v="2167"/>
    <x v="11"/>
  </r>
  <r>
    <x v="0"/>
    <x v="13"/>
    <x v="2168"/>
    <x v="11"/>
  </r>
  <r>
    <x v="0"/>
    <x v="14"/>
    <x v="216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1" updatedVersion="5" minRefreshableVersion="3" createdVersion="5" useAutoFormatting="1" rowGrandTotals="0" colGrandTotals="0" compact="0" indent="0" outline="1" compactData="0" outlineData="1" showDrill="1" multipleFieldFilters="0">
  <location ref="A6:F23" firstHeaderRow="1" firstDataRow="2" firstDataCol="1" rowPageCount="1" colPageCount="1"/>
  <pivotFields count="4">
    <pivotField axis="axisRow" name="姓名" compact="0" showAll="0">
      <items count="17">
        <item x="0"/>
        <item x="1"/>
        <item x="7"/>
        <item x="8"/>
        <item x="2"/>
        <item x="3"/>
        <item x="9"/>
        <item x="4"/>
        <item x="10"/>
        <item x="5"/>
        <item x="11"/>
        <item x="12"/>
        <item x="13"/>
        <item x="14"/>
        <item x="15"/>
        <item x="6"/>
        <item t="default"/>
      </items>
    </pivotField>
    <pivotField axis="axisCol" name="员工福利" compact="0" multipleItemSelectionAllowed="1" showAll="0">
      <items count="18">
        <item h="1" x="13"/>
        <item h="1" x="5"/>
        <item h="1" x="3"/>
        <item h="1" x="4"/>
        <item h="1" x="1"/>
        <item h="1" x="2"/>
        <item h="1" x="7"/>
        <item h="1" x="8"/>
        <item h="1" x="16"/>
        <item h="1" x="0"/>
        <item x="9"/>
        <item x="6"/>
        <item x="10"/>
        <item x="11"/>
        <item x="12"/>
        <item h="1" x="14"/>
        <item h="1" x="15"/>
        <item t="default"/>
      </items>
    </pivotField>
    <pivotField dataField="1" compact="0" showAll="0">
      <items count="2175">
        <item x="114"/>
        <item x="39"/>
        <item x="84"/>
        <item x="1845"/>
        <item x="2000"/>
        <item x="1263"/>
        <item x="800"/>
        <item x="537"/>
        <item x="1949"/>
        <item x="1274"/>
        <item x="1879"/>
        <item x="1775"/>
        <item x="631"/>
        <item x="1416"/>
        <item x="2138"/>
        <item x="710"/>
        <item x="1316"/>
        <item x="159"/>
        <item x="1868"/>
        <item x="1603"/>
        <item x="257"/>
        <item x="87"/>
        <item x="904"/>
        <item x="620"/>
        <item x="1632"/>
        <item x="788"/>
        <item x="1098"/>
        <item x="1306"/>
        <item x="1767"/>
        <item x="1990"/>
        <item x="846"/>
        <item x="1734"/>
        <item x="411"/>
        <item x="1892"/>
        <item x="1054"/>
        <item x="524"/>
        <item x="1220"/>
        <item x="2029"/>
        <item x="1553"/>
        <item x="1834"/>
        <item x="2061"/>
        <item x="11"/>
        <item x="1285"/>
        <item x="836"/>
        <item x="1814"/>
        <item x="1804"/>
        <item x="1654"/>
        <item x="297"/>
        <item x="880"/>
        <item x="1077"/>
        <item x="1339"/>
        <item x="655"/>
        <item x="373"/>
        <item x="1396"/>
        <item x="1132"/>
        <item x="1197"/>
        <item x="1120"/>
        <item x="1755"/>
        <item x="1495"/>
        <item x="1252"/>
        <item x="132"/>
        <item x="436"/>
        <item x="1714"/>
        <item x="1383"/>
        <item x="548"/>
        <item x="117"/>
        <item x="2128"/>
        <item x="1176"/>
        <item x="937"/>
        <item x="586"/>
        <item x="2039"/>
        <item x="1532"/>
        <item x="386"/>
        <item x="462"/>
        <item x="2102"/>
        <item x="2168"/>
        <item x="171"/>
        <item x="1785"/>
        <item x="812"/>
        <item x="57"/>
        <item x="960"/>
        <item x="309"/>
        <item x="1824"/>
        <item x="1856"/>
        <item x="335"/>
        <item x="244"/>
        <item x="423"/>
        <item x="449"/>
        <item x="145"/>
        <item x="2110"/>
        <item x="973"/>
        <item x="1978"/>
        <item x="1020"/>
        <item x="700"/>
        <item x="1449"/>
        <item x="689"/>
        <item x="487"/>
        <item x="1903"/>
        <item x="1583"/>
        <item x="348"/>
        <item x="1360"/>
        <item x="596"/>
        <item x="511"/>
        <item x="361"/>
        <item x="2050"/>
        <item x="2149"/>
        <item x="1242"/>
        <item x="1188"/>
        <item x="1407"/>
        <item x="188"/>
        <item x="574"/>
        <item x="1563"/>
        <item x="2091"/>
        <item x="284"/>
        <item x="1087"/>
        <item x="1644"/>
        <item x="2019"/>
        <item x="667"/>
        <item x="1674"/>
        <item x="985"/>
        <item x="893"/>
        <item x="1351"/>
        <item x="2120"/>
        <item x="859"/>
        <item x="270"/>
        <item x="167"/>
        <item x="1461"/>
        <item x="766"/>
        <item x="1613"/>
        <item x="1007"/>
        <item x="1543"/>
        <item x="2158"/>
        <item x="72"/>
        <item x="322"/>
        <item x="42"/>
        <item x="1684"/>
        <item x="26"/>
        <item x="1426"/>
        <item x="1622"/>
        <item x="156"/>
        <item x="1967"/>
        <item x="927"/>
        <item x="2010"/>
        <item x="916"/>
        <item x="1514"/>
        <item x="1794"/>
        <item x="475"/>
        <item x="1110"/>
        <item x="1065"/>
        <item x="1438"/>
        <item x="1665"/>
        <item x="870"/>
        <item x="1030"/>
        <item x="1296"/>
        <item x="231"/>
        <item x="101"/>
        <item x="69"/>
        <item x="753"/>
        <item x="174"/>
        <item x="1042"/>
        <item x="498"/>
        <item x="1933"/>
        <item x="609"/>
        <item x="949"/>
        <item x="129"/>
        <item x="643"/>
        <item x="1164"/>
        <item x="1208"/>
        <item x="824"/>
        <item x="2072"/>
        <item x="729"/>
        <item x="202"/>
        <item x="1231"/>
        <item x="1153"/>
        <item x="375"/>
        <item x="1914"/>
        <item x="1594"/>
        <item x="1694"/>
        <item x="778"/>
        <item x="216"/>
        <item x="742"/>
        <item x="1585"/>
        <item x="161"/>
        <item x="2122"/>
        <item x="1705"/>
        <item x="1484"/>
        <item x="388"/>
        <item x="4"/>
        <item x="1523"/>
        <item x="848"/>
        <item x="561"/>
        <item x="54"/>
        <item x="13"/>
        <item x="1418"/>
        <item x="929"/>
        <item x="1555"/>
        <item x="1190"/>
        <item x="861"/>
        <item x="761"/>
        <item x="28"/>
        <item x="1451"/>
        <item x="918"/>
        <item x="1969"/>
        <item x="882"/>
        <item x="1254"/>
        <item x="142"/>
        <item x="185"/>
        <item x="134"/>
        <item x="531"/>
        <item x="23"/>
        <item x="1926"/>
        <item x="1958"/>
        <item x="731"/>
        <item x="1308"/>
        <item x="1145"/>
        <item x="228"/>
        <item x="1210"/>
        <item x="1166"/>
        <item x="239"/>
        <item x="1233"/>
        <item x="2074"/>
        <item x="1726"/>
        <item x="1545"/>
        <item x="204"/>
        <item x="1398"/>
        <item x="2112"/>
        <item x="8"/>
        <item x="1847"/>
        <item x="1362"/>
        <item x="1916"/>
        <item x="1089"/>
        <item x="233"/>
        <item x="213"/>
        <item x="1846"/>
        <item x="299"/>
        <item x="19"/>
        <item x="1264"/>
        <item x="802"/>
        <item x="1056"/>
        <item x="526"/>
        <item x="258"/>
        <item x="1776"/>
        <item x="632"/>
        <item x="246"/>
        <item x="1696"/>
        <item x="1757"/>
        <item x="278"/>
        <item x="1022"/>
        <item x="218"/>
        <item x="1869"/>
        <item x="538"/>
        <item x="550"/>
        <item x="2001"/>
        <item x="1134"/>
        <item x="1716"/>
        <item x="1745"/>
        <item x="1099"/>
        <item x="399"/>
        <item x="1736"/>
        <item x="2083"/>
        <item x="1904"/>
        <item x="513"/>
        <item x="98"/>
        <item x="413"/>
        <item x="1353"/>
        <item x="789"/>
        <item x="1880"/>
        <item x="2030"/>
        <item x="88"/>
        <item x="938"/>
        <item x="711"/>
        <item x="374"/>
        <item x="1221"/>
        <item x="801"/>
        <item x="1554"/>
        <item x="2103"/>
        <item x="656"/>
        <item x="847"/>
        <item x="1222"/>
        <item x="2002"/>
        <item x="1417"/>
        <item x="1735"/>
        <item x="1725"/>
        <item x="12"/>
        <item x="1991"/>
        <item x="1633"/>
        <item x="651"/>
        <item x="837"/>
        <item x="1893"/>
        <item x="1275"/>
        <item x="549"/>
        <item x="679"/>
        <item x="160"/>
        <item x="387"/>
        <item x="272"/>
        <item x="336"/>
        <item x="2169"/>
        <item x="525"/>
        <item x="588"/>
        <item x="881"/>
        <item x="1604"/>
        <item x="905"/>
        <item x="1397"/>
        <item x="1307"/>
        <item x="680"/>
        <item x="975"/>
        <item x="2139"/>
        <item x="906"/>
        <item x="1805"/>
        <item x="1253"/>
        <item x="1496"/>
        <item x="1078"/>
        <item x="1825"/>
        <item x="1317"/>
        <item x="961"/>
        <item x="1340"/>
        <item x="1372"/>
        <item x="1806"/>
        <item x="1584"/>
        <item x="621"/>
        <item x="330"/>
        <item x="1835"/>
        <item x="1198"/>
        <item x="1286"/>
        <item x="1655"/>
        <item x="2062"/>
        <item x="1428"/>
        <item x="974"/>
        <item x="1055"/>
        <item x="1122"/>
        <item x="1815"/>
        <item x="813"/>
        <item x="298"/>
        <item x="1189"/>
        <item x="575"/>
        <item x="587"/>
        <item x="463"/>
        <item x="1715"/>
        <item x="1544"/>
        <item x="310"/>
        <item x="1979"/>
        <item x="285"/>
        <item x="324"/>
        <item x="2040"/>
        <item x="412"/>
        <item x="1573"/>
        <item x="1516"/>
        <item x="1121"/>
        <item x="450"/>
        <item x="1675"/>
        <item x="1533"/>
        <item x="894"/>
        <item x="73"/>
        <item x="1133"/>
        <item x="1384"/>
        <item x="928"/>
        <item x="1144"/>
        <item x="1100"/>
        <item x="118"/>
        <item x="58"/>
        <item x="1473"/>
        <item x="133"/>
        <item x="1450"/>
        <item x="380"/>
        <item x="245"/>
        <item x="1756"/>
        <item x="1623"/>
        <item x="1925"/>
        <item x="790"/>
        <item x="1327"/>
        <item x="701"/>
        <item x="2020"/>
        <item x="488"/>
        <item x="719"/>
        <item x="1044"/>
        <item x="1066"/>
        <item x="917"/>
        <item x="962"/>
        <item x="424"/>
        <item x="996"/>
        <item x="349"/>
        <item x="1857"/>
        <item x="1504"/>
        <item x="437"/>
        <item x="1957"/>
        <item x="2121"/>
        <item x="512"/>
        <item x="860"/>
        <item x="2150"/>
        <item x="1243"/>
        <item x="1111"/>
        <item x="362"/>
        <item x="1439"/>
        <item x="27"/>
        <item x="425"/>
        <item x="146"/>
        <item x="476"/>
        <item x="2140"/>
        <item x="2111"/>
        <item x="1112"/>
        <item x="80"/>
        <item x="871"/>
        <item x="2129"/>
        <item x="1021"/>
        <item x="1177"/>
        <item x="597"/>
        <item x="2159"/>
        <item x="2011"/>
        <item x="1564"/>
        <item x="1645"/>
        <item x="1209"/>
        <item x="1565"/>
        <item x="2063"/>
        <item x="2051"/>
        <item x="2092"/>
        <item x="1667"/>
        <item x="102"/>
        <item x="1361"/>
        <item x="1427"/>
        <item x="271"/>
        <item x="1031"/>
        <item x="1232"/>
        <item x="232"/>
        <item x="754"/>
        <item x="668"/>
        <item x="1088"/>
        <item x="1043"/>
        <item x="1165"/>
        <item x="43"/>
        <item x="1605"/>
        <item x="1968"/>
        <item x="1328"/>
        <item x="1008"/>
        <item x="730"/>
        <item x="1154"/>
        <item x="189"/>
        <item x="1595"/>
        <item x="175"/>
        <item x="1341"/>
        <item x="950"/>
        <item x="825"/>
        <item x="644"/>
        <item x="736"/>
        <item x="203"/>
        <item x="1515"/>
        <item x="74"/>
        <item x="1352"/>
        <item x="1666"/>
        <item x="1695"/>
        <item x="1744"/>
        <item x="2073"/>
        <item x="1462"/>
        <item x="499"/>
        <item x="217"/>
        <item x="986"/>
        <item x="895"/>
        <item x="610"/>
        <item x="489"/>
        <item x="1768"/>
        <item x="838"/>
        <item x="669"/>
        <item x="645"/>
        <item x="2082"/>
        <item x="199"/>
        <item x="1485"/>
        <item x="195"/>
        <item x="323"/>
        <item x="779"/>
        <item x="89"/>
        <item x="363"/>
        <item x="1836"/>
        <item x="1870"/>
        <item x="562"/>
        <item x="1178"/>
        <item x="125"/>
        <item x="154"/>
        <item x="743"/>
        <item x="103"/>
        <item x="1816"/>
        <item x="2127"/>
        <item x="438"/>
        <item x="1801"/>
        <item x="1524"/>
        <item x="1265"/>
        <item x="316"/>
        <item x="2104"/>
        <item x="889"/>
        <item x="1270"/>
        <item x="1915"/>
        <item x="1676"/>
        <item x="1032"/>
        <item x="405"/>
        <item x="1501"/>
        <item x="35"/>
        <item x="1934"/>
        <item x="226"/>
        <item x="183"/>
        <item x="633"/>
        <item x="997"/>
        <item x="507"/>
        <item x="939"/>
        <item x="843"/>
        <item x="1864"/>
        <item x="211"/>
        <item x="44"/>
        <item x="2012"/>
        <item x="521"/>
        <item x="152"/>
        <item x="176"/>
        <item x="1529"/>
        <item x="382"/>
        <item x="337"/>
        <item x="190"/>
        <item x="628"/>
        <item x="826"/>
        <item x="1318"/>
        <item x="1260"/>
        <item x="980"/>
        <item x="1881"/>
        <item x="445"/>
        <item x="259"/>
        <item x="318"/>
        <item x="253"/>
        <item x="1777"/>
        <item x="369"/>
        <item x="755"/>
        <item x="65"/>
        <item x="2052"/>
        <item x="400"/>
        <item x="951"/>
        <item x="1939"/>
        <item x="1074"/>
        <item x="1380"/>
        <item x="294"/>
        <item x="1791"/>
        <item x="477"/>
        <item x="1014"/>
        <item x="59"/>
        <item x="1579"/>
        <item x="690"/>
        <item x="395"/>
        <item x="1894"/>
        <item x="712"/>
        <item x="292"/>
        <item x="1525"/>
        <item x="539"/>
        <item x="2099"/>
        <item x="1786"/>
        <item x="113"/>
        <item x="576"/>
        <item x="622"/>
        <item x="1614"/>
        <item x="1217"/>
        <item x="1574"/>
        <item x="1842"/>
        <item x="2021"/>
        <item x="67"/>
        <item x="2130"/>
        <item x="304"/>
        <item x="720"/>
        <item x="1534"/>
        <item x="1764"/>
        <item x="872"/>
        <item x="707"/>
        <item x="2151"/>
        <item x="370"/>
        <item x="53"/>
        <item x="1858"/>
        <item x="1155"/>
        <item x="1017"/>
        <item x="1009"/>
        <item x="1049"/>
        <item x="1385"/>
        <item x="969"/>
        <item x="1992"/>
        <item x="1888"/>
        <item x="1474"/>
        <item x="95"/>
        <item x="987"/>
        <item x="1313"/>
        <item x="1287"/>
        <item x="563"/>
        <item x="147"/>
        <item x="1821"/>
        <item x="795"/>
        <item x="767"/>
        <item x="408"/>
        <item x="780"/>
        <item x="1446"/>
        <item x="2041"/>
        <item x="834"/>
        <item x="1067"/>
        <item x="598"/>
        <item x="2046"/>
        <item x="855"/>
        <item x="50"/>
        <item x="1199"/>
        <item x="1685"/>
        <item x="119"/>
        <item x="1634"/>
        <item x="1750"/>
        <item x="1591"/>
        <item x="1505"/>
        <item x="611"/>
        <item x="1795"/>
        <item x="1950"/>
        <item x="662"/>
        <item x="2093"/>
        <item x="37"/>
        <item x="1378"/>
        <item x="109"/>
        <item x="224"/>
        <item x="1909"/>
        <item x="350"/>
        <item x="430"/>
        <item x="744"/>
        <item x="1039"/>
        <item x="1348"/>
        <item x="464"/>
        <item x="1051"/>
        <item x="1463"/>
        <item x="372"/>
        <item x="280"/>
        <item x="1116"/>
        <item x="286"/>
        <item x="1002"/>
        <item x="1826"/>
        <item x="1656"/>
        <item x="110"/>
        <item x="158"/>
        <item x="1276"/>
        <item x="1582"/>
        <item x="1922"/>
        <item x="545"/>
        <item x="845"/>
        <item x="385"/>
        <item x="1079"/>
        <item x="124"/>
        <item x="533"/>
        <item x="500"/>
        <item x="1415"/>
        <item x="1552"/>
        <item x="1456"/>
        <item x="181"/>
        <item x="520"/>
        <item x="2119"/>
        <item x="2031"/>
        <item x="10"/>
        <item x="311"/>
        <item x="2057"/>
        <item x="1095"/>
        <item x="926"/>
        <item x="1205"/>
        <item x="858"/>
        <item x="879"/>
        <item x="291"/>
        <item x="1187"/>
        <item x="2160"/>
        <item x="1448"/>
        <item x="915"/>
        <item x="1281"/>
        <item x="2146"/>
        <item x="25"/>
        <item x="451"/>
        <item x="1346"/>
        <item x="1624"/>
        <item x="1646"/>
        <item x="264"/>
        <item x="657"/>
        <item x="1445"/>
        <item x="1966"/>
        <item x="131"/>
        <item x="1944"/>
        <item x="484"/>
        <item x="1305"/>
        <item x="1404"/>
        <item x="1924"/>
        <item x="241"/>
        <item x="1435"/>
        <item x="1207"/>
        <item x="702"/>
        <item x="728"/>
        <item x="34"/>
        <item x="1946"/>
        <item x="1986"/>
        <item x="1143"/>
        <item x="49"/>
        <item x="814"/>
        <item x="355"/>
        <item x="1724"/>
        <item x="1596"/>
        <item x="1230"/>
        <item x="1141"/>
        <item x="1408"/>
        <item x="198"/>
        <item x="1956"/>
        <item x="605"/>
        <item x="1163"/>
        <item x="2170"/>
        <item x="1542"/>
        <item x="238"/>
        <item x="1395"/>
        <item x="82"/>
        <item x="1844"/>
        <item x="7"/>
        <item x="2071"/>
        <item x="1980"/>
        <item x="505"/>
        <item x="867"/>
        <item x="2109"/>
        <item x="1086"/>
        <item x="1481"/>
        <item x="583"/>
        <item x="1853"/>
        <item x="1244"/>
        <item x="1373"/>
        <item x="1865"/>
        <item x="1359"/>
        <item x="296"/>
        <item x="1987"/>
        <item x="230"/>
        <item x="1053"/>
        <item x="201"/>
        <item x="833"/>
        <item x="799"/>
        <item x="1913"/>
        <item x="1875"/>
        <item x="1297"/>
        <item x="695"/>
        <item x="523"/>
        <item x="1754"/>
        <item x="482"/>
        <item x="547"/>
        <item x="243"/>
        <item x="982"/>
        <item x="1019"/>
        <item x="1693"/>
        <item x="581"/>
        <item x="1733"/>
        <item x="1131"/>
        <item x="1440"/>
        <item x="6"/>
        <item x="924"/>
        <item x="1713"/>
        <item x="1902"/>
        <item x="215"/>
        <item x="510"/>
        <item x="1003"/>
        <item x="396"/>
        <item x="1492"/>
        <item x="2081"/>
        <item x="1486"/>
        <item x="1706"/>
        <item x="1129"/>
        <item x="1975"/>
        <item x="1743"/>
        <item x="1350"/>
        <item x="797"/>
        <item x="1219"/>
        <item x="1999"/>
        <item x="344"/>
        <item x="903"/>
        <item x="97"/>
        <item x="269"/>
        <item x="410"/>
        <item x="585"/>
        <item x="456"/>
        <item x="1392"/>
        <item x="678"/>
        <item x="750"/>
        <item x="267"/>
        <item x="1494"/>
        <item x="418"/>
        <item x="79"/>
        <item x="913"/>
        <item x="1185"/>
        <item x="1119"/>
        <item x="1803"/>
        <item x="254"/>
        <item x="685"/>
        <item x="1886"/>
        <item x="342"/>
        <item x="972"/>
        <item x="1097"/>
        <item x="371"/>
        <item x="141"/>
        <item x="128"/>
        <item x="1425"/>
        <item x="629"/>
        <item x="1322"/>
        <item x="443"/>
        <item x="640"/>
        <item x="1513"/>
        <item x="157"/>
        <item x="1335"/>
        <item x="959"/>
        <item x="321"/>
        <item x="1581"/>
        <item x="306"/>
        <item x="1041"/>
        <item x="432"/>
        <item x="1811"/>
        <item x="1510"/>
        <item x="844"/>
        <item x="384"/>
        <item x="2060"/>
        <item x="787"/>
        <item x="603"/>
        <item x="2137"/>
        <item x="1139"/>
        <item x="1109"/>
        <item x="1562"/>
        <item x="422"/>
        <item x="1639"/>
        <item x="1540"/>
        <item x="1602"/>
        <item x="1414"/>
        <item x="1551"/>
        <item x="2135"/>
        <item x="1664"/>
        <item x="71"/>
        <item x="1128"/>
        <item x="2118"/>
        <item x="1338"/>
        <item x="1172"/>
        <item x="9"/>
        <item x="197"/>
        <item x="992"/>
        <item x="925"/>
        <item x="1766"/>
        <item x="666"/>
        <item x="857"/>
        <item x="878"/>
        <item x="486"/>
        <item x="853"/>
        <item x="86"/>
        <item x="1326"/>
        <item x="835"/>
        <item x="1186"/>
        <item x="459"/>
        <item x="1447"/>
        <item x="1876"/>
        <item x="914"/>
        <item x="331"/>
        <item x="1867"/>
        <item x="892"/>
        <item x="24"/>
        <item x="68"/>
        <item x="642"/>
        <item x="1262"/>
        <item x="155"/>
        <item x="360"/>
        <item x="383"/>
        <item x="1833"/>
        <item x="1889"/>
        <item x="1965"/>
        <item x="1107"/>
        <item x="130"/>
        <item x="518"/>
        <item x="1106"/>
        <item x="1762"/>
        <item x="2101"/>
        <item x="1390"/>
        <item x="1175"/>
        <item x="1304"/>
        <item x="1813"/>
        <item x="1923"/>
        <item x="435"/>
        <item x="809"/>
        <item x="1251"/>
        <item x="1029"/>
        <item x="1206"/>
        <item x="727"/>
        <item x="1899"/>
        <item x="100"/>
        <item x="785"/>
        <item x="1673"/>
        <item x="18"/>
        <item x="1142"/>
        <item x="936"/>
        <item x="169"/>
        <item x="775"/>
        <item x="774"/>
        <item x="995"/>
        <item x="1723"/>
        <item x="41"/>
        <item x="212"/>
        <item x="334"/>
        <item x="1229"/>
        <item x="831"/>
        <item x="1955"/>
        <item x="1162"/>
        <item x="1333"/>
        <item x="173"/>
        <item x="2009"/>
        <item x="1774"/>
        <item x="1541"/>
        <item x="571"/>
        <item x="1315"/>
        <item x="1878"/>
        <item x="256"/>
        <item x="3"/>
        <item x="1394"/>
        <item x="1843"/>
        <item x="1071"/>
        <item x="187"/>
        <item x="2070"/>
        <item x="934"/>
        <item x="166"/>
        <item x="823"/>
        <item x="1228"/>
        <item x="398"/>
        <item x="1491"/>
        <item x="752"/>
        <item x="1085"/>
        <item x="1336"/>
        <item x="2049"/>
        <item x="446"/>
        <item x="536"/>
        <item x="948"/>
        <item x="474"/>
        <item x="1722"/>
        <item x="570"/>
        <item x="1891"/>
        <item x="56"/>
        <item x="1026"/>
        <item x="688"/>
        <item x="1358"/>
        <item x="295"/>
        <item x="140"/>
        <item x="229"/>
        <item x="1052"/>
        <item x="200"/>
        <item x="573"/>
        <item x="1550"/>
        <item x="1784"/>
        <item x="1572"/>
        <item x="709"/>
        <item x="558"/>
        <item x="1612"/>
        <item x="1215"/>
        <item x="798"/>
        <item x="534"/>
        <item x="1912"/>
        <item x="718"/>
        <item x="619"/>
        <item x="433"/>
        <item x="1522"/>
        <item x="2018"/>
        <item x="617"/>
        <item x="83"/>
        <item x="970"/>
        <item x="522"/>
        <item x="1282"/>
        <item x="1753"/>
        <item x="869"/>
        <item x="1382"/>
        <item x="1531"/>
        <item x="546"/>
        <item x="2148"/>
        <item x="242"/>
        <item x="1458"/>
        <item x="1855"/>
        <item x="1018"/>
        <item x="357"/>
        <item x="1692"/>
        <item x="1732"/>
        <item x="1472"/>
        <item x="1130"/>
        <item x="1985"/>
        <item x="1989"/>
        <item x="1393"/>
        <item x="1284"/>
        <item x="1712"/>
        <item x="1006"/>
        <item x="1901"/>
        <item x="1369"/>
        <item x="765"/>
        <item x="471"/>
        <item x="144"/>
        <item x="214"/>
        <item x="509"/>
        <item x="1064"/>
        <item x="1580"/>
        <item x="116"/>
        <item x="2038"/>
        <item x="984"/>
        <item x="560"/>
        <item x="1249"/>
        <item x="1964"/>
        <item x="1631"/>
        <item x="1152"/>
        <item x="2080"/>
        <item x="777"/>
        <item x="595"/>
        <item x="1196"/>
        <item x="748"/>
        <item x="1742"/>
        <item x="819"/>
        <item x="1948"/>
        <item x="1349"/>
        <item x="1469"/>
        <item x="1218"/>
        <item x="1037"/>
        <item x="1998"/>
        <item x="946"/>
        <item x="1683"/>
        <item x="469"/>
        <item x="2090"/>
        <item x="902"/>
        <item x="957"/>
        <item x="458"/>
        <item x="268"/>
        <item x="409"/>
        <item x="347"/>
        <item x="1641"/>
        <item x="584"/>
        <item x="52"/>
        <item x="1503"/>
        <item x="112"/>
        <item x="38"/>
        <item x="677"/>
        <item x="461"/>
        <item x="697"/>
        <item x="608"/>
        <item x="1900"/>
        <item x="283"/>
        <item x="1273"/>
        <item x="741"/>
        <item x="1493"/>
        <item x="1004"/>
        <item x="1460"/>
        <item x="1823"/>
        <item x="650"/>
        <item x="807"/>
        <item x="393"/>
        <item x="1239"/>
        <item x="1118"/>
        <item x="358"/>
        <item x="1802"/>
        <item x="967"/>
        <item x="170"/>
        <item x="2028"/>
        <item x="763"/>
        <item x="1653"/>
        <item x="277"/>
        <item x="1076"/>
        <item x="497"/>
        <item x="971"/>
        <item x="1096"/>
        <item x="308"/>
        <item x="332"/>
        <item x="1782"/>
        <item x="1424"/>
        <item x="1911"/>
        <item x="2068"/>
        <item x="821"/>
        <item x="420"/>
        <item x="1621"/>
        <item x="1512"/>
        <item x="2157"/>
        <item x="1324"/>
        <item x="958"/>
        <item x="654"/>
        <item x="686"/>
        <item x="320"/>
        <item x="1040"/>
        <item x="448"/>
        <item x="1094"/>
        <item x="1643"/>
        <item x="1016"/>
        <item x="699"/>
        <item x="1105"/>
        <item x="2059"/>
        <item x="786"/>
        <item x="407"/>
        <item x="2136"/>
        <item x="664"/>
        <item x="1470"/>
        <item x="772"/>
        <item x="1108"/>
        <item x="1561"/>
        <item x="421"/>
        <item x="639"/>
        <item x="1406"/>
        <item x="1932"/>
        <item x="811"/>
        <item x="1601"/>
        <item x="1183"/>
        <item x="1433"/>
        <item x="1593"/>
        <item x="2167"/>
        <item x="94"/>
        <item x="890"/>
        <item x="1663"/>
        <item x="1084"/>
        <item x="70"/>
        <item x="1977"/>
        <item x="1690"/>
        <item x="1241"/>
        <item x="1337"/>
        <item x="508"/>
        <item x="1371"/>
        <item x="266"/>
        <item x="1073"/>
        <item x="223"/>
        <item x="1765"/>
        <item x="665"/>
        <item x="856"/>
        <item x="485"/>
        <item x="85"/>
        <item x="1325"/>
        <item x="329"/>
        <item x="568"/>
        <item x="2069"/>
        <item x="64"/>
        <item x="1295"/>
        <item x="1866"/>
        <item x="1293"/>
        <item x="891"/>
        <item x="1437"/>
        <item x="495"/>
        <item x="760"/>
        <item x="641"/>
        <item x="1261"/>
        <item x="1752"/>
        <item x="866"/>
        <item x="359"/>
        <item x="281"/>
        <item x="1832"/>
        <item x="1793"/>
        <item x="887"/>
        <item x="901"/>
        <item x="1704"/>
        <item x="345"/>
        <item x="1479"/>
        <item x="1483"/>
        <item x="2100"/>
        <item x="1303"/>
        <item x="1174"/>
        <item x="184"/>
        <item x="1812"/>
        <item x="1662"/>
        <item x="434"/>
        <item x="738"/>
        <item x="1028"/>
        <item x="22"/>
        <item x="1173"/>
        <item x="99"/>
        <item x="1672"/>
        <item x="911"/>
        <item x="630"/>
        <item x="606"/>
        <item x="935"/>
        <item x="1160"/>
        <item x="945"/>
        <item x="994"/>
        <item x="40"/>
        <item x="1367"/>
        <item x="333"/>
        <item x="674"/>
        <item x="739"/>
        <item x="1227"/>
        <item x="676"/>
        <item x="1061"/>
        <item x="472"/>
        <item x="172"/>
        <item x="2008"/>
        <item x="2007"/>
        <item x="1773"/>
        <item x="1314"/>
        <item x="1877"/>
        <item x="1701"/>
        <item x="255"/>
        <item x="726"/>
        <item x="186"/>
        <item x="1150"/>
        <item x="555"/>
        <item x="822"/>
        <item x="557"/>
        <item x="21"/>
        <item x="397"/>
        <item x="751"/>
        <item x="127"/>
        <item x="227"/>
        <item x="2048"/>
        <item x="251"/>
        <item x="535"/>
        <item x="947"/>
        <item x="473"/>
        <item x="209"/>
        <item x="319"/>
        <item x="1890"/>
        <item x="55"/>
        <item x="687"/>
        <item x="572"/>
        <item x="1783"/>
        <item x="1571"/>
        <item x="708"/>
        <item x="1611"/>
        <item x="717"/>
        <item x="618"/>
        <item x="1521"/>
        <item x="2017"/>
        <item x="652"/>
        <item x="868"/>
        <item x="1381"/>
        <item x="1530"/>
        <item x="2147"/>
        <item x="1854"/>
        <item x="1471"/>
        <item x="1988"/>
        <item x="1841"/>
        <item x="1283"/>
        <item x="1005"/>
        <item x="764"/>
        <item x="143"/>
        <item x="1063"/>
        <item x="115"/>
        <item x="2037"/>
        <item x="983"/>
        <item x="559"/>
        <item x="1630"/>
        <item x="2026"/>
        <item x="1151"/>
        <item x="776"/>
        <item x="594"/>
        <item x="1195"/>
        <item x="1947"/>
        <item x="1682"/>
        <item x="2089"/>
        <item x="346"/>
        <item x="1502"/>
        <item x="460"/>
        <item x="607"/>
        <item x="282"/>
        <item x="1272"/>
        <item x="740"/>
        <item x="1459"/>
        <item x="1822"/>
        <item x="1271"/>
        <item x="2027"/>
        <item x="1652"/>
        <item x="1075"/>
        <item x="496"/>
        <item x="307"/>
        <item x="1721"/>
        <item x="1620"/>
        <item x="2156"/>
        <item x="653"/>
        <item x="447"/>
        <item x="2098"/>
        <item x="1642"/>
        <item x="1863"/>
        <item x="698"/>
        <item x="532"/>
        <item x="1731"/>
        <item x="1874"/>
        <item x="1405"/>
        <item x="810"/>
        <item x="1651"/>
        <item x="1592"/>
        <item x="2166"/>
        <item x="81"/>
        <item x="1323"/>
        <item x="1976"/>
        <item x="1945"/>
        <item x="1240"/>
        <item x="627"/>
        <item x="1370"/>
        <item x="675"/>
        <item x="1772"/>
        <item x="1294"/>
        <item x="457"/>
        <item x="1436"/>
        <item x="716"/>
        <item x="877"/>
        <item x="706"/>
        <item x="1703"/>
        <item x="252"/>
        <item x="1482"/>
        <item x="923"/>
        <item x="1974"/>
        <item x="1259"/>
        <item x="1302"/>
        <item x="569"/>
        <item x="1391"/>
        <item x="1468"/>
        <item x="305"/>
        <item x="126"/>
        <item x="900"/>
        <item x="616"/>
        <item x="483"/>
        <item x="419"/>
        <item x="1149"/>
        <item x="1810"/>
        <item x="956"/>
        <item x="1250"/>
        <item x="725"/>
        <item x="470"/>
        <item x="406"/>
        <item x="394"/>
        <item x="544"/>
        <item x="1216"/>
        <item x="1072"/>
        <item x="20"/>
        <item x="1997"/>
        <item x="1334"/>
        <item x="1184"/>
        <item x="1368"/>
        <item x="1619"/>
        <item x="1800"/>
        <item x="1661"/>
        <item x="1062"/>
        <item x="1751"/>
        <item x="519"/>
        <item x="968"/>
        <item x="368"/>
        <item x="153"/>
        <item x="1140"/>
        <item x="5"/>
        <item x="2165"/>
        <item x="377"/>
        <item x="2117"/>
        <item x="1921"/>
        <item x="1423"/>
        <item x="832"/>
        <item x="808"/>
        <item x="51"/>
        <item x="912"/>
        <item x="1831"/>
        <item x="163"/>
        <item x="944"/>
        <item x="696"/>
        <item x="279"/>
        <item x="850"/>
        <item x="796"/>
        <item x="390"/>
        <item x="1587"/>
        <item x="2134"/>
        <item x="854"/>
        <item x="1420"/>
        <item x="1557"/>
        <item x="1194"/>
        <item x="1171"/>
        <item x="1539"/>
        <item x="1027"/>
        <item x="15"/>
        <item x="2047"/>
        <item x="111"/>
        <item x="638"/>
        <item x="1763"/>
        <item x="343"/>
        <item x="884"/>
        <item x="1629"/>
        <item x="2124"/>
        <item x="381"/>
        <item x="1887"/>
        <item x="888"/>
        <item x="1292"/>
        <item x="1192"/>
        <item x="356"/>
        <item x="1711"/>
        <item x="931"/>
        <item x="593"/>
        <item x="2145"/>
        <item x="1453"/>
        <item x="1256"/>
        <item x="494"/>
        <item x="863"/>
        <item x="293"/>
        <item x="2036"/>
        <item x="920"/>
        <item x="1310"/>
        <item x="1681"/>
        <item x="1849"/>
        <item x="225"/>
        <item x="762"/>
        <item x="1127"/>
        <item x="30"/>
        <item x="993"/>
        <item x="136"/>
        <item x="663"/>
        <item x="1640"/>
        <item x="139"/>
        <item x="1928"/>
        <item x="66"/>
        <item x="1971"/>
        <item x="1671"/>
        <item x="1728"/>
        <item x="1931"/>
        <item x="2088"/>
        <item x="1147"/>
        <item x="582"/>
        <item x="1038"/>
        <item x="2058"/>
        <item x="1702"/>
        <item x="506"/>
        <item x="1212"/>
        <item x="1400"/>
        <item x="431"/>
        <item x="1960"/>
        <item x="1434"/>
        <item x="733"/>
        <item x="444"/>
        <item x="1547"/>
        <item x="981"/>
        <item x="1050"/>
        <item x="240"/>
        <item x="1235"/>
        <item x="182"/>
        <item x="1168"/>
        <item x="1590"/>
        <item x="804"/>
        <item x="265"/>
        <item x="2114"/>
        <item x="301"/>
        <item x="1117"/>
        <item x="1058"/>
        <item x="2076"/>
        <item x="1963"/>
        <item x="1204"/>
        <item x="1792"/>
        <item x="1091"/>
        <item x="528"/>
        <item x="1379"/>
        <item x="737"/>
        <item x="820"/>
        <item x="1852"/>
        <item x="1364"/>
        <item x="2079"/>
        <item x="552"/>
        <item x="1741"/>
        <item x="235"/>
        <item x="1238"/>
        <item x="206"/>
        <item x="1403"/>
        <item x="1738"/>
        <item x="1759"/>
        <item x="248"/>
        <item x="2004"/>
        <item x="1413"/>
        <item x="1457"/>
        <item x="1136"/>
        <item x="1718"/>
        <item x="1023"/>
        <item x="96"/>
        <item x="1906"/>
        <item x="749"/>
        <item x="1224"/>
        <item x="1511"/>
        <item x="1560"/>
        <item x="1918"/>
        <item x="1610"/>
        <item x="773"/>
        <item x="515"/>
        <item x="1698"/>
        <item x="908"/>
        <item x="415"/>
        <item x="1161"/>
        <item x="604"/>
        <item x="220"/>
        <item x="1347"/>
        <item x="1570"/>
        <item x="682"/>
        <item x="1691"/>
        <item x="556"/>
        <item x="1015"/>
        <item x="1498"/>
        <item x="590"/>
        <item x="1747"/>
        <item x="1355"/>
        <item x="317"/>
        <item x="2085"/>
        <item x="1102"/>
        <item x="1808"/>
        <item x="196"/>
        <item x="274"/>
        <item x="36"/>
        <item x="1124"/>
        <item x="977"/>
        <item x="1910"/>
        <item x="168"/>
        <item x="792"/>
        <item x="210"/>
        <item x="964"/>
        <item x="1480"/>
        <item x="1430"/>
        <item x="2142"/>
        <item x="1520"/>
        <item x="2065"/>
        <item x="1607"/>
        <item x="1518"/>
        <item x="1046"/>
        <item x="427"/>
        <item x="326"/>
        <item x="1114"/>
        <item x="1343"/>
        <item x="1567"/>
        <item x="1770"/>
        <item x="1267"/>
        <item x="91"/>
        <item x="1871"/>
        <item x="76"/>
        <item x="840"/>
        <item x="1330"/>
        <item x="1668"/>
        <item x="491"/>
        <item x="897"/>
        <item x="1838"/>
        <item x="671"/>
        <item x="635"/>
        <item x="2106"/>
        <item x="365"/>
        <item x="1818"/>
        <item x="647"/>
        <item x="941"/>
        <item x="1180"/>
        <item x="440"/>
        <item x="1779"/>
        <item x="261"/>
        <item x="1678"/>
        <item x="105"/>
        <item x="339"/>
        <item x="1883"/>
        <item x="1034"/>
        <item x="999"/>
        <item x="1319"/>
        <item x="402"/>
        <item x="541"/>
        <item x="1936"/>
        <item x="46"/>
        <item x="2014"/>
        <item x="1941"/>
        <item x="178"/>
        <item x="1896"/>
        <item x="713"/>
        <item x="192"/>
        <item x="828"/>
        <item x="2054"/>
        <item x="61"/>
        <item x="757"/>
        <item x="692"/>
        <item x="1788"/>
        <item x="479"/>
        <item x="624"/>
        <item x="578"/>
        <item x="953"/>
        <item x="1576"/>
        <item x="1616"/>
        <item x="722"/>
        <item x="2023"/>
        <item x="1994"/>
        <item x="1536"/>
        <item x="1387"/>
        <item x="2131"/>
        <item x="2153"/>
        <item x="1289"/>
        <item x="1860"/>
        <item x="874"/>
        <item x="1476"/>
        <item x="1636"/>
        <item x="769"/>
        <item x="1952"/>
        <item x="1527"/>
        <item x="2043"/>
        <item x="149"/>
        <item x="1201"/>
        <item x="121"/>
        <item x="1011"/>
        <item x="1068"/>
        <item x="1157"/>
        <item x="989"/>
        <item x="600"/>
        <item x="1278"/>
        <item x="1687"/>
        <item x="782"/>
        <item x="1507"/>
        <item x="565"/>
        <item x="2095"/>
        <item x="352"/>
        <item x="466"/>
        <item x="1828"/>
        <item x="288"/>
        <item x="2033"/>
        <item x="1658"/>
        <item x="1081"/>
        <item x="613"/>
        <item x="1797"/>
        <item x="1465"/>
        <item x="313"/>
        <item x="746"/>
        <item x="659"/>
        <item x="502"/>
        <item x="453"/>
        <item x="1626"/>
        <item x="2162"/>
        <item x="1648"/>
        <item x="704"/>
        <item x="816"/>
        <item x="1410"/>
        <item x="2172"/>
        <item x="1982"/>
        <item x="1375"/>
        <item x="1598"/>
        <item x="1246"/>
        <item x="1299"/>
        <item x="1442"/>
        <item x="1708"/>
        <item x="1488"/>
        <item x="1578"/>
        <item x="910"/>
        <item x="367"/>
        <item x="724"/>
        <item x="1203"/>
        <item x="922"/>
        <item x="379"/>
        <item x="17"/>
        <item x="2116"/>
        <item x="852"/>
        <item x="1962"/>
        <item x="1226"/>
        <item x="1444"/>
        <item x="842"/>
        <item x="1182"/>
        <item x="1159"/>
        <item x="1549"/>
        <item x="2067"/>
        <item x="151"/>
        <item x="876"/>
        <item x="2"/>
        <item x="1908"/>
        <item x="1538"/>
        <item x="123"/>
        <item x="1412"/>
        <item x="194"/>
        <item x="1920"/>
        <item x="1248"/>
        <item x="222"/>
        <item x="1689"/>
        <item x="1138"/>
        <item x="1954"/>
        <item x="1083"/>
        <item x="208"/>
        <item x="1301"/>
        <item x="2078"/>
        <item x="2108"/>
        <item x="1720"/>
        <item x="1389"/>
        <item x="1357"/>
        <item x="290"/>
        <item x="1013"/>
        <item x="1898"/>
        <item x="504"/>
        <item x="1345"/>
        <item x="1749"/>
        <item x="543"/>
        <item x="1048"/>
        <item x="237"/>
        <item x="263"/>
        <item x="1740"/>
        <item x="1126"/>
        <item x="517"/>
        <item x="1710"/>
        <item x="1730"/>
        <item x="378"/>
        <item x="1588"/>
        <item x="1036"/>
        <item x="794"/>
        <item x="164"/>
        <item x="580"/>
        <item x="2125"/>
        <item x="1422"/>
        <item x="673"/>
        <item x="1509"/>
        <item x="391"/>
        <item x="851"/>
        <item x="1490"/>
        <item x="1214"/>
        <item x="315"/>
        <item x="16"/>
        <item x="1421"/>
        <item x="932"/>
        <item x="1558"/>
        <item x="1193"/>
        <item x="864"/>
        <item x="1840"/>
        <item x="899"/>
        <item x="1104"/>
        <item x="966"/>
        <item x="404"/>
        <item x="31"/>
        <item x="1454"/>
        <item x="921"/>
        <item x="1972"/>
        <item x="1660"/>
        <item x="885"/>
        <item x="1257"/>
        <item x="1799"/>
        <item x="1559"/>
        <item x="955"/>
        <item x="137"/>
        <item x="1929"/>
        <item x="1961"/>
        <item x="734"/>
        <item x="1311"/>
        <item x="63"/>
        <item x="1148"/>
        <item x="1213"/>
        <item x="1093"/>
        <item x="1169"/>
        <item x="417"/>
        <item x="637"/>
        <item x="1236"/>
        <item x="2077"/>
        <item x="1729"/>
        <item x="661"/>
        <item x="1548"/>
        <item x="2056"/>
        <item x="1996"/>
        <item x="207"/>
        <item x="1401"/>
        <item x="2115"/>
        <item x="1850"/>
        <item x="1365"/>
        <item x="1919"/>
        <item x="886"/>
        <item x="1025"/>
        <item x="1092"/>
        <item x="236"/>
        <item x="481"/>
        <item x="302"/>
        <item x="93"/>
        <item x="1321"/>
        <item x="805"/>
        <item x="1059"/>
        <item x="1332"/>
        <item x="2133"/>
        <item x="784"/>
        <item x="529"/>
        <item x="1930"/>
        <item x="354"/>
        <item x="249"/>
        <item x="1699"/>
        <item x="165"/>
        <item x="1760"/>
        <item x="830"/>
        <item x="1024"/>
        <item x="221"/>
        <item x="1600"/>
        <item x="1670"/>
        <item x="553"/>
        <item x="1137"/>
        <item x="33"/>
        <item x="1719"/>
        <item x="1748"/>
        <item x="376"/>
        <item x="1739"/>
        <item x="2086"/>
        <item x="1907"/>
        <item x="2097"/>
        <item x="2006"/>
        <item x="516"/>
        <item x="1761"/>
        <item x="416"/>
        <item x="1356"/>
        <item x="1170"/>
        <item x="78"/>
        <item x="943"/>
        <item x="1830"/>
        <item x="818"/>
        <item x="162"/>
        <item x="1586"/>
        <item x="429"/>
        <item x="1225"/>
        <item x="1862"/>
        <item x="2005"/>
        <item x="991"/>
        <item x="2123"/>
        <item x="389"/>
        <item x="468"/>
        <item x="849"/>
        <item x="275"/>
        <item x="591"/>
        <item x="328"/>
        <item x="683"/>
        <item x="978"/>
        <item x="909"/>
        <item x="180"/>
        <item x="1499"/>
        <item x="933"/>
        <item x="1419"/>
        <item x="1809"/>
        <item x="1938"/>
        <item x="14"/>
        <item x="554"/>
        <item x="1556"/>
        <item x="1431"/>
        <item x="1125"/>
        <item x="930"/>
        <item x="1191"/>
        <item x="862"/>
        <item x="327"/>
        <item x="1519"/>
        <item x="883"/>
        <item x="1452"/>
        <item x="1103"/>
        <item x="919"/>
        <item x="29"/>
        <item x="2045"/>
        <item x="1255"/>
        <item x="793"/>
        <item x="1970"/>
        <item x="1047"/>
        <item x="965"/>
        <item x="1258"/>
        <item x="1609"/>
        <item x="771"/>
        <item x="626"/>
        <item x="135"/>
        <item x="865"/>
        <item x="567"/>
        <item x="428"/>
        <item x="2143"/>
        <item x="1115"/>
        <item x="684"/>
        <item x="1568"/>
        <item x="2066"/>
        <item x="2016"/>
        <item x="1309"/>
        <item x="1669"/>
        <item x="1927"/>
        <item x="1959"/>
        <item x="732"/>
        <item x="48"/>
        <item x="1608"/>
        <item x="1331"/>
        <item x="1146"/>
        <item x="1781"/>
        <item x="250"/>
        <item x="1344"/>
        <item x="1211"/>
        <item x="1312"/>
        <item x="1060"/>
        <item x="77"/>
        <item x="1467"/>
        <item x="1727"/>
        <item x="1167"/>
        <item x="1569"/>
        <item x="2144"/>
        <item x="1234"/>
        <item x="715"/>
        <item x="898"/>
        <item x="492"/>
        <item x="759"/>
        <item x="1771"/>
        <item x="2075"/>
        <item x="392"/>
        <item x="1546"/>
        <item x="841"/>
        <item x="672"/>
        <item x="648"/>
        <item x="1848"/>
        <item x="1873"/>
        <item x="1885"/>
        <item x="1399"/>
        <item x="92"/>
        <item x="366"/>
        <item x="1001"/>
        <item x="2113"/>
        <item x="1839"/>
        <item x="1851"/>
        <item x="205"/>
        <item x="735"/>
        <item x="1377"/>
        <item x="979"/>
        <item x="2126"/>
        <item x="1872"/>
        <item x="1181"/>
        <item x="1363"/>
        <item x="530"/>
        <item x="106"/>
        <item x="1819"/>
        <item x="441"/>
        <item x="1090"/>
        <item x="1268"/>
        <item x="234"/>
        <item x="2107"/>
        <item x="300"/>
        <item x="1917"/>
        <item x="592"/>
        <item x="803"/>
        <item x="1679"/>
        <item x="1680"/>
        <item x="615"/>
        <item x="1057"/>
        <item x="1035"/>
        <item x="138"/>
        <item x="602"/>
        <item x="527"/>
        <item x="1937"/>
        <item x="108"/>
        <item x="636"/>
        <item x="1000"/>
        <item x="942"/>
        <item x="1984"/>
        <item x="2035"/>
        <item x="47"/>
        <item x="247"/>
        <item x="2015"/>
        <item x="2087"/>
        <item x="1758"/>
        <item x="1790"/>
        <item x="1280"/>
        <item x="179"/>
        <item x="341"/>
        <item x="551"/>
        <item x="1697"/>
        <item x="493"/>
        <item x="340"/>
        <item x="193"/>
        <item x="829"/>
        <item x="1320"/>
        <item x="219"/>
        <item x="1135"/>
        <item x="1884"/>
        <item x="262"/>
        <item x="1737"/>
        <item x="1717"/>
        <item x="1455"/>
        <item x="1780"/>
        <item x="276"/>
        <item x="758"/>
        <item x="1905"/>
        <item x="2055"/>
        <item x="1746"/>
        <item x="403"/>
        <item x="954"/>
        <item x="1942"/>
        <item x="514"/>
        <item x="1628"/>
        <item x="2084"/>
        <item x="414"/>
        <item x="455"/>
        <item x="480"/>
        <item x="1354"/>
        <item x="1820"/>
        <item x="62"/>
        <item x="693"/>
        <item x="2003"/>
        <item x="1897"/>
        <item x="714"/>
        <item x="1223"/>
        <item x="1528"/>
        <item x="542"/>
        <item x="1789"/>
        <item x="579"/>
        <item x="1618"/>
        <item x="625"/>
        <item x="1617"/>
        <item x="1500"/>
        <item x="1577"/>
        <item x="2024"/>
        <item x="2155"/>
        <item x="589"/>
        <item x="2132"/>
        <item x="907"/>
        <item x="273"/>
        <item x="681"/>
        <item x="723"/>
        <item x="1497"/>
        <item x="1537"/>
        <item x="1589"/>
        <item x="1943"/>
        <item x="303"/>
        <item x="875"/>
        <item x="976"/>
        <item x="2154"/>
        <item x="1807"/>
        <item x="1861"/>
        <item x="1158"/>
        <item x="1638"/>
        <item x="1012"/>
        <item x="1388"/>
        <item x="1123"/>
        <item x="1995"/>
        <item x="1477"/>
        <item x="990"/>
        <item x="1290"/>
        <item x="566"/>
        <item x="1429"/>
        <item x="150"/>
        <item x="2025"/>
        <item x="1070"/>
        <item x="770"/>
        <item x="783"/>
        <item x="1101"/>
        <item x="1650"/>
        <item x="2044"/>
        <item x="1069"/>
        <item x="601"/>
        <item x="694"/>
        <item x="1517"/>
        <item x="1269"/>
        <item x="325"/>
        <item x="1202"/>
        <item x="791"/>
        <item x="1688"/>
        <item x="122"/>
        <item x="1637"/>
        <item x="963"/>
        <item x="1508"/>
        <item x="442"/>
        <item x="614"/>
        <item x="649"/>
        <item x="1798"/>
        <item x="1953"/>
        <item x="1700"/>
        <item x="1045"/>
        <item x="2096"/>
        <item x="1402"/>
        <item x="1478"/>
        <item x="2141"/>
        <item x="353"/>
        <item x="426"/>
        <item x="747"/>
        <item x="806"/>
        <item x="2064"/>
        <item x="1113"/>
        <item x="467"/>
        <item x="1466"/>
        <item x="1237"/>
        <item x="1566"/>
        <item x="1432"/>
        <item x="1291"/>
        <item x="289"/>
        <item x="1829"/>
        <item x="1606"/>
        <item x="1659"/>
        <item x="1973"/>
        <item x="1366"/>
        <item x="2164"/>
        <item x="1279"/>
        <item x="1342"/>
        <item x="1329"/>
        <item x="1082"/>
        <item x="75"/>
        <item x="503"/>
        <item x="1769"/>
        <item x="2034"/>
        <item x="839"/>
        <item x="314"/>
        <item x="896"/>
        <item x="490"/>
        <item x="670"/>
        <item x="2163"/>
        <item x="90"/>
        <item x="646"/>
        <item x="454"/>
        <item x="1627"/>
        <item x="1649"/>
        <item x="660"/>
        <item x="364"/>
        <item x="1837"/>
        <item x="1266"/>
        <item x="705"/>
        <item x="1179"/>
        <item x="1817"/>
        <item x="817"/>
        <item x="2105"/>
        <item x="439"/>
        <item x="104"/>
        <item x="1599"/>
        <item x="1411"/>
        <item x="2173"/>
        <item x="1677"/>
        <item x="634"/>
        <item x="1033"/>
        <item x="1983"/>
        <item x="940"/>
        <item x="1935"/>
        <item x="1247"/>
        <item x="998"/>
        <item x="1376"/>
        <item x="45"/>
        <item x="2013"/>
        <item x="338"/>
        <item x="1300"/>
        <item x="177"/>
        <item x="260"/>
        <item x="1882"/>
        <item x="1778"/>
        <item x="191"/>
        <item x="827"/>
        <item x="1443"/>
        <item x="401"/>
        <item x="756"/>
        <item x="1940"/>
        <item x="1489"/>
        <item x="1709"/>
        <item x="2053"/>
        <item x="952"/>
        <item x="478"/>
        <item x="540"/>
        <item x="60"/>
        <item x="1895"/>
        <item x="691"/>
        <item x="1787"/>
        <item x="577"/>
        <item x="623"/>
        <item x="1615"/>
        <item x="1575"/>
        <item x="1526"/>
        <item x="2022"/>
        <item x="721"/>
        <item x="1535"/>
        <item x="873"/>
        <item x="2152"/>
        <item x="1859"/>
        <item x="1386"/>
        <item x="1993"/>
        <item x="1010"/>
        <item x="1475"/>
        <item x="1156"/>
        <item x="1288"/>
        <item x="148"/>
        <item x="988"/>
        <item x="768"/>
        <item x="564"/>
        <item x="2042"/>
        <item x="781"/>
        <item x="1635"/>
        <item x="599"/>
        <item x="1200"/>
        <item x="120"/>
        <item x="1951"/>
        <item x="1686"/>
        <item x="1506"/>
        <item x="2094"/>
        <item x="612"/>
        <item x="1796"/>
        <item x="351"/>
        <item x="465"/>
        <item x="745"/>
        <item x="1827"/>
        <item x="287"/>
        <item x="1464"/>
        <item x="1277"/>
        <item x="1657"/>
        <item x="1080"/>
        <item x="501"/>
        <item x="2032"/>
        <item x="312"/>
        <item x="2161"/>
        <item x="452"/>
        <item x="658"/>
        <item x="1625"/>
        <item x="1647"/>
        <item x="703"/>
        <item x="815"/>
        <item x="1409"/>
        <item x="2171"/>
        <item x="1597"/>
        <item x="1981"/>
        <item x="1374"/>
        <item x="1245"/>
        <item x="1298"/>
        <item x="1441"/>
        <item x="1487"/>
        <item x="1707"/>
        <item x="1"/>
        <item x="107"/>
        <item x="0"/>
        <item x="32"/>
        <item t="default"/>
      </items>
    </pivotField>
    <pivotField axis="axisPage" compact="0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1"/>
  </colFields>
  <colItems count="5">
    <i>
      <x v="10"/>
    </i>
    <i>
      <x v="11"/>
    </i>
    <i>
      <x v="12"/>
    </i>
    <i>
      <x v="13"/>
    </i>
    <i>
      <x v="14"/>
    </i>
  </colItems>
  <pageFields count="1">
    <pageField fld="3"/>
  </pageFields>
  <dataFields count="1">
    <dataField name="求和项:值" fld="2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1" updatedVersion="5" minRefreshableVersion="3" createdVersion="5" useAutoFormatting="1" compact="0" indent="0" outline="1" compactData="0" outlineData="1" showDrill="1" multipleFieldFilters="0">
  <location ref="H6:J87" firstHeaderRow="1" firstDataRow="1" firstDataCol="2" rowPageCount="1" colPageCount="1"/>
  <pivotFields count="4">
    <pivotField axis="axisRow" name="姓名" compact="0" multipleItemSelectionAllowed="1" showAll="0">
      <items count="17">
        <item h="1" x="0"/>
        <item x="1"/>
        <item h="1" x="7"/>
        <item x="8"/>
        <item h="1" x="2"/>
        <item x="3"/>
        <item h="1" x="9"/>
        <item x="4"/>
        <item h="1" x="10"/>
        <item x="5"/>
        <item h="1" x="11"/>
        <item h="1" x="12"/>
        <item h="1" x="13"/>
        <item h="1" x="14"/>
        <item h="1" x="15"/>
        <item h="1" x="6"/>
        <item t="default"/>
      </items>
    </pivotField>
    <pivotField axis="axisRow" name="项目" compact="0" multipleItemSelectionAllowed="1" showAll="0">
      <items count="18">
        <item x="2"/>
        <item x="3"/>
        <item x="4"/>
        <item x="5"/>
        <item x="7"/>
        <item x="8"/>
        <item x="12"/>
        <item x="10"/>
        <item x="11"/>
        <item x="6"/>
        <item x="9"/>
        <item x="13"/>
        <item x="14"/>
        <item h="1" x="1"/>
        <item x="15"/>
        <item h="1" x="0"/>
        <item x="16"/>
        <item t="default"/>
      </items>
    </pivotField>
    <pivotField dataField="1" compact="0" showAll="0">
      <items count="1183">
        <item x="114"/>
        <item x="39"/>
        <item x="84"/>
        <item x="800"/>
        <item x="537"/>
        <item x="631"/>
        <item x="710"/>
        <item x="159"/>
        <item x="257"/>
        <item x="87"/>
        <item x="904"/>
        <item x="620"/>
        <item x="788"/>
        <item x="1098"/>
        <item x="846"/>
        <item x="411"/>
        <item x="1054"/>
        <item x="524"/>
        <item x="11"/>
        <item x="836"/>
        <item x="297"/>
        <item x="880"/>
        <item x="1077"/>
        <item x="655"/>
        <item x="373"/>
        <item x="1132"/>
        <item x="1120"/>
        <item x="132"/>
        <item x="436"/>
        <item x="548"/>
        <item x="117"/>
        <item x="1176"/>
        <item x="937"/>
        <item x="586"/>
        <item x="386"/>
        <item x="462"/>
        <item x="171"/>
        <item x="812"/>
        <item x="57"/>
        <item x="960"/>
        <item x="309"/>
        <item x="335"/>
        <item x="244"/>
        <item x="423"/>
        <item x="449"/>
        <item x="145"/>
        <item x="973"/>
        <item x="1020"/>
        <item x="700"/>
        <item x="689"/>
        <item x="487"/>
        <item x="348"/>
        <item x="596"/>
        <item x="511"/>
        <item x="361"/>
        <item x="188"/>
        <item x="574"/>
        <item x="284"/>
        <item x="1087"/>
        <item x="667"/>
        <item x="985"/>
        <item x="893"/>
        <item x="859"/>
        <item x="270"/>
        <item x="167"/>
        <item x="766"/>
        <item x="1007"/>
        <item x="72"/>
        <item x="322"/>
        <item x="42"/>
        <item x="26"/>
        <item x="156"/>
        <item x="927"/>
        <item x="916"/>
        <item x="475"/>
        <item x="1110"/>
        <item x="1065"/>
        <item x="870"/>
        <item x="1030"/>
        <item x="231"/>
        <item x="101"/>
        <item x="69"/>
        <item x="753"/>
        <item x="174"/>
        <item x="1042"/>
        <item x="498"/>
        <item x="609"/>
        <item x="949"/>
        <item x="129"/>
        <item x="643"/>
        <item x="1164"/>
        <item x="824"/>
        <item x="729"/>
        <item x="202"/>
        <item x="1153"/>
        <item x="375"/>
        <item x="778"/>
        <item x="216"/>
        <item x="742"/>
        <item x="161"/>
        <item x="388"/>
        <item x="4"/>
        <item x="848"/>
        <item x="561"/>
        <item x="54"/>
        <item x="13"/>
        <item x="929"/>
        <item x="861"/>
        <item x="761"/>
        <item x="28"/>
        <item x="918"/>
        <item x="882"/>
        <item x="142"/>
        <item x="185"/>
        <item x="134"/>
        <item x="531"/>
        <item x="23"/>
        <item x="731"/>
        <item x="1145"/>
        <item x="228"/>
        <item x="1166"/>
        <item x="239"/>
        <item x="204"/>
        <item x="8"/>
        <item x="1089"/>
        <item x="233"/>
        <item x="213"/>
        <item x="299"/>
        <item x="19"/>
        <item x="802"/>
        <item x="1056"/>
        <item x="526"/>
        <item x="258"/>
        <item x="632"/>
        <item x="246"/>
        <item x="278"/>
        <item x="1022"/>
        <item x="218"/>
        <item x="538"/>
        <item x="550"/>
        <item x="1134"/>
        <item x="1099"/>
        <item x="399"/>
        <item x="513"/>
        <item x="98"/>
        <item x="413"/>
        <item x="789"/>
        <item x="88"/>
        <item x="938"/>
        <item x="711"/>
        <item x="374"/>
        <item x="801"/>
        <item x="656"/>
        <item x="847"/>
        <item x="12"/>
        <item x="651"/>
        <item x="837"/>
        <item x="549"/>
        <item x="679"/>
        <item x="160"/>
        <item x="387"/>
        <item x="272"/>
        <item x="336"/>
        <item x="525"/>
        <item x="588"/>
        <item x="881"/>
        <item x="905"/>
        <item x="680"/>
        <item x="975"/>
        <item x="906"/>
        <item x="1078"/>
        <item x="961"/>
        <item x="621"/>
        <item x="330"/>
        <item x="974"/>
        <item x="1055"/>
        <item x="1122"/>
        <item x="813"/>
        <item x="298"/>
        <item x="575"/>
        <item x="587"/>
        <item x="463"/>
        <item x="310"/>
        <item x="285"/>
        <item x="324"/>
        <item x="412"/>
        <item x="1121"/>
        <item x="450"/>
        <item x="894"/>
        <item x="73"/>
        <item x="1133"/>
        <item x="928"/>
        <item x="1144"/>
        <item x="1100"/>
        <item x="118"/>
        <item x="58"/>
        <item x="133"/>
        <item x="380"/>
        <item x="245"/>
        <item x="790"/>
        <item x="701"/>
        <item x="488"/>
        <item x="719"/>
        <item x="1044"/>
        <item x="1066"/>
        <item x="917"/>
        <item x="962"/>
        <item x="424"/>
        <item x="996"/>
        <item x="349"/>
        <item x="437"/>
        <item x="512"/>
        <item x="860"/>
        <item x="1111"/>
        <item x="362"/>
        <item x="27"/>
        <item x="425"/>
        <item x="146"/>
        <item x="476"/>
        <item x="1112"/>
        <item x="80"/>
        <item x="871"/>
        <item x="1021"/>
        <item x="1177"/>
        <item x="597"/>
        <item x="102"/>
        <item x="271"/>
        <item x="1031"/>
        <item x="232"/>
        <item x="754"/>
        <item x="668"/>
        <item x="1088"/>
        <item x="1043"/>
        <item x="1165"/>
        <item x="43"/>
        <item x="1008"/>
        <item x="730"/>
        <item x="1154"/>
        <item x="189"/>
        <item x="175"/>
        <item x="950"/>
        <item x="825"/>
        <item x="644"/>
        <item x="736"/>
        <item x="203"/>
        <item x="74"/>
        <item x="499"/>
        <item x="217"/>
        <item x="986"/>
        <item x="895"/>
        <item x="610"/>
        <item x="489"/>
        <item x="838"/>
        <item x="669"/>
        <item x="645"/>
        <item x="199"/>
        <item x="195"/>
        <item x="323"/>
        <item x="779"/>
        <item x="89"/>
        <item x="363"/>
        <item x="562"/>
        <item x="1178"/>
        <item x="125"/>
        <item x="154"/>
        <item x="743"/>
        <item x="103"/>
        <item x="438"/>
        <item x="316"/>
        <item x="889"/>
        <item x="1032"/>
        <item x="405"/>
        <item x="35"/>
        <item x="226"/>
        <item x="183"/>
        <item x="633"/>
        <item x="997"/>
        <item x="507"/>
        <item x="939"/>
        <item x="843"/>
        <item x="211"/>
        <item x="44"/>
        <item x="521"/>
        <item x="152"/>
        <item x="176"/>
        <item x="382"/>
        <item x="337"/>
        <item x="190"/>
        <item x="628"/>
        <item x="826"/>
        <item x="980"/>
        <item x="445"/>
        <item x="259"/>
        <item x="318"/>
        <item x="253"/>
        <item x="369"/>
        <item x="755"/>
        <item x="65"/>
        <item x="400"/>
        <item x="951"/>
        <item x="1074"/>
        <item x="294"/>
        <item x="477"/>
        <item x="1014"/>
        <item x="59"/>
        <item x="690"/>
        <item x="395"/>
        <item x="712"/>
        <item x="292"/>
        <item x="539"/>
        <item x="113"/>
        <item x="576"/>
        <item x="622"/>
        <item x="67"/>
        <item x="304"/>
        <item x="720"/>
        <item x="872"/>
        <item x="707"/>
        <item x="370"/>
        <item x="53"/>
        <item x="1155"/>
        <item x="1017"/>
        <item x="1009"/>
        <item x="1049"/>
        <item x="969"/>
        <item x="95"/>
        <item x="987"/>
        <item x="563"/>
        <item x="147"/>
        <item x="795"/>
        <item x="767"/>
        <item x="408"/>
        <item x="780"/>
        <item x="834"/>
        <item x="1067"/>
        <item x="598"/>
        <item x="855"/>
        <item x="50"/>
        <item x="119"/>
        <item x="611"/>
        <item x="662"/>
        <item x="37"/>
        <item x="109"/>
        <item x="224"/>
        <item x="350"/>
        <item x="430"/>
        <item x="744"/>
        <item x="1039"/>
        <item x="464"/>
        <item x="1051"/>
        <item x="372"/>
        <item x="280"/>
        <item x="1116"/>
        <item x="286"/>
        <item x="1002"/>
        <item x="110"/>
        <item x="158"/>
        <item x="545"/>
        <item x="845"/>
        <item x="385"/>
        <item x="1079"/>
        <item x="124"/>
        <item x="533"/>
        <item x="500"/>
        <item x="181"/>
        <item x="520"/>
        <item x="10"/>
        <item x="311"/>
        <item x="1095"/>
        <item x="926"/>
        <item x="858"/>
        <item x="879"/>
        <item x="291"/>
        <item x="915"/>
        <item x="25"/>
        <item x="451"/>
        <item x="264"/>
        <item x="657"/>
        <item x="131"/>
        <item x="484"/>
        <item x="241"/>
        <item x="702"/>
        <item x="728"/>
        <item x="34"/>
        <item x="1143"/>
        <item x="49"/>
        <item x="814"/>
        <item x="355"/>
        <item x="1141"/>
        <item x="198"/>
        <item x="605"/>
        <item x="1163"/>
        <item x="238"/>
        <item x="82"/>
        <item x="7"/>
        <item x="505"/>
        <item x="867"/>
        <item x="1086"/>
        <item x="583"/>
        <item x="296"/>
        <item x="230"/>
        <item x="1053"/>
        <item x="201"/>
        <item x="833"/>
        <item x="799"/>
        <item x="695"/>
        <item x="523"/>
        <item x="482"/>
        <item x="547"/>
        <item x="243"/>
        <item x="982"/>
        <item x="1019"/>
        <item x="581"/>
        <item x="1131"/>
        <item x="6"/>
        <item x="924"/>
        <item x="215"/>
        <item x="510"/>
        <item x="1003"/>
        <item x="396"/>
        <item x="1129"/>
        <item x="797"/>
        <item x="344"/>
        <item x="903"/>
        <item x="97"/>
        <item x="269"/>
        <item x="410"/>
        <item x="585"/>
        <item x="456"/>
        <item x="678"/>
        <item x="750"/>
        <item x="267"/>
        <item x="418"/>
        <item x="79"/>
        <item x="913"/>
        <item x="1119"/>
        <item x="254"/>
        <item x="685"/>
        <item x="342"/>
        <item x="972"/>
        <item x="1097"/>
        <item x="371"/>
        <item x="141"/>
        <item x="128"/>
        <item x="629"/>
        <item x="443"/>
        <item x="640"/>
        <item x="157"/>
        <item x="959"/>
        <item x="321"/>
        <item x="306"/>
        <item x="1041"/>
        <item x="432"/>
        <item x="844"/>
        <item x="384"/>
        <item x="787"/>
        <item x="603"/>
        <item x="1139"/>
        <item x="1109"/>
        <item x="422"/>
        <item x="71"/>
        <item x="1128"/>
        <item x="1172"/>
        <item x="9"/>
        <item x="197"/>
        <item x="992"/>
        <item x="925"/>
        <item x="666"/>
        <item x="857"/>
        <item x="878"/>
        <item x="486"/>
        <item x="853"/>
        <item x="86"/>
        <item x="835"/>
        <item x="459"/>
        <item x="914"/>
        <item x="331"/>
        <item x="892"/>
        <item x="24"/>
        <item x="68"/>
        <item x="642"/>
        <item x="155"/>
        <item x="360"/>
        <item x="383"/>
        <item x="1107"/>
        <item x="130"/>
        <item x="518"/>
        <item x="1106"/>
        <item x="1175"/>
        <item x="435"/>
        <item x="809"/>
        <item x="1029"/>
        <item x="727"/>
        <item x="100"/>
        <item x="785"/>
        <item x="18"/>
        <item x="1142"/>
        <item x="936"/>
        <item x="169"/>
        <item x="775"/>
        <item x="774"/>
        <item x="995"/>
        <item x="41"/>
        <item x="212"/>
        <item x="334"/>
        <item x="831"/>
        <item x="1162"/>
        <item x="173"/>
        <item x="571"/>
        <item x="256"/>
        <item x="3"/>
        <item x="1071"/>
        <item x="187"/>
        <item x="934"/>
        <item x="166"/>
        <item x="823"/>
        <item x="398"/>
        <item x="752"/>
        <item x="1085"/>
        <item x="446"/>
        <item x="536"/>
        <item x="948"/>
        <item x="474"/>
        <item x="570"/>
        <item x="56"/>
        <item x="1026"/>
        <item x="688"/>
        <item x="295"/>
        <item x="140"/>
        <item x="229"/>
        <item x="1052"/>
        <item x="200"/>
        <item x="573"/>
        <item x="709"/>
        <item x="558"/>
        <item x="798"/>
        <item x="534"/>
        <item x="718"/>
        <item x="619"/>
        <item x="433"/>
        <item x="617"/>
        <item x="83"/>
        <item x="970"/>
        <item x="522"/>
        <item x="869"/>
        <item x="546"/>
        <item x="242"/>
        <item x="1018"/>
        <item x="357"/>
        <item x="1130"/>
        <item x="1006"/>
        <item x="765"/>
        <item x="471"/>
        <item x="144"/>
        <item x="214"/>
        <item x="509"/>
        <item x="1064"/>
        <item x="116"/>
        <item x="984"/>
        <item x="560"/>
        <item x="1152"/>
        <item x="777"/>
        <item x="595"/>
        <item x="748"/>
        <item x="819"/>
        <item x="1037"/>
        <item x="946"/>
        <item x="469"/>
        <item x="902"/>
        <item x="957"/>
        <item x="458"/>
        <item x="268"/>
        <item x="409"/>
        <item x="347"/>
        <item x="584"/>
        <item x="52"/>
        <item x="112"/>
        <item x="38"/>
        <item x="677"/>
        <item x="461"/>
        <item x="697"/>
        <item x="608"/>
        <item x="283"/>
        <item x="741"/>
        <item x="1004"/>
        <item x="650"/>
        <item x="807"/>
        <item x="393"/>
        <item x="1118"/>
        <item x="358"/>
        <item x="967"/>
        <item x="170"/>
        <item x="763"/>
        <item x="277"/>
        <item x="1076"/>
        <item x="497"/>
        <item x="971"/>
        <item x="1096"/>
        <item x="308"/>
        <item x="332"/>
        <item x="821"/>
        <item x="420"/>
        <item x="958"/>
        <item x="654"/>
        <item x="686"/>
        <item x="320"/>
        <item x="1040"/>
        <item x="448"/>
        <item x="1094"/>
        <item x="1016"/>
        <item x="699"/>
        <item x="1105"/>
        <item x="786"/>
        <item x="407"/>
        <item x="664"/>
        <item x="772"/>
        <item x="1108"/>
        <item x="421"/>
        <item x="639"/>
        <item x="811"/>
        <item x="94"/>
        <item x="890"/>
        <item x="1084"/>
        <item x="70"/>
        <item x="508"/>
        <item x="266"/>
        <item x="1073"/>
        <item x="223"/>
        <item x="665"/>
        <item x="856"/>
        <item x="485"/>
        <item x="85"/>
        <item x="329"/>
        <item x="568"/>
        <item x="64"/>
        <item x="891"/>
        <item x="495"/>
        <item x="760"/>
        <item x="641"/>
        <item x="866"/>
        <item x="359"/>
        <item x="281"/>
        <item x="887"/>
        <item x="901"/>
        <item x="345"/>
        <item x="1174"/>
        <item x="184"/>
        <item x="434"/>
        <item x="738"/>
        <item x="1028"/>
        <item x="22"/>
        <item x="1173"/>
        <item x="99"/>
        <item x="911"/>
        <item x="630"/>
        <item x="606"/>
        <item x="935"/>
        <item x="1160"/>
        <item x="945"/>
        <item x="994"/>
        <item x="40"/>
        <item x="333"/>
        <item x="674"/>
        <item x="739"/>
        <item x="676"/>
        <item x="1061"/>
        <item x="472"/>
        <item x="172"/>
        <item x="255"/>
        <item x="726"/>
        <item x="186"/>
        <item x="1150"/>
        <item x="555"/>
        <item x="822"/>
        <item x="557"/>
        <item x="21"/>
        <item x="397"/>
        <item x="751"/>
        <item x="127"/>
        <item x="227"/>
        <item x="251"/>
        <item x="535"/>
        <item x="947"/>
        <item x="473"/>
        <item x="209"/>
        <item x="319"/>
        <item x="55"/>
        <item x="687"/>
        <item x="572"/>
        <item x="708"/>
        <item x="717"/>
        <item x="618"/>
        <item x="652"/>
        <item x="868"/>
        <item x="1005"/>
        <item x="764"/>
        <item x="143"/>
        <item x="1063"/>
        <item x="115"/>
        <item x="983"/>
        <item x="559"/>
        <item x="1151"/>
        <item x="776"/>
        <item x="594"/>
        <item x="346"/>
        <item x="460"/>
        <item x="607"/>
        <item x="282"/>
        <item x="740"/>
        <item x="1075"/>
        <item x="496"/>
        <item x="307"/>
        <item x="653"/>
        <item x="447"/>
        <item x="698"/>
        <item x="532"/>
        <item x="810"/>
        <item x="81"/>
        <item x="627"/>
        <item x="675"/>
        <item x="457"/>
        <item x="716"/>
        <item x="877"/>
        <item x="706"/>
        <item x="252"/>
        <item x="923"/>
        <item x="569"/>
        <item x="305"/>
        <item x="126"/>
        <item x="900"/>
        <item x="616"/>
        <item x="483"/>
        <item x="419"/>
        <item x="1149"/>
        <item x="956"/>
        <item x="725"/>
        <item x="470"/>
        <item x="406"/>
        <item x="394"/>
        <item x="544"/>
        <item x="1072"/>
        <item x="20"/>
        <item x="1062"/>
        <item x="519"/>
        <item x="968"/>
        <item x="368"/>
        <item x="153"/>
        <item x="1140"/>
        <item x="5"/>
        <item x="377"/>
        <item x="832"/>
        <item x="808"/>
        <item x="51"/>
        <item x="912"/>
        <item x="163"/>
        <item x="944"/>
        <item x="696"/>
        <item x="279"/>
        <item x="850"/>
        <item x="796"/>
        <item x="390"/>
        <item x="854"/>
        <item x="1171"/>
        <item x="1027"/>
        <item x="15"/>
        <item x="111"/>
        <item x="638"/>
        <item x="343"/>
        <item x="884"/>
        <item x="381"/>
        <item x="888"/>
        <item x="356"/>
        <item x="931"/>
        <item x="593"/>
        <item x="494"/>
        <item x="863"/>
        <item x="293"/>
        <item x="920"/>
        <item x="225"/>
        <item x="762"/>
        <item x="1127"/>
        <item x="30"/>
        <item x="993"/>
        <item x="136"/>
        <item x="663"/>
        <item x="139"/>
        <item x="66"/>
        <item x="1147"/>
        <item x="582"/>
        <item x="1038"/>
        <item x="506"/>
        <item x="431"/>
        <item x="733"/>
        <item x="444"/>
        <item x="981"/>
        <item x="1050"/>
        <item x="240"/>
        <item x="182"/>
        <item x="1168"/>
        <item x="804"/>
        <item x="265"/>
        <item x="301"/>
        <item x="1117"/>
        <item x="1058"/>
        <item x="1091"/>
        <item x="528"/>
        <item x="737"/>
        <item x="820"/>
        <item x="552"/>
        <item x="235"/>
        <item x="206"/>
        <item x="248"/>
        <item x="1136"/>
        <item x="1023"/>
        <item x="96"/>
        <item x="749"/>
        <item x="773"/>
        <item x="515"/>
        <item x="908"/>
        <item x="415"/>
        <item x="1161"/>
        <item x="604"/>
        <item x="220"/>
        <item x="682"/>
        <item x="556"/>
        <item x="1015"/>
        <item x="590"/>
        <item x="317"/>
        <item x="1102"/>
        <item x="196"/>
        <item x="274"/>
        <item x="36"/>
        <item x="1124"/>
        <item x="977"/>
        <item x="168"/>
        <item x="792"/>
        <item x="210"/>
        <item x="964"/>
        <item x="1046"/>
        <item x="427"/>
        <item x="326"/>
        <item x="1114"/>
        <item x="91"/>
        <item x="76"/>
        <item x="840"/>
        <item x="491"/>
        <item x="897"/>
        <item x="671"/>
        <item x="635"/>
        <item x="365"/>
        <item x="647"/>
        <item x="941"/>
        <item x="1180"/>
        <item x="440"/>
        <item x="261"/>
        <item x="105"/>
        <item x="339"/>
        <item x="1034"/>
        <item x="999"/>
        <item x="402"/>
        <item x="541"/>
        <item x="46"/>
        <item x="178"/>
        <item x="713"/>
        <item x="192"/>
        <item x="828"/>
        <item x="61"/>
        <item x="757"/>
        <item x="692"/>
        <item x="479"/>
        <item x="624"/>
        <item x="578"/>
        <item x="953"/>
        <item x="722"/>
        <item x="874"/>
        <item x="769"/>
        <item x="149"/>
        <item x="121"/>
        <item x="1011"/>
        <item x="1068"/>
        <item x="1157"/>
        <item x="989"/>
        <item x="600"/>
        <item x="782"/>
        <item x="565"/>
        <item x="352"/>
        <item x="466"/>
        <item x="288"/>
        <item x="1081"/>
        <item x="613"/>
        <item x="313"/>
        <item x="746"/>
        <item x="659"/>
        <item x="502"/>
        <item x="453"/>
        <item x="704"/>
        <item x="816"/>
        <item x="910"/>
        <item x="367"/>
        <item x="724"/>
        <item x="922"/>
        <item x="379"/>
        <item x="17"/>
        <item x="852"/>
        <item x="842"/>
        <item x="1159"/>
        <item x="151"/>
        <item x="876"/>
        <item x="2"/>
        <item x="123"/>
        <item x="194"/>
        <item x="222"/>
        <item x="1138"/>
        <item x="1083"/>
        <item x="208"/>
        <item x="290"/>
        <item x="1013"/>
        <item x="504"/>
        <item x="543"/>
        <item x="1048"/>
        <item x="237"/>
        <item x="263"/>
        <item x="1126"/>
        <item x="517"/>
        <item x="378"/>
        <item x="1036"/>
        <item x="794"/>
        <item x="164"/>
        <item x="580"/>
        <item x="673"/>
        <item x="391"/>
        <item x="851"/>
        <item x="315"/>
        <item x="16"/>
        <item x="932"/>
        <item x="864"/>
        <item x="899"/>
        <item x="1104"/>
        <item x="966"/>
        <item x="404"/>
        <item x="31"/>
        <item x="921"/>
        <item x="885"/>
        <item x="955"/>
        <item x="137"/>
        <item x="734"/>
        <item x="63"/>
        <item x="1148"/>
        <item x="1093"/>
        <item x="1169"/>
        <item x="417"/>
        <item x="637"/>
        <item x="661"/>
        <item x="207"/>
        <item x="886"/>
        <item x="1025"/>
        <item x="1092"/>
        <item x="236"/>
        <item x="481"/>
        <item x="302"/>
        <item x="93"/>
        <item x="805"/>
        <item x="1059"/>
        <item x="784"/>
        <item x="529"/>
        <item x="354"/>
        <item x="249"/>
        <item x="165"/>
        <item x="830"/>
        <item x="1024"/>
        <item x="221"/>
        <item x="553"/>
        <item x="1137"/>
        <item x="33"/>
        <item x="376"/>
        <item x="516"/>
        <item x="416"/>
        <item x="1170"/>
        <item x="78"/>
        <item x="943"/>
        <item x="818"/>
        <item x="162"/>
        <item x="429"/>
        <item x="991"/>
        <item x="389"/>
        <item x="468"/>
        <item x="849"/>
        <item x="275"/>
        <item x="591"/>
        <item x="328"/>
        <item x="683"/>
        <item x="978"/>
        <item x="909"/>
        <item x="180"/>
        <item x="933"/>
        <item x="14"/>
        <item x="554"/>
        <item x="1125"/>
        <item x="930"/>
        <item x="862"/>
        <item x="327"/>
        <item x="883"/>
        <item x="1103"/>
        <item x="919"/>
        <item x="29"/>
        <item x="793"/>
        <item x="1047"/>
        <item x="965"/>
        <item x="771"/>
        <item x="626"/>
        <item x="135"/>
        <item x="865"/>
        <item x="567"/>
        <item x="428"/>
        <item x="1115"/>
        <item x="684"/>
        <item x="732"/>
        <item x="48"/>
        <item x="1146"/>
        <item x="250"/>
        <item x="1060"/>
        <item x="77"/>
        <item x="1167"/>
        <item x="715"/>
        <item x="898"/>
        <item x="492"/>
        <item x="759"/>
        <item x="392"/>
        <item x="841"/>
        <item x="672"/>
        <item x="648"/>
        <item x="92"/>
        <item x="366"/>
        <item x="1001"/>
        <item x="205"/>
        <item x="735"/>
        <item x="979"/>
        <item x="1181"/>
        <item x="530"/>
        <item x="106"/>
        <item x="441"/>
        <item x="1090"/>
        <item x="234"/>
        <item x="300"/>
        <item x="592"/>
        <item x="803"/>
        <item x="615"/>
        <item x="1057"/>
        <item x="1035"/>
        <item x="138"/>
        <item x="602"/>
        <item x="527"/>
        <item x="108"/>
        <item x="636"/>
        <item x="1000"/>
        <item x="942"/>
        <item x="47"/>
        <item x="247"/>
        <item x="179"/>
        <item x="341"/>
        <item x="551"/>
        <item x="493"/>
        <item x="340"/>
        <item x="193"/>
        <item x="829"/>
        <item x="219"/>
        <item x="1135"/>
        <item x="262"/>
        <item x="276"/>
        <item x="758"/>
        <item x="403"/>
        <item x="954"/>
        <item x="514"/>
        <item x="414"/>
        <item x="455"/>
        <item x="480"/>
        <item x="62"/>
        <item x="693"/>
        <item x="714"/>
        <item x="542"/>
        <item x="579"/>
        <item x="625"/>
        <item x="589"/>
        <item x="907"/>
        <item x="273"/>
        <item x="681"/>
        <item x="723"/>
        <item x="303"/>
        <item x="875"/>
        <item x="976"/>
        <item x="1158"/>
        <item x="1012"/>
        <item x="1123"/>
        <item x="990"/>
        <item x="566"/>
        <item x="150"/>
        <item x="1070"/>
        <item x="770"/>
        <item x="783"/>
        <item x="1101"/>
        <item x="1069"/>
        <item x="601"/>
        <item x="694"/>
        <item x="325"/>
        <item x="791"/>
        <item x="122"/>
        <item x="963"/>
        <item x="442"/>
        <item x="614"/>
        <item x="649"/>
        <item x="1045"/>
        <item x="353"/>
        <item x="426"/>
        <item x="747"/>
        <item x="806"/>
        <item x="1113"/>
        <item x="467"/>
        <item x="289"/>
        <item x="1082"/>
        <item x="75"/>
        <item x="503"/>
        <item x="839"/>
        <item x="314"/>
        <item x="896"/>
        <item x="490"/>
        <item x="670"/>
        <item x="90"/>
        <item x="646"/>
        <item x="454"/>
        <item x="660"/>
        <item x="364"/>
        <item x="705"/>
        <item x="1179"/>
        <item x="817"/>
        <item x="439"/>
        <item x="104"/>
        <item x="634"/>
        <item x="1033"/>
        <item x="940"/>
        <item x="998"/>
        <item x="45"/>
        <item x="338"/>
        <item x="177"/>
        <item x="260"/>
        <item x="191"/>
        <item x="827"/>
        <item x="401"/>
        <item x="756"/>
        <item x="952"/>
        <item x="478"/>
        <item x="540"/>
        <item x="60"/>
        <item x="691"/>
        <item x="577"/>
        <item x="623"/>
        <item x="721"/>
        <item x="873"/>
        <item x="1010"/>
        <item x="1156"/>
        <item x="148"/>
        <item x="988"/>
        <item x="768"/>
        <item x="564"/>
        <item x="781"/>
        <item x="599"/>
        <item x="120"/>
        <item x="612"/>
        <item x="351"/>
        <item x="465"/>
        <item x="745"/>
        <item x="287"/>
        <item x="1080"/>
        <item x="501"/>
        <item x="312"/>
        <item x="452"/>
        <item x="658"/>
        <item x="703"/>
        <item x="815"/>
        <item x="1"/>
        <item x="107"/>
        <item x="0"/>
        <item x="32"/>
        <item t="default"/>
      </items>
    </pivotField>
    <pivotField axis="axisPage"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0"/>
    <field x="1"/>
  </rowFields>
  <rowItems count="81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 t="grand">
      <x/>
    </i>
  </rowItems>
  <colItems count="1">
    <i/>
  </colItems>
  <pageFields count="1">
    <pageField fld="3"/>
  </pageFields>
  <dataFields count="1">
    <dataField name="平均值" fld="2" subtotal="average" baseField="0" baseItem="0"/>
  </dataFields>
  <formats count="1"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2" autoFormatId="1" applyNumberFormats="0" applyBorderFormats="0" applyFontFormats="0" applyPatternFormats="0" applyAlignmentFormats="0" applyWidthHeightFormats="1" dataCaption="值1" updatedVersion="5" minRefreshableVersion="3" createdVersion="5" useAutoFormatting="1" colGrandTotals="0" compact="0" indent="0" outline="1" compactData="0" outlineData="1" showDrill="1" multipleFieldFilters="0">
  <location ref="L6:O10" firstHeaderRow="1" firstDataRow="2" firstDataCol="1" rowPageCount="1" colPageCount="1"/>
  <pivotFields count="4">
    <pivotField axis="axisRow" name="合同种类" compact="0" showAll="0">
      <items count="3">
        <item x="0"/>
        <item x="1"/>
        <item t="default"/>
      </items>
    </pivotField>
    <pivotField axis="axisCol" name="工资平均值" compact="0" multipleItemSelectionAllowed="1" showAll="0">
      <items count="16">
        <item h="1" x="11"/>
        <item h="1" x="3"/>
        <item h="1" x="1"/>
        <item h="1" x="2"/>
        <item h="1" x="0"/>
        <item h="1" x="5"/>
        <item h="1" x="6"/>
        <item h="1" x="10"/>
        <item h="1" x="8"/>
        <item h="1" x="9"/>
        <item h="1" x="4"/>
        <item x="12"/>
        <item x="13"/>
        <item x="14"/>
        <item h="1" x="7"/>
        <item t="default"/>
      </items>
    </pivotField>
    <pivotField dataField="1" compact="0" showAll="0">
      <items count="2171">
        <item x="110"/>
        <item x="36"/>
        <item x="81"/>
        <item x="1841"/>
        <item x="1996"/>
        <item x="1259"/>
        <item x="796"/>
        <item x="533"/>
        <item x="1945"/>
        <item x="1270"/>
        <item x="1875"/>
        <item x="1771"/>
        <item x="627"/>
        <item x="1412"/>
        <item x="2134"/>
        <item x="706"/>
        <item x="1312"/>
        <item x="155"/>
        <item x="1864"/>
        <item x="1599"/>
        <item x="253"/>
        <item x="84"/>
        <item x="900"/>
        <item x="616"/>
        <item x="1628"/>
        <item x="784"/>
        <item x="1094"/>
        <item x="1302"/>
        <item x="1763"/>
        <item x="1986"/>
        <item x="842"/>
        <item x="1730"/>
        <item x="407"/>
        <item x="1888"/>
        <item x="1050"/>
        <item x="520"/>
        <item x="1216"/>
        <item x="2025"/>
        <item x="1549"/>
        <item x="1830"/>
        <item x="2057"/>
        <item x="9"/>
        <item x="1281"/>
        <item x="832"/>
        <item x="1810"/>
        <item x="1800"/>
        <item x="1650"/>
        <item x="293"/>
        <item x="876"/>
        <item x="1073"/>
        <item x="1335"/>
        <item x="651"/>
        <item x="369"/>
        <item x="1392"/>
        <item x="1128"/>
        <item x="1193"/>
        <item x="1116"/>
        <item x="1751"/>
        <item x="1491"/>
        <item x="1248"/>
        <item x="128"/>
        <item x="432"/>
        <item x="1710"/>
        <item x="1379"/>
        <item x="544"/>
        <item x="113"/>
        <item x="2124"/>
        <item x="1172"/>
        <item x="933"/>
        <item x="582"/>
        <item x="2035"/>
        <item x="1528"/>
        <item x="382"/>
        <item x="458"/>
        <item x="2098"/>
        <item x="2164"/>
        <item x="167"/>
        <item x="1781"/>
        <item x="808"/>
        <item x="54"/>
        <item x="956"/>
        <item x="305"/>
        <item x="1820"/>
        <item x="1852"/>
        <item x="331"/>
        <item x="240"/>
        <item x="419"/>
        <item x="445"/>
        <item x="141"/>
        <item x="2106"/>
        <item x="969"/>
        <item x="1974"/>
        <item x="1016"/>
        <item x="696"/>
        <item x="1445"/>
        <item x="685"/>
        <item x="483"/>
        <item x="1899"/>
        <item x="1579"/>
        <item x="344"/>
        <item x="1356"/>
        <item x="592"/>
        <item x="507"/>
        <item x="357"/>
        <item x="2046"/>
        <item x="2145"/>
        <item x="1238"/>
        <item x="1184"/>
        <item x="1403"/>
        <item x="184"/>
        <item x="570"/>
        <item x="1559"/>
        <item x="2087"/>
        <item x="280"/>
        <item x="1083"/>
        <item x="1640"/>
        <item x="2015"/>
        <item x="663"/>
        <item x="1670"/>
        <item x="981"/>
        <item x="889"/>
        <item x="1347"/>
        <item x="2116"/>
        <item x="855"/>
        <item x="266"/>
        <item x="163"/>
        <item x="1457"/>
        <item x="762"/>
        <item x="1609"/>
        <item x="1003"/>
        <item x="1539"/>
        <item x="2154"/>
        <item x="69"/>
        <item x="318"/>
        <item x="39"/>
        <item x="1680"/>
        <item x="24"/>
        <item x="1422"/>
        <item x="1618"/>
        <item x="152"/>
        <item x="1963"/>
        <item x="923"/>
        <item x="2006"/>
        <item x="912"/>
        <item x="1510"/>
        <item x="1790"/>
        <item x="471"/>
        <item x="1106"/>
        <item x="1061"/>
        <item x="1434"/>
        <item x="1661"/>
        <item x="866"/>
        <item x="1026"/>
        <item x="1292"/>
        <item x="227"/>
        <item x="98"/>
        <item x="66"/>
        <item x="749"/>
        <item x="170"/>
        <item x="1038"/>
        <item x="494"/>
        <item x="1929"/>
        <item x="605"/>
        <item x="945"/>
        <item x="125"/>
        <item x="639"/>
        <item x="1160"/>
        <item x="1204"/>
        <item x="820"/>
        <item x="2068"/>
        <item x="725"/>
        <item x="198"/>
        <item x="1227"/>
        <item x="1149"/>
        <item x="371"/>
        <item x="1910"/>
        <item x="1590"/>
        <item x="1690"/>
        <item x="774"/>
        <item x="212"/>
        <item x="738"/>
        <item x="1581"/>
        <item x="157"/>
        <item x="2118"/>
        <item x="1701"/>
        <item x="1480"/>
        <item x="384"/>
        <item x="2"/>
        <item x="1519"/>
        <item x="844"/>
        <item x="557"/>
        <item x="51"/>
        <item x="11"/>
        <item x="1414"/>
        <item x="925"/>
        <item x="1551"/>
        <item x="1186"/>
        <item x="857"/>
        <item x="757"/>
        <item x="26"/>
        <item x="1447"/>
        <item x="914"/>
        <item x="1965"/>
        <item x="878"/>
        <item x="1250"/>
        <item x="138"/>
        <item x="181"/>
        <item x="130"/>
        <item x="527"/>
        <item x="21"/>
        <item x="1922"/>
        <item x="1954"/>
        <item x="727"/>
        <item x="1304"/>
        <item x="1141"/>
        <item x="224"/>
        <item x="1206"/>
        <item x="1162"/>
        <item x="235"/>
        <item x="1229"/>
        <item x="2070"/>
        <item x="1722"/>
        <item x="1541"/>
        <item x="200"/>
        <item x="1394"/>
        <item x="2108"/>
        <item x="6"/>
        <item x="1843"/>
        <item x="1358"/>
        <item x="1912"/>
        <item x="1085"/>
        <item x="229"/>
        <item x="209"/>
        <item x="1842"/>
        <item x="295"/>
        <item x="17"/>
        <item x="1260"/>
        <item x="798"/>
        <item x="1052"/>
        <item x="522"/>
        <item x="254"/>
        <item x="1772"/>
        <item x="628"/>
        <item x="242"/>
        <item x="1692"/>
        <item x="1753"/>
        <item x="274"/>
        <item x="1018"/>
        <item x="214"/>
        <item x="1865"/>
        <item x="534"/>
        <item x="546"/>
        <item x="1997"/>
        <item x="1130"/>
        <item x="1712"/>
        <item x="1741"/>
        <item x="1095"/>
        <item x="395"/>
        <item x="1732"/>
        <item x="2079"/>
        <item x="1900"/>
        <item x="509"/>
        <item x="95"/>
        <item x="409"/>
        <item x="1349"/>
        <item x="785"/>
        <item x="1876"/>
        <item x="2026"/>
        <item x="85"/>
        <item x="934"/>
        <item x="707"/>
        <item x="370"/>
        <item x="1217"/>
        <item x="797"/>
        <item x="1550"/>
        <item x="2099"/>
        <item x="652"/>
        <item x="843"/>
        <item x="1218"/>
        <item x="1998"/>
        <item x="1413"/>
        <item x="1731"/>
        <item x="1721"/>
        <item x="10"/>
        <item x="1987"/>
        <item x="1629"/>
        <item x="647"/>
        <item x="833"/>
        <item x="1889"/>
        <item x="1271"/>
        <item x="545"/>
        <item x="675"/>
        <item x="156"/>
        <item x="383"/>
        <item x="268"/>
        <item x="332"/>
        <item x="2165"/>
        <item x="521"/>
        <item x="584"/>
        <item x="877"/>
        <item x="1600"/>
        <item x="901"/>
        <item x="1393"/>
        <item x="1303"/>
        <item x="676"/>
        <item x="971"/>
        <item x="2135"/>
        <item x="902"/>
        <item x="1801"/>
        <item x="1249"/>
        <item x="1492"/>
        <item x="1074"/>
        <item x="1821"/>
        <item x="1313"/>
        <item x="957"/>
        <item x="1336"/>
        <item x="1368"/>
        <item x="1802"/>
        <item x="1580"/>
        <item x="617"/>
        <item x="326"/>
        <item x="1831"/>
        <item x="1194"/>
        <item x="1282"/>
        <item x="1651"/>
        <item x="2058"/>
        <item x="1424"/>
        <item x="970"/>
        <item x="1051"/>
        <item x="1118"/>
        <item x="1811"/>
        <item x="809"/>
        <item x="294"/>
        <item x="1185"/>
        <item x="571"/>
        <item x="583"/>
        <item x="459"/>
        <item x="1711"/>
        <item x="1540"/>
        <item x="306"/>
        <item x="1975"/>
        <item x="281"/>
        <item x="320"/>
        <item x="2036"/>
        <item x="408"/>
        <item x="1569"/>
        <item x="1512"/>
        <item x="1117"/>
        <item x="446"/>
        <item x="1671"/>
        <item x="1529"/>
        <item x="890"/>
        <item x="70"/>
        <item x="1129"/>
        <item x="1380"/>
        <item x="924"/>
        <item x="1140"/>
        <item x="1096"/>
        <item x="114"/>
        <item x="55"/>
        <item x="1469"/>
        <item x="129"/>
        <item x="1446"/>
        <item x="376"/>
        <item x="241"/>
        <item x="1752"/>
        <item x="1619"/>
        <item x="1921"/>
        <item x="786"/>
        <item x="1323"/>
        <item x="697"/>
        <item x="2016"/>
        <item x="484"/>
        <item x="715"/>
        <item x="1040"/>
        <item x="1062"/>
        <item x="913"/>
        <item x="958"/>
        <item x="420"/>
        <item x="992"/>
        <item x="345"/>
        <item x="1853"/>
        <item x="1500"/>
        <item x="433"/>
        <item x="1953"/>
        <item x="2117"/>
        <item x="508"/>
        <item x="856"/>
        <item x="2146"/>
        <item x="1239"/>
        <item x="1107"/>
        <item x="358"/>
        <item x="1435"/>
        <item x="25"/>
        <item x="421"/>
        <item x="142"/>
        <item x="472"/>
        <item x="2136"/>
        <item x="2107"/>
        <item x="1108"/>
        <item x="77"/>
        <item x="867"/>
        <item x="2125"/>
        <item x="1017"/>
        <item x="1173"/>
        <item x="593"/>
        <item x="2155"/>
        <item x="2007"/>
        <item x="1560"/>
        <item x="1641"/>
        <item x="1205"/>
        <item x="1561"/>
        <item x="2059"/>
        <item x="2047"/>
        <item x="2088"/>
        <item x="1663"/>
        <item x="99"/>
        <item x="1357"/>
        <item x="1423"/>
        <item x="267"/>
        <item x="1027"/>
        <item x="1228"/>
        <item x="228"/>
        <item x="750"/>
        <item x="664"/>
        <item x="1084"/>
        <item x="1039"/>
        <item x="1161"/>
        <item x="40"/>
        <item x="1601"/>
        <item x="1964"/>
        <item x="1324"/>
        <item x="1004"/>
        <item x="726"/>
        <item x="1150"/>
        <item x="185"/>
        <item x="1591"/>
        <item x="171"/>
        <item x="1337"/>
        <item x="946"/>
        <item x="821"/>
        <item x="640"/>
        <item x="732"/>
        <item x="199"/>
        <item x="1511"/>
        <item x="71"/>
        <item x="1348"/>
        <item x="1662"/>
        <item x="1691"/>
        <item x="1740"/>
        <item x="2069"/>
        <item x="1458"/>
        <item x="495"/>
        <item x="213"/>
        <item x="982"/>
        <item x="891"/>
        <item x="606"/>
        <item x="485"/>
        <item x="1764"/>
        <item x="834"/>
        <item x="665"/>
        <item x="641"/>
        <item x="2078"/>
        <item x="195"/>
        <item x="1481"/>
        <item x="191"/>
        <item x="319"/>
        <item x="775"/>
        <item x="86"/>
        <item x="359"/>
        <item x="1832"/>
        <item x="1866"/>
        <item x="558"/>
        <item x="1174"/>
        <item x="121"/>
        <item x="150"/>
        <item x="739"/>
        <item x="100"/>
        <item x="1812"/>
        <item x="2123"/>
        <item x="434"/>
        <item x="1797"/>
        <item x="1520"/>
        <item x="1261"/>
        <item x="312"/>
        <item x="2100"/>
        <item x="885"/>
        <item x="1266"/>
        <item x="1911"/>
        <item x="1672"/>
        <item x="1028"/>
        <item x="401"/>
        <item x="1497"/>
        <item x="32"/>
        <item x="1930"/>
        <item x="222"/>
        <item x="179"/>
        <item x="629"/>
        <item x="993"/>
        <item x="503"/>
        <item x="935"/>
        <item x="839"/>
        <item x="1860"/>
        <item x="207"/>
        <item x="41"/>
        <item x="2008"/>
        <item x="517"/>
        <item x="148"/>
        <item x="172"/>
        <item x="1525"/>
        <item x="378"/>
        <item x="333"/>
        <item x="186"/>
        <item x="624"/>
        <item x="822"/>
        <item x="1314"/>
        <item x="1256"/>
        <item x="976"/>
        <item x="1877"/>
        <item x="441"/>
        <item x="255"/>
        <item x="314"/>
        <item x="249"/>
        <item x="1773"/>
        <item x="365"/>
        <item x="751"/>
        <item x="62"/>
        <item x="2048"/>
        <item x="396"/>
        <item x="947"/>
        <item x="1935"/>
        <item x="1070"/>
        <item x="1376"/>
        <item x="290"/>
        <item x="1787"/>
        <item x="473"/>
        <item x="1010"/>
        <item x="56"/>
        <item x="1575"/>
        <item x="686"/>
        <item x="391"/>
        <item x="1890"/>
        <item x="708"/>
        <item x="288"/>
        <item x="1521"/>
        <item x="535"/>
        <item x="2095"/>
        <item x="1782"/>
        <item x="109"/>
        <item x="572"/>
        <item x="618"/>
        <item x="1610"/>
        <item x="1213"/>
        <item x="1570"/>
        <item x="1838"/>
        <item x="2017"/>
        <item x="64"/>
        <item x="2126"/>
        <item x="300"/>
        <item x="716"/>
        <item x="1530"/>
        <item x="1760"/>
        <item x="868"/>
        <item x="703"/>
        <item x="2147"/>
        <item x="366"/>
        <item x="50"/>
        <item x="1854"/>
        <item x="1151"/>
        <item x="1013"/>
        <item x="1005"/>
        <item x="1045"/>
        <item x="1381"/>
        <item x="965"/>
        <item x="1988"/>
        <item x="1884"/>
        <item x="1470"/>
        <item x="92"/>
        <item x="983"/>
        <item x="1309"/>
        <item x="1283"/>
        <item x="559"/>
        <item x="143"/>
        <item x="1817"/>
        <item x="791"/>
        <item x="763"/>
        <item x="404"/>
        <item x="776"/>
        <item x="1442"/>
        <item x="2037"/>
        <item x="830"/>
        <item x="1063"/>
        <item x="594"/>
        <item x="2042"/>
        <item x="851"/>
        <item x="47"/>
        <item x="1195"/>
        <item x="1681"/>
        <item x="115"/>
        <item x="1630"/>
        <item x="1746"/>
        <item x="1587"/>
        <item x="1501"/>
        <item x="607"/>
        <item x="1791"/>
        <item x="1946"/>
        <item x="658"/>
        <item x="2089"/>
        <item x="34"/>
        <item x="1374"/>
        <item x="105"/>
        <item x="220"/>
        <item x="1905"/>
        <item x="346"/>
        <item x="426"/>
        <item x="740"/>
        <item x="1035"/>
        <item x="1344"/>
        <item x="460"/>
        <item x="1047"/>
        <item x="1459"/>
        <item x="368"/>
        <item x="276"/>
        <item x="1112"/>
        <item x="282"/>
        <item x="998"/>
        <item x="1822"/>
        <item x="1652"/>
        <item x="106"/>
        <item x="154"/>
        <item x="1272"/>
        <item x="1578"/>
        <item x="1918"/>
        <item x="541"/>
        <item x="841"/>
        <item x="381"/>
        <item x="1075"/>
        <item x="120"/>
        <item x="529"/>
        <item x="496"/>
        <item x="1411"/>
        <item x="1548"/>
        <item x="1452"/>
        <item x="177"/>
        <item x="516"/>
        <item x="2115"/>
        <item x="2027"/>
        <item x="8"/>
        <item x="307"/>
        <item x="2053"/>
        <item x="1091"/>
        <item x="922"/>
        <item x="1201"/>
        <item x="854"/>
        <item x="875"/>
        <item x="287"/>
        <item x="1183"/>
        <item x="2156"/>
        <item x="1444"/>
        <item x="911"/>
        <item x="1277"/>
        <item x="2142"/>
        <item x="23"/>
        <item x="447"/>
        <item x="1342"/>
        <item x="1620"/>
        <item x="1642"/>
        <item x="260"/>
        <item x="653"/>
        <item x="1441"/>
        <item x="1962"/>
        <item x="127"/>
        <item x="1940"/>
        <item x="480"/>
        <item x="1301"/>
        <item x="1400"/>
        <item x="1920"/>
        <item x="237"/>
        <item x="1431"/>
        <item x="1203"/>
        <item x="698"/>
        <item x="724"/>
        <item x="31"/>
        <item x="1942"/>
        <item x="1982"/>
        <item x="1139"/>
        <item x="46"/>
        <item x="810"/>
        <item x="351"/>
        <item x="1720"/>
        <item x="1592"/>
        <item x="1226"/>
        <item x="1137"/>
        <item x="1404"/>
        <item x="194"/>
        <item x="1952"/>
        <item x="601"/>
        <item x="1159"/>
        <item x="2166"/>
        <item x="1538"/>
        <item x="234"/>
        <item x="1391"/>
        <item x="79"/>
        <item x="1840"/>
        <item x="5"/>
        <item x="2067"/>
        <item x="1976"/>
        <item x="501"/>
        <item x="863"/>
        <item x="2105"/>
        <item x="1082"/>
        <item x="1477"/>
        <item x="579"/>
        <item x="1849"/>
        <item x="1240"/>
        <item x="1369"/>
        <item x="1861"/>
        <item x="1355"/>
        <item x="292"/>
        <item x="1983"/>
        <item x="226"/>
        <item x="1049"/>
        <item x="197"/>
        <item x="829"/>
        <item x="795"/>
        <item x="1909"/>
        <item x="1871"/>
        <item x="1293"/>
        <item x="691"/>
        <item x="519"/>
        <item x="1750"/>
        <item x="478"/>
        <item x="543"/>
        <item x="239"/>
        <item x="978"/>
        <item x="1015"/>
        <item x="1689"/>
        <item x="577"/>
        <item x="1729"/>
        <item x="1127"/>
        <item x="1436"/>
        <item x="4"/>
        <item x="920"/>
        <item x="1709"/>
        <item x="1898"/>
        <item x="211"/>
        <item x="506"/>
        <item x="999"/>
        <item x="392"/>
        <item x="1488"/>
        <item x="2077"/>
        <item x="1482"/>
        <item x="1702"/>
        <item x="1125"/>
        <item x="1971"/>
        <item x="1739"/>
        <item x="1346"/>
        <item x="793"/>
        <item x="1215"/>
        <item x="1995"/>
        <item x="340"/>
        <item x="899"/>
        <item x="94"/>
        <item x="265"/>
        <item x="406"/>
        <item x="581"/>
        <item x="452"/>
        <item x="1388"/>
        <item x="674"/>
        <item x="746"/>
        <item x="263"/>
        <item x="1490"/>
        <item x="414"/>
        <item x="76"/>
        <item x="909"/>
        <item x="1181"/>
        <item x="1115"/>
        <item x="1799"/>
        <item x="250"/>
        <item x="681"/>
        <item x="1882"/>
        <item x="338"/>
        <item x="968"/>
        <item x="1093"/>
        <item x="367"/>
        <item x="137"/>
        <item x="124"/>
        <item x="1421"/>
        <item x="625"/>
        <item x="1318"/>
        <item x="439"/>
        <item x="636"/>
        <item x="1509"/>
        <item x="153"/>
        <item x="1331"/>
        <item x="955"/>
        <item x="317"/>
        <item x="1577"/>
        <item x="302"/>
        <item x="1037"/>
        <item x="428"/>
        <item x="1807"/>
        <item x="1506"/>
        <item x="840"/>
        <item x="380"/>
        <item x="2056"/>
        <item x="783"/>
        <item x="599"/>
        <item x="2133"/>
        <item x="1135"/>
        <item x="1105"/>
        <item x="1558"/>
        <item x="418"/>
        <item x="1635"/>
        <item x="1536"/>
        <item x="1598"/>
        <item x="1410"/>
        <item x="1547"/>
        <item x="2131"/>
        <item x="1660"/>
        <item x="68"/>
        <item x="1124"/>
        <item x="2114"/>
        <item x="1334"/>
        <item x="1168"/>
        <item x="7"/>
        <item x="193"/>
        <item x="988"/>
        <item x="921"/>
        <item x="1762"/>
        <item x="662"/>
        <item x="853"/>
        <item x="874"/>
        <item x="482"/>
        <item x="849"/>
        <item x="83"/>
        <item x="1322"/>
        <item x="831"/>
        <item x="1182"/>
        <item x="455"/>
        <item x="1443"/>
        <item x="1872"/>
        <item x="910"/>
        <item x="327"/>
        <item x="1863"/>
        <item x="888"/>
        <item x="22"/>
        <item x="65"/>
        <item x="638"/>
        <item x="1258"/>
        <item x="151"/>
        <item x="356"/>
        <item x="379"/>
        <item x="1829"/>
        <item x="1885"/>
        <item x="1961"/>
        <item x="1103"/>
        <item x="126"/>
        <item x="514"/>
        <item x="1102"/>
        <item x="1758"/>
        <item x="2097"/>
        <item x="1386"/>
        <item x="1171"/>
        <item x="1300"/>
        <item x="1809"/>
        <item x="1919"/>
        <item x="431"/>
        <item x="805"/>
        <item x="1247"/>
        <item x="1025"/>
        <item x="1202"/>
        <item x="723"/>
        <item x="1895"/>
        <item x="97"/>
        <item x="781"/>
        <item x="1669"/>
        <item x="16"/>
        <item x="1138"/>
        <item x="932"/>
        <item x="165"/>
        <item x="771"/>
        <item x="770"/>
        <item x="991"/>
        <item x="1719"/>
        <item x="38"/>
        <item x="208"/>
        <item x="330"/>
        <item x="1225"/>
        <item x="827"/>
        <item x="1951"/>
        <item x="1158"/>
        <item x="1329"/>
        <item x="169"/>
        <item x="2005"/>
        <item x="1770"/>
        <item x="1537"/>
        <item x="567"/>
        <item x="1311"/>
        <item x="1874"/>
        <item x="252"/>
        <item x="1"/>
        <item x="1390"/>
        <item x="1839"/>
        <item x="1067"/>
        <item x="183"/>
        <item x="2066"/>
        <item x="930"/>
        <item x="162"/>
        <item x="819"/>
        <item x="1224"/>
        <item x="394"/>
        <item x="1487"/>
        <item x="748"/>
        <item x="1081"/>
        <item x="1332"/>
        <item x="2045"/>
        <item x="442"/>
        <item x="532"/>
        <item x="944"/>
        <item x="470"/>
        <item x="1718"/>
        <item x="566"/>
        <item x="1887"/>
        <item x="53"/>
        <item x="1022"/>
        <item x="684"/>
        <item x="1354"/>
        <item x="291"/>
        <item x="136"/>
        <item x="225"/>
        <item x="1048"/>
        <item x="196"/>
        <item x="569"/>
        <item x="1546"/>
        <item x="1780"/>
        <item x="1568"/>
        <item x="705"/>
        <item x="554"/>
        <item x="1608"/>
        <item x="1211"/>
        <item x="794"/>
        <item x="530"/>
        <item x="1908"/>
        <item x="714"/>
        <item x="615"/>
        <item x="429"/>
        <item x="1518"/>
        <item x="2014"/>
        <item x="613"/>
        <item x="80"/>
        <item x="966"/>
        <item x="518"/>
        <item x="1278"/>
        <item x="1749"/>
        <item x="865"/>
        <item x="1378"/>
        <item x="1527"/>
        <item x="542"/>
        <item x="2144"/>
        <item x="238"/>
        <item x="1454"/>
        <item x="1851"/>
        <item x="1014"/>
        <item x="353"/>
        <item x="1688"/>
        <item x="1728"/>
        <item x="1468"/>
        <item x="1126"/>
        <item x="1981"/>
        <item x="1985"/>
        <item x="1389"/>
        <item x="1280"/>
        <item x="1708"/>
        <item x="1002"/>
        <item x="1897"/>
        <item x="1365"/>
        <item x="761"/>
        <item x="467"/>
        <item x="140"/>
        <item x="210"/>
        <item x="505"/>
        <item x="1060"/>
        <item x="1576"/>
        <item x="112"/>
        <item x="2034"/>
        <item x="980"/>
        <item x="556"/>
        <item x="1245"/>
        <item x="1960"/>
        <item x="1627"/>
        <item x="1148"/>
        <item x="2076"/>
        <item x="773"/>
        <item x="591"/>
        <item x="1192"/>
        <item x="744"/>
        <item x="1738"/>
        <item x="815"/>
        <item x="1944"/>
        <item x="1345"/>
        <item x="1465"/>
        <item x="1214"/>
        <item x="1033"/>
        <item x="1994"/>
        <item x="942"/>
        <item x="1679"/>
        <item x="465"/>
        <item x="2086"/>
        <item x="898"/>
        <item x="953"/>
        <item x="454"/>
        <item x="264"/>
        <item x="405"/>
        <item x="343"/>
        <item x="1637"/>
        <item x="580"/>
        <item x="49"/>
        <item x="1499"/>
        <item x="108"/>
        <item x="35"/>
        <item x="673"/>
        <item x="457"/>
        <item x="693"/>
        <item x="604"/>
        <item x="1896"/>
        <item x="279"/>
        <item x="1269"/>
        <item x="737"/>
        <item x="1489"/>
        <item x="1000"/>
        <item x="1456"/>
        <item x="1819"/>
        <item x="646"/>
        <item x="803"/>
        <item x="389"/>
        <item x="1235"/>
        <item x="1114"/>
        <item x="354"/>
        <item x="1798"/>
        <item x="963"/>
        <item x="166"/>
        <item x="2024"/>
        <item x="759"/>
        <item x="1649"/>
        <item x="273"/>
        <item x="1072"/>
        <item x="493"/>
        <item x="967"/>
        <item x="1092"/>
        <item x="304"/>
        <item x="328"/>
        <item x="1778"/>
        <item x="1420"/>
        <item x="1907"/>
        <item x="2064"/>
        <item x="817"/>
        <item x="416"/>
        <item x="1617"/>
        <item x="1508"/>
        <item x="2153"/>
        <item x="1320"/>
        <item x="954"/>
        <item x="650"/>
        <item x="682"/>
        <item x="316"/>
        <item x="1036"/>
        <item x="444"/>
        <item x="1090"/>
        <item x="1639"/>
        <item x="1012"/>
        <item x="695"/>
        <item x="1101"/>
        <item x="2055"/>
        <item x="782"/>
        <item x="403"/>
        <item x="2132"/>
        <item x="660"/>
        <item x="1466"/>
        <item x="768"/>
        <item x="1104"/>
        <item x="1557"/>
        <item x="417"/>
        <item x="635"/>
        <item x="1402"/>
        <item x="1928"/>
        <item x="807"/>
        <item x="1597"/>
        <item x="1179"/>
        <item x="1429"/>
        <item x="1589"/>
        <item x="2163"/>
        <item x="91"/>
        <item x="886"/>
        <item x="1659"/>
        <item x="1080"/>
        <item x="67"/>
        <item x="1973"/>
        <item x="1686"/>
        <item x="1237"/>
        <item x="1333"/>
        <item x="504"/>
        <item x="1367"/>
        <item x="262"/>
        <item x="1069"/>
        <item x="219"/>
        <item x="1761"/>
        <item x="661"/>
        <item x="852"/>
        <item x="481"/>
        <item x="82"/>
        <item x="1321"/>
        <item x="325"/>
        <item x="564"/>
        <item x="2065"/>
        <item x="61"/>
        <item x="1291"/>
        <item x="1862"/>
        <item x="1289"/>
        <item x="887"/>
        <item x="1433"/>
        <item x="491"/>
        <item x="756"/>
        <item x="637"/>
        <item x="1257"/>
        <item x="1748"/>
        <item x="862"/>
        <item x="355"/>
        <item x="277"/>
        <item x="1828"/>
        <item x="1789"/>
        <item x="883"/>
        <item x="897"/>
        <item x="1700"/>
        <item x="341"/>
        <item x="1475"/>
        <item x="1479"/>
        <item x="2096"/>
        <item x="1299"/>
        <item x="1170"/>
        <item x="180"/>
        <item x="1808"/>
        <item x="1658"/>
        <item x="430"/>
        <item x="734"/>
        <item x="1024"/>
        <item x="20"/>
        <item x="1169"/>
        <item x="96"/>
        <item x="1668"/>
        <item x="907"/>
        <item x="626"/>
        <item x="602"/>
        <item x="931"/>
        <item x="1156"/>
        <item x="941"/>
        <item x="990"/>
        <item x="37"/>
        <item x="1363"/>
        <item x="329"/>
        <item x="670"/>
        <item x="735"/>
        <item x="1223"/>
        <item x="672"/>
        <item x="1057"/>
        <item x="468"/>
        <item x="168"/>
        <item x="2004"/>
        <item x="2003"/>
        <item x="1769"/>
        <item x="1310"/>
        <item x="1873"/>
        <item x="1697"/>
        <item x="251"/>
        <item x="722"/>
        <item x="182"/>
        <item x="1146"/>
        <item x="551"/>
        <item x="818"/>
        <item x="553"/>
        <item x="19"/>
        <item x="393"/>
        <item x="747"/>
        <item x="123"/>
        <item x="223"/>
        <item x="2044"/>
        <item x="247"/>
        <item x="531"/>
        <item x="943"/>
        <item x="469"/>
        <item x="205"/>
        <item x="315"/>
        <item x="1886"/>
        <item x="52"/>
        <item x="683"/>
        <item x="568"/>
        <item x="1779"/>
        <item x="1567"/>
        <item x="704"/>
        <item x="1607"/>
        <item x="713"/>
        <item x="614"/>
        <item x="1517"/>
        <item x="2013"/>
        <item x="648"/>
        <item x="864"/>
        <item x="1377"/>
        <item x="1526"/>
        <item x="2143"/>
        <item x="1850"/>
        <item x="1467"/>
        <item x="1984"/>
        <item x="1837"/>
        <item x="1279"/>
        <item x="1001"/>
        <item x="760"/>
        <item x="139"/>
        <item x="1059"/>
        <item x="111"/>
        <item x="2033"/>
        <item x="979"/>
        <item x="555"/>
        <item x="1626"/>
        <item x="2022"/>
        <item x="1147"/>
        <item x="772"/>
        <item x="590"/>
        <item x="1191"/>
        <item x="1943"/>
        <item x="1678"/>
        <item x="2085"/>
        <item x="342"/>
        <item x="1498"/>
        <item x="456"/>
        <item x="603"/>
        <item x="278"/>
        <item x="1268"/>
        <item x="736"/>
        <item x="1455"/>
        <item x="1818"/>
        <item x="1267"/>
        <item x="2023"/>
        <item x="1648"/>
        <item x="1071"/>
        <item x="492"/>
        <item x="303"/>
        <item x="1717"/>
        <item x="1616"/>
        <item x="2152"/>
        <item x="649"/>
        <item x="443"/>
        <item x="2094"/>
        <item x="1638"/>
        <item x="1859"/>
        <item x="694"/>
        <item x="528"/>
        <item x="1727"/>
        <item x="1870"/>
        <item x="1401"/>
        <item x="806"/>
        <item x="1647"/>
        <item x="1588"/>
        <item x="2162"/>
        <item x="78"/>
        <item x="1319"/>
        <item x="1972"/>
        <item x="1941"/>
        <item x="1236"/>
        <item x="623"/>
        <item x="1366"/>
        <item x="671"/>
        <item x="1768"/>
        <item x="1290"/>
        <item x="453"/>
        <item x="1432"/>
        <item x="712"/>
        <item x="873"/>
        <item x="702"/>
        <item x="1699"/>
        <item x="248"/>
        <item x="1478"/>
        <item x="919"/>
        <item x="1970"/>
        <item x="1255"/>
        <item x="1298"/>
        <item x="565"/>
        <item x="1387"/>
        <item x="1464"/>
        <item x="301"/>
        <item x="122"/>
        <item x="896"/>
        <item x="612"/>
        <item x="479"/>
        <item x="415"/>
        <item x="1145"/>
        <item x="1806"/>
        <item x="952"/>
        <item x="1246"/>
        <item x="721"/>
        <item x="466"/>
        <item x="402"/>
        <item x="390"/>
        <item x="540"/>
        <item x="1212"/>
        <item x="1068"/>
        <item x="18"/>
        <item x="1993"/>
        <item x="1330"/>
        <item x="1180"/>
        <item x="1364"/>
        <item x="1615"/>
        <item x="1796"/>
        <item x="1657"/>
        <item x="1058"/>
        <item x="1747"/>
        <item x="515"/>
        <item x="964"/>
        <item x="364"/>
        <item x="149"/>
        <item x="1136"/>
        <item x="3"/>
        <item x="2161"/>
        <item x="373"/>
        <item x="2113"/>
        <item x="1917"/>
        <item x="1419"/>
        <item x="828"/>
        <item x="804"/>
        <item x="48"/>
        <item x="908"/>
        <item x="1827"/>
        <item x="159"/>
        <item x="940"/>
        <item x="692"/>
        <item x="275"/>
        <item x="846"/>
        <item x="792"/>
        <item x="386"/>
        <item x="1583"/>
        <item x="2130"/>
        <item x="850"/>
        <item x="1416"/>
        <item x="1553"/>
        <item x="1190"/>
        <item x="1167"/>
        <item x="1535"/>
        <item x="1023"/>
        <item x="13"/>
        <item x="2043"/>
        <item x="107"/>
        <item x="634"/>
        <item x="1759"/>
        <item x="339"/>
        <item x="880"/>
        <item x="1625"/>
        <item x="2120"/>
        <item x="377"/>
        <item x="1883"/>
        <item x="884"/>
        <item x="1288"/>
        <item x="1188"/>
        <item x="352"/>
        <item x="1707"/>
        <item x="927"/>
        <item x="589"/>
        <item x="2141"/>
        <item x="1449"/>
        <item x="1252"/>
        <item x="490"/>
        <item x="859"/>
        <item x="289"/>
        <item x="2032"/>
        <item x="916"/>
        <item x="1306"/>
        <item x="1677"/>
        <item x="1845"/>
        <item x="221"/>
        <item x="758"/>
        <item x="1123"/>
        <item x="28"/>
        <item x="989"/>
        <item x="132"/>
        <item x="659"/>
        <item x="1636"/>
        <item x="135"/>
        <item x="1924"/>
        <item x="63"/>
        <item x="1967"/>
        <item x="1667"/>
        <item x="1724"/>
        <item x="1927"/>
        <item x="2084"/>
        <item x="1143"/>
        <item x="578"/>
        <item x="1034"/>
        <item x="2054"/>
        <item x="1698"/>
        <item x="502"/>
        <item x="1208"/>
        <item x="1396"/>
        <item x="427"/>
        <item x="1956"/>
        <item x="1430"/>
        <item x="729"/>
        <item x="440"/>
        <item x="1543"/>
        <item x="977"/>
        <item x="1046"/>
        <item x="236"/>
        <item x="1231"/>
        <item x="178"/>
        <item x="1164"/>
        <item x="1586"/>
        <item x="800"/>
        <item x="261"/>
        <item x="2110"/>
        <item x="297"/>
        <item x="1113"/>
        <item x="1054"/>
        <item x="2072"/>
        <item x="1959"/>
        <item x="1200"/>
        <item x="1788"/>
        <item x="1087"/>
        <item x="524"/>
        <item x="1375"/>
        <item x="733"/>
        <item x="816"/>
        <item x="1848"/>
        <item x="1360"/>
        <item x="2075"/>
        <item x="548"/>
        <item x="1737"/>
        <item x="231"/>
        <item x="1234"/>
        <item x="202"/>
        <item x="1399"/>
        <item x="1734"/>
        <item x="1755"/>
        <item x="244"/>
        <item x="2000"/>
        <item x="1409"/>
        <item x="1453"/>
        <item x="1132"/>
        <item x="1714"/>
        <item x="1019"/>
        <item x="93"/>
        <item x="1902"/>
        <item x="745"/>
        <item x="1220"/>
        <item x="1507"/>
        <item x="1556"/>
        <item x="1914"/>
        <item x="1606"/>
        <item x="769"/>
        <item x="511"/>
        <item x="1694"/>
        <item x="904"/>
        <item x="411"/>
        <item x="1157"/>
        <item x="600"/>
        <item x="216"/>
        <item x="1343"/>
        <item x="1566"/>
        <item x="678"/>
        <item x="1687"/>
        <item x="552"/>
        <item x="1011"/>
        <item x="1494"/>
        <item x="586"/>
        <item x="1743"/>
        <item x="1351"/>
        <item x="313"/>
        <item x="2081"/>
        <item x="1098"/>
        <item x="1804"/>
        <item x="192"/>
        <item x="270"/>
        <item x="33"/>
        <item x="1120"/>
        <item x="973"/>
        <item x="1906"/>
        <item x="164"/>
        <item x="788"/>
        <item x="206"/>
        <item x="960"/>
        <item x="1476"/>
        <item x="1426"/>
        <item x="2138"/>
        <item x="1516"/>
        <item x="2061"/>
        <item x="1603"/>
        <item x="1514"/>
        <item x="1042"/>
        <item x="423"/>
        <item x="322"/>
        <item x="1110"/>
        <item x="1339"/>
        <item x="1563"/>
        <item x="1766"/>
        <item x="1263"/>
        <item x="88"/>
        <item x="1867"/>
        <item x="73"/>
        <item x="836"/>
        <item x="1326"/>
        <item x="1664"/>
        <item x="487"/>
        <item x="893"/>
        <item x="1834"/>
        <item x="667"/>
        <item x="631"/>
        <item x="2102"/>
        <item x="361"/>
        <item x="1814"/>
        <item x="643"/>
        <item x="937"/>
        <item x="1176"/>
        <item x="436"/>
        <item x="1775"/>
        <item x="257"/>
        <item x="1674"/>
        <item x="102"/>
        <item x="335"/>
        <item x="1879"/>
        <item x="1030"/>
        <item x="995"/>
        <item x="1315"/>
        <item x="398"/>
        <item x="537"/>
        <item x="1932"/>
        <item x="43"/>
        <item x="2010"/>
        <item x="1937"/>
        <item x="174"/>
        <item x="1892"/>
        <item x="709"/>
        <item x="188"/>
        <item x="824"/>
        <item x="2050"/>
        <item x="58"/>
        <item x="753"/>
        <item x="688"/>
        <item x="1784"/>
        <item x="475"/>
        <item x="620"/>
        <item x="574"/>
        <item x="949"/>
        <item x="1572"/>
        <item x="1612"/>
        <item x="718"/>
        <item x="2019"/>
        <item x="1990"/>
        <item x="1532"/>
        <item x="1383"/>
        <item x="2127"/>
        <item x="2149"/>
        <item x="1285"/>
        <item x="1856"/>
        <item x="870"/>
        <item x="1472"/>
        <item x="1632"/>
        <item x="765"/>
        <item x="1948"/>
        <item x="1523"/>
        <item x="2039"/>
        <item x="145"/>
        <item x="1197"/>
        <item x="117"/>
        <item x="1007"/>
        <item x="1064"/>
        <item x="1153"/>
        <item x="985"/>
        <item x="596"/>
        <item x="1274"/>
        <item x="1683"/>
        <item x="778"/>
        <item x="1503"/>
        <item x="561"/>
        <item x="2091"/>
        <item x="348"/>
        <item x="462"/>
        <item x="1824"/>
        <item x="284"/>
        <item x="2029"/>
        <item x="1654"/>
        <item x="1077"/>
        <item x="609"/>
        <item x="1793"/>
        <item x="1461"/>
        <item x="309"/>
        <item x="742"/>
        <item x="655"/>
        <item x="498"/>
        <item x="449"/>
        <item x="1622"/>
        <item x="2158"/>
        <item x="1644"/>
        <item x="700"/>
        <item x="812"/>
        <item x="1406"/>
        <item x="2168"/>
        <item x="1978"/>
        <item x="1371"/>
        <item x="1594"/>
        <item x="1242"/>
        <item x="1295"/>
        <item x="1438"/>
        <item x="1704"/>
        <item x="1484"/>
        <item x="1574"/>
        <item x="906"/>
        <item x="363"/>
        <item x="720"/>
        <item x="1199"/>
        <item x="918"/>
        <item x="375"/>
        <item x="15"/>
        <item x="2112"/>
        <item x="848"/>
        <item x="1958"/>
        <item x="1222"/>
        <item x="1440"/>
        <item x="838"/>
        <item x="1178"/>
        <item x="1155"/>
        <item x="1545"/>
        <item x="2063"/>
        <item x="147"/>
        <item x="872"/>
        <item x="0"/>
        <item x="1904"/>
        <item x="1534"/>
        <item x="119"/>
        <item x="1408"/>
        <item x="190"/>
        <item x="1916"/>
        <item x="1244"/>
        <item x="218"/>
        <item x="1685"/>
        <item x="1134"/>
        <item x="1950"/>
        <item x="1079"/>
        <item x="204"/>
        <item x="1297"/>
        <item x="2074"/>
        <item x="2104"/>
        <item x="1716"/>
        <item x="1385"/>
        <item x="1353"/>
        <item x="286"/>
        <item x="1009"/>
        <item x="1894"/>
        <item x="500"/>
        <item x="1341"/>
        <item x="1745"/>
        <item x="539"/>
        <item x="1044"/>
        <item x="233"/>
        <item x="259"/>
        <item x="1736"/>
        <item x="1122"/>
        <item x="513"/>
        <item x="1706"/>
        <item x="1726"/>
        <item x="374"/>
        <item x="1584"/>
        <item x="1032"/>
        <item x="790"/>
        <item x="160"/>
        <item x="576"/>
        <item x="2121"/>
        <item x="1418"/>
        <item x="669"/>
        <item x="1505"/>
        <item x="387"/>
        <item x="847"/>
        <item x="1486"/>
        <item x="1210"/>
        <item x="311"/>
        <item x="14"/>
        <item x="1417"/>
        <item x="928"/>
        <item x="1554"/>
        <item x="1189"/>
        <item x="860"/>
        <item x="1836"/>
        <item x="895"/>
        <item x="1100"/>
        <item x="962"/>
        <item x="400"/>
        <item x="29"/>
        <item x="1450"/>
        <item x="917"/>
        <item x="1968"/>
        <item x="1656"/>
        <item x="881"/>
        <item x="1253"/>
        <item x="1795"/>
        <item x="1555"/>
        <item x="951"/>
        <item x="133"/>
        <item x="1925"/>
        <item x="1957"/>
        <item x="730"/>
        <item x="1307"/>
        <item x="60"/>
        <item x="1144"/>
        <item x="1209"/>
        <item x="1089"/>
        <item x="1165"/>
        <item x="413"/>
        <item x="633"/>
        <item x="1232"/>
        <item x="2073"/>
        <item x="1725"/>
        <item x="657"/>
        <item x="1544"/>
        <item x="2052"/>
        <item x="1992"/>
        <item x="203"/>
        <item x="1397"/>
        <item x="2111"/>
        <item x="1846"/>
        <item x="1361"/>
        <item x="1915"/>
        <item x="882"/>
        <item x="1021"/>
        <item x="1088"/>
        <item x="232"/>
        <item x="477"/>
        <item x="298"/>
        <item x="90"/>
        <item x="1317"/>
        <item x="801"/>
        <item x="1055"/>
        <item x="1328"/>
        <item x="2129"/>
        <item x="780"/>
        <item x="525"/>
        <item x="1926"/>
        <item x="350"/>
        <item x="245"/>
        <item x="1695"/>
        <item x="161"/>
        <item x="1756"/>
        <item x="826"/>
        <item x="1020"/>
        <item x="217"/>
        <item x="1596"/>
        <item x="1666"/>
        <item x="549"/>
        <item x="1133"/>
        <item x="30"/>
        <item x="1715"/>
        <item x="1744"/>
        <item x="372"/>
        <item x="1735"/>
        <item x="2082"/>
        <item x="1903"/>
        <item x="2093"/>
        <item x="2002"/>
        <item x="512"/>
        <item x="1757"/>
        <item x="412"/>
        <item x="1352"/>
        <item x="1166"/>
        <item x="75"/>
        <item x="939"/>
        <item x="1826"/>
        <item x="814"/>
        <item x="158"/>
        <item x="1582"/>
        <item x="425"/>
        <item x="1221"/>
        <item x="1858"/>
        <item x="2001"/>
        <item x="987"/>
        <item x="2119"/>
        <item x="385"/>
        <item x="464"/>
        <item x="845"/>
        <item x="271"/>
        <item x="587"/>
        <item x="324"/>
        <item x="679"/>
        <item x="974"/>
        <item x="905"/>
        <item x="176"/>
        <item x="1495"/>
        <item x="929"/>
        <item x="1415"/>
        <item x="1805"/>
        <item x="1934"/>
        <item x="12"/>
        <item x="550"/>
        <item x="1552"/>
        <item x="1427"/>
        <item x="1121"/>
        <item x="926"/>
        <item x="1187"/>
        <item x="858"/>
        <item x="323"/>
        <item x="1515"/>
        <item x="879"/>
        <item x="1448"/>
        <item x="1099"/>
        <item x="915"/>
        <item x="27"/>
        <item x="2041"/>
        <item x="1251"/>
        <item x="789"/>
        <item x="1966"/>
        <item x="1043"/>
        <item x="961"/>
        <item x="1254"/>
        <item x="1605"/>
        <item x="767"/>
        <item x="622"/>
        <item x="131"/>
        <item x="861"/>
        <item x="563"/>
        <item x="424"/>
        <item x="2139"/>
        <item x="1111"/>
        <item x="680"/>
        <item x="1564"/>
        <item x="2062"/>
        <item x="2012"/>
        <item x="1305"/>
        <item x="1665"/>
        <item x="1923"/>
        <item x="1955"/>
        <item x="728"/>
        <item x="45"/>
        <item x="1604"/>
        <item x="1327"/>
        <item x="1142"/>
        <item x="1777"/>
        <item x="246"/>
        <item x="1340"/>
        <item x="1207"/>
        <item x="1308"/>
        <item x="1056"/>
        <item x="74"/>
        <item x="1463"/>
        <item x="1723"/>
        <item x="1163"/>
        <item x="1565"/>
        <item x="2140"/>
        <item x="1230"/>
        <item x="711"/>
        <item x="894"/>
        <item x="488"/>
        <item x="755"/>
        <item x="1767"/>
        <item x="2071"/>
        <item x="388"/>
        <item x="1542"/>
        <item x="837"/>
        <item x="668"/>
        <item x="644"/>
        <item x="1844"/>
        <item x="1869"/>
        <item x="1881"/>
        <item x="1395"/>
        <item x="89"/>
        <item x="362"/>
        <item x="997"/>
        <item x="2109"/>
        <item x="1835"/>
        <item x="1847"/>
        <item x="201"/>
        <item x="731"/>
        <item x="1373"/>
        <item x="975"/>
        <item x="2122"/>
        <item x="1868"/>
        <item x="1177"/>
        <item x="1359"/>
        <item x="526"/>
        <item x="103"/>
        <item x="1815"/>
        <item x="437"/>
        <item x="1086"/>
        <item x="1264"/>
        <item x="230"/>
        <item x="2103"/>
        <item x="296"/>
        <item x="1913"/>
        <item x="588"/>
        <item x="799"/>
        <item x="1675"/>
        <item x="1676"/>
        <item x="611"/>
        <item x="1053"/>
        <item x="1031"/>
        <item x="134"/>
        <item x="598"/>
        <item x="523"/>
        <item x="1933"/>
        <item x="104"/>
        <item x="632"/>
        <item x="996"/>
        <item x="938"/>
        <item x="1980"/>
        <item x="2031"/>
        <item x="44"/>
        <item x="243"/>
        <item x="2011"/>
        <item x="2083"/>
        <item x="1754"/>
        <item x="1786"/>
        <item x="1276"/>
        <item x="175"/>
        <item x="337"/>
        <item x="547"/>
        <item x="1693"/>
        <item x="489"/>
        <item x="336"/>
        <item x="189"/>
        <item x="825"/>
        <item x="1316"/>
        <item x="215"/>
        <item x="1131"/>
        <item x="1880"/>
        <item x="258"/>
        <item x="1733"/>
        <item x="1713"/>
        <item x="1451"/>
        <item x="1776"/>
        <item x="272"/>
        <item x="754"/>
        <item x="1901"/>
        <item x="2051"/>
        <item x="1742"/>
        <item x="399"/>
        <item x="950"/>
        <item x="1938"/>
        <item x="510"/>
        <item x="1624"/>
        <item x="2080"/>
        <item x="410"/>
        <item x="451"/>
        <item x="476"/>
        <item x="1350"/>
        <item x="1816"/>
        <item x="59"/>
        <item x="689"/>
        <item x="1999"/>
        <item x="1893"/>
        <item x="710"/>
        <item x="1219"/>
        <item x="1524"/>
        <item x="538"/>
        <item x="1785"/>
        <item x="575"/>
        <item x="1614"/>
        <item x="621"/>
        <item x="1613"/>
        <item x="1496"/>
        <item x="1573"/>
        <item x="2020"/>
        <item x="2151"/>
        <item x="585"/>
        <item x="2128"/>
        <item x="903"/>
        <item x="269"/>
        <item x="677"/>
        <item x="719"/>
        <item x="1493"/>
        <item x="1533"/>
        <item x="1585"/>
        <item x="1939"/>
        <item x="299"/>
        <item x="871"/>
        <item x="972"/>
        <item x="2150"/>
        <item x="1803"/>
        <item x="1857"/>
        <item x="1154"/>
        <item x="1634"/>
        <item x="1008"/>
        <item x="1384"/>
        <item x="1119"/>
        <item x="1991"/>
        <item x="1473"/>
        <item x="986"/>
        <item x="1286"/>
        <item x="562"/>
        <item x="1425"/>
        <item x="146"/>
        <item x="2021"/>
        <item x="1066"/>
        <item x="766"/>
        <item x="779"/>
        <item x="1097"/>
        <item x="1646"/>
        <item x="2040"/>
        <item x="1065"/>
        <item x="597"/>
        <item x="690"/>
        <item x="1513"/>
        <item x="1265"/>
        <item x="321"/>
        <item x="1198"/>
        <item x="787"/>
        <item x="1684"/>
        <item x="118"/>
        <item x="1633"/>
        <item x="959"/>
        <item x="1504"/>
        <item x="438"/>
        <item x="610"/>
        <item x="645"/>
        <item x="1794"/>
        <item x="1949"/>
        <item x="1696"/>
        <item x="1041"/>
        <item x="2092"/>
        <item x="1398"/>
        <item x="1474"/>
        <item x="2137"/>
        <item x="349"/>
        <item x="422"/>
        <item x="743"/>
        <item x="802"/>
        <item x="2060"/>
        <item x="1109"/>
        <item x="463"/>
        <item x="1462"/>
        <item x="1233"/>
        <item x="1562"/>
        <item x="1428"/>
        <item x="1287"/>
        <item x="285"/>
        <item x="1825"/>
        <item x="1602"/>
        <item x="1655"/>
        <item x="1969"/>
        <item x="1362"/>
        <item x="2160"/>
        <item x="1275"/>
        <item x="1338"/>
        <item x="1325"/>
        <item x="1078"/>
        <item x="72"/>
        <item x="499"/>
        <item x="1765"/>
        <item x="2030"/>
        <item x="835"/>
        <item x="310"/>
        <item x="892"/>
        <item x="486"/>
        <item x="666"/>
        <item x="2159"/>
        <item x="87"/>
        <item x="642"/>
        <item x="450"/>
        <item x="1623"/>
        <item x="1645"/>
        <item x="656"/>
        <item x="360"/>
        <item x="1833"/>
        <item x="1262"/>
        <item x="701"/>
        <item x="1175"/>
        <item x="1813"/>
        <item x="813"/>
        <item x="2101"/>
        <item x="435"/>
        <item x="101"/>
        <item x="1595"/>
        <item x="1407"/>
        <item x="2169"/>
        <item x="1673"/>
        <item x="630"/>
        <item x="1029"/>
        <item x="1979"/>
        <item x="936"/>
        <item x="1931"/>
        <item x="1243"/>
        <item x="994"/>
        <item x="1372"/>
        <item x="42"/>
        <item x="2009"/>
        <item x="334"/>
        <item x="1296"/>
        <item x="173"/>
        <item x="256"/>
        <item x="1878"/>
        <item x="1774"/>
        <item x="187"/>
        <item x="823"/>
        <item x="1439"/>
        <item x="397"/>
        <item x="752"/>
        <item x="1936"/>
        <item x="1485"/>
        <item x="1705"/>
        <item x="2049"/>
        <item x="948"/>
        <item x="474"/>
        <item x="536"/>
        <item x="57"/>
        <item x="1891"/>
        <item x="687"/>
        <item x="1783"/>
        <item x="573"/>
        <item x="619"/>
        <item x="1611"/>
        <item x="1571"/>
        <item x="1522"/>
        <item x="2018"/>
        <item x="717"/>
        <item x="1531"/>
        <item x="869"/>
        <item x="2148"/>
        <item x="1855"/>
        <item x="1382"/>
        <item x="1989"/>
        <item x="1006"/>
        <item x="1471"/>
        <item x="1152"/>
        <item x="1284"/>
        <item x="144"/>
        <item x="984"/>
        <item x="764"/>
        <item x="560"/>
        <item x="2038"/>
        <item x="777"/>
        <item x="1631"/>
        <item x="595"/>
        <item x="1196"/>
        <item x="116"/>
        <item x="1947"/>
        <item x="1682"/>
        <item x="1502"/>
        <item x="2090"/>
        <item x="608"/>
        <item x="1792"/>
        <item x="347"/>
        <item x="461"/>
        <item x="741"/>
        <item x="1823"/>
        <item x="283"/>
        <item x="1460"/>
        <item x="1273"/>
        <item x="1653"/>
        <item x="1076"/>
        <item x="497"/>
        <item x="2028"/>
        <item x="308"/>
        <item x="2157"/>
        <item x="448"/>
        <item x="654"/>
        <item x="1621"/>
        <item x="1643"/>
        <item x="699"/>
        <item x="811"/>
        <item x="1405"/>
        <item x="2167"/>
        <item x="1593"/>
        <item x="1977"/>
        <item x="1370"/>
        <item x="1241"/>
        <item x="1294"/>
        <item x="1437"/>
        <item x="1483"/>
        <item x="1703"/>
        <item t="default"/>
      </items>
    </pivotField>
    <pivotField axis="axisPage" compact="0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 v="11"/>
    </i>
    <i>
      <x v="12"/>
    </i>
    <i>
      <x v="13"/>
    </i>
  </colItems>
  <pageFields count="1">
    <pageField fld="3"/>
  </pageFields>
  <dataFields count="1">
    <dataField name="全年" fld="2" subtotal="average" baseField="0" baseItem="0"/>
  </dataFields>
  <formats count="1"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R17" totalsRowShown="0">
  <autoFilter ref="A1:R17"/>
  <tableColumns count="18">
    <tableColumn id="1" name="姓名" dataDxfId="3"/>
    <tableColumn id="2" name="性别" dataDxfId="4"/>
    <tableColumn id="3" name="合同种类" dataDxfId="5"/>
    <tableColumn id="4" name="基本工资" dataDxfId="6"/>
    <tableColumn id="5" name="岗位工资" dataDxfId="7"/>
    <tableColumn id="6" name="工龄工资" dataDxfId="8"/>
    <tableColumn id="7" name="补贴" dataDxfId="9"/>
    <tableColumn id="8" name="医疗补助" dataDxfId="10"/>
    <tableColumn id="9" name="奖金" dataDxfId="11"/>
    <tableColumn id="10" name="考勤扣款" dataDxfId="12"/>
    <tableColumn id="11" name="住房公积金" dataDxfId="13"/>
    <tableColumn id="12" name="养老保险" dataDxfId="14"/>
    <tableColumn id="13" name="医疗保险" dataDxfId="15"/>
    <tableColumn id="14" name="失业保险" dataDxfId="16"/>
    <tableColumn id="15" name="个人所得税" dataDxfId="17"/>
    <tableColumn id="16" name="应发合计" dataDxfId="18"/>
    <tableColumn id="17" name="应扣合计" dataDxfId="19"/>
    <tableColumn id="18" name="实发合计" dataDxfId="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R17" totalsRowShown="0">
  <autoFilter ref="A1:R17"/>
  <tableColumns count="18">
    <tableColumn id="1" name="姓名" dataDxfId="21"/>
    <tableColumn id="2" name="性别" dataDxfId="22"/>
    <tableColumn id="3" name="合同种类" dataDxfId="23"/>
    <tableColumn id="4" name="基本工资" dataDxfId="24"/>
    <tableColumn id="5" name="岗位工资" dataDxfId="25"/>
    <tableColumn id="6" name="工龄工资" dataDxfId="26"/>
    <tableColumn id="7" name="补贴" dataDxfId="27"/>
    <tableColumn id="8" name="医疗补助" dataDxfId="28"/>
    <tableColumn id="9" name="奖金" dataDxfId="29"/>
    <tableColumn id="10" name="考勤扣款" dataDxfId="30"/>
    <tableColumn id="11" name="住房公积金" dataDxfId="31"/>
    <tableColumn id="12" name="养老保险" dataDxfId="32"/>
    <tableColumn id="13" name="医疗保险" dataDxfId="33"/>
    <tableColumn id="14" name="失业保险" dataDxfId="34"/>
    <tableColumn id="15" name="个人所得税" dataDxfId="35"/>
    <tableColumn id="16" name="应发合计" dataDxfId="36"/>
    <tableColumn id="17" name="应扣合计" dataDxfId="37"/>
    <tableColumn id="18" name="实发合计" dataDxfId="3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1:R17" totalsRowShown="0">
  <autoFilter ref="A1:R17"/>
  <tableColumns count="18">
    <tableColumn id="1" name="姓名" dataDxfId="39"/>
    <tableColumn id="2" name="性别" dataDxfId="40"/>
    <tableColumn id="3" name="合同种类" dataDxfId="41"/>
    <tableColumn id="4" name="基本工资" dataDxfId="42"/>
    <tableColumn id="5" name="岗位工资" dataDxfId="43"/>
    <tableColumn id="6" name="工龄工资" dataDxfId="44"/>
    <tableColumn id="7" name="补贴" dataDxfId="45"/>
    <tableColumn id="8" name="医疗补助" dataDxfId="46"/>
    <tableColumn id="9" name="奖金" dataDxfId="47"/>
    <tableColumn id="10" name="考勤扣款" dataDxfId="48"/>
    <tableColumn id="11" name="住房公积金" dataDxfId="49"/>
    <tableColumn id="12" name="养老保险" dataDxfId="50"/>
    <tableColumn id="13" name="医疗保险" dataDxfId="51"/>
    <tableColumn id="14" name="失业保险" dataDxfId="52"/>
    <tableColumn id="15" name="个人所得税" dataDxfId="53"/>
    <tableColumn id="16" name="应发合计" dataDxfId="54"/>
    <tableColumn id="17" name="应扣合计" dataDxfId="55"/>
    <tableColumn id="18" name="实发合计" dataDxfId="5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表4" displayName="表4" ref="A1:R17" totalsRowShown="0">
  <autoFilter ref="A1:R17"/>
  <tableColumns count="18">
    <tableColumn id="1" name="姓名" dataDxfId="57"/>
    <tableColumn id="2" name="性别" dataDxfId="58"/>
    <tableColumn id="3" name="合同种类" dataDxfId="59"/>
    <tableColumn id="4" name="基本工资" dataDxfId="60"/>
    <tableColumn id="5" name="岗位工资" dataDxfId="61"/>
    <tableColumn id="6" name="工龄工资" dataDxfId="62"/>
    <tableColumn id="7" name="补贴" dataDxfId="63"/>
    <tableColumn id="8" name="医疗补助" dataDxfId="64"/>
    <tableColumn id="9" name="奖金" dataDxfId="65"/>
    <tableColumn id="10" name="考勤扣款" dataDxfId="66"/>
    <tableColumn id="11" name="住房公积金" dataDxfId="67"/>
    <tableColumn id="12" name="养老保险" dataDxfId="68"/>
    <tableColumn id="13" name="医疗保险" dataDxfId="69"/>
    <tableColumn id="14" name="失业保险" dataDxfId="70"/>
    <tableColumn id="15" name="个人所得税" dataDxfId="71"/>
    <tableColumn id="16" name="应发合计" dataDxfId="72"/>
    <tableColumn id="17" name="应扣合计" dataDxfId="73"/>
    <tableColumn id="18" name="实发合计" dataDxfId="7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表5" displayName="表5" ref="A1:R17" totalsRowShown="0">
  <autoFilter ref="A1:R17"/>
  <tableColumns count="18">
    <tableColumn id="1" name="姓名" dataDxfId="75"/>
    <tableColumn id="2" name="性别" dataDxfId="76"/>
    <tableColumn id="3" name="合同种类" dataDxfId="77"/>
    <tableColumn id="4" name="基本工资" dataDxfId="78"/>
    <tableColumn id="5" name="岗位工资" dataDxfId="79"/>
    <tableColumn id="6" name="工龄工资" dataDxfId="80"/>
    <tableColumn id="7" name="补贴" dataDxfId="81"/>
    <tableColumn id="8" name="医疗补助" dataDxfId="82"/>
    <tableColumn id="9" name="奖金" dataDxfId="83"/>
    <tableColumn id="10" name="考勤扣款" dataDxfId="84"/>
    <tableColumn id="11" name="住房公积金" dataDxfId="85"/>
    <tableColumn id="12" name="养老保险" dataDxfId="86"/>
    <tableColumn id="13" name="医疗保险" dataDxfId="87"/>
    <tableColumn id="14" name="失业保险" dataDxfId="88"/>
    <tableColumn id="15" name="个人所得税" dataDxfId="89"/>
    <tableColumn id="16" name="应发合计" dataDxfId="90"/>
    <tableColumn id="17" name="应扣合计" dataDxfId="91"/>
    <tableColumn id="18" name="实发合计" dataDxfId="9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表6" displayName="表6" ref="A1:R17" totalsRowShown="0">
  <autoFilter ref="A1:R17"/>
  <tableColumns count="18">
    <tableColumn id="1" name="姓名" dataDxfId="93"/>
    <tableColumn id="2" name="性别" dataDxfId="94"/>
    <tableColumn id="3" name="合同种类" dataDxfId="95"/>
    <tableColumn id="4" name="基本工资" dataDxfId="96"/>
    <tableColumn id="5" name="岗位工资" dataDxfId="97"/>
    <tableColumn id="6" name="工龄工资" dataDxfId="98"/>
    <tableColumn id="7" name="补贴" dataDxfId="99"/>
    <tableColumn id="8" name="医疗补助" dataDxfId="100"/>
    <tableColumn id="9" name="奖金" dataDxfId="101"/>
    <tableColumn id="10" name="考勤扣款" dataDxfId="102"/>
    <tableColumn id="11" name="住房公积金" dataDxfId="103"/>
    <tableColumn id="12" name="养老保险" dataDxfId="104"/>
    <tableColumn id="13" name="医疗保险" dataDxfId="105"/>
    <tableColumn id="14" name="失业保险" dataDxfId="106"/>
    <tableColumn id="15" name="个人所得税" dataDxfId="107"/>
    <tableColumn id="16" name="应发合计" dataDxfId="108"/>
    <tableColumn id="17" name="应扣合计" dataDxfId="109"/>
    <tableColumn id="18" name="实发合计" dataDxfId="11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表7" displayName="表7" ref="A1:R17" totalsRowShown="0">
  <autoFilter ref="A1:R17"/>
  <tableColumns count="18">
    <tableColumn id="1" name="姓名" dataDxfId="111"/>
    <tableColumn id="2" name="性别" dataDxfId="112"/>
    <tableColumn id="3" name="合同种类" dataDxfId="113"/>
    <tableColumn id="4" name="基本工资" dataDxfId="114"/>
    <tableColumn id="5" name="岗位工资" dataDxfId="115"/>
    <tableColumn id="6" name="工龄工资" dataDxfId="116"/>
    <tableColumn id="7" name="补贴" dataDxfId="117"/>
    <tableColumn id="8" name="医疗补助" dataDxfId="118"/>
    <tableColumn id="9" name="奖金" dataDxfId="119"/>
    <tableColumn id="10" name="考勤扣款" dataDxfId="120"/>
    <tableColumn id="11" name="住房公积金" dataDxfId="121"/>
    <tableColumn id="12" name="养老保险" dataDxfId="122"/>
    <tableColumn id="13" name="医疗保险" dataDxfId="123"/>
    <tableColumn id="14" name="失业保险" dataDxfId="124"/>
    <tableColumn id="15" name="个人所得税" dataDxfId="125"/>
    <tableColumn id="16" name="应发合计" dataDxfId="126"/>
    <tableColumn id="17" name="应扣合计" dataDxfId="127"/>
    <tableColumn id="18" name="实发合计" dataDxfId="12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表8" displayName="表8" ref="A1:R17" totalsRowShown="0">
  <autoFilter ref="A1:R17"/>
  <tableColumns count="18">
    <tableColumn id="1" name="姓名" dataDxfId="129"/>
    <tableColumn id="2" name="性别" dataDxfId="130"/>
    <tableColumn id="3" name="合同种类" dataDxfId="131"/>
    <tableColumn id="4" name="基本工资" dataDxfId="132"/>
    <tableColumn id="5" name="岗位工资" dataDxfId="133"/>
    <tableColumn id="6" name="工龄工资" dataDxfId="134"/>
    <tableColumn id="7" name="补贴" dataDxfId="135"/>
    <tableColumn id="8" name="医疗补助" dataDxfId="136"/>
    <tableColumn id="9" name="奖金" dataDxfId="137"/>
    <tableColumn id="10" name="考勤扣款" dataDxfId="138"/>
    <tableColumn id="11" name="住房公积金" dataDxfId="139"/>
    <tableColumn id="12" name="养老保险" dataDxfId="140"/>
    <tableColumn id="13" name="医疗保险" dataDxfId="141"/>
    <tableColumn id="14" name="失业保险" dataDxfId="142"/>
    <tableColumn id="15" name="个人所得税" dataDxfId="143"/>
    <tableColumn id="16" name="应发合计" dataDxfId="144"/>
    <tableColumn id="17" name="应扣合计" dataDxfId="145"/>
    <tableColumn id="18" name="实发合计" dataDxfId="146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表9" displayName="表9" ref="A1:S21" totalsRowShown="0">
  <autoFilter ref="A1:S21"/>
  <sortState ref="A1:S21">
    <sortCondition ref="A2"/>
  </sortState>
  <tableColumns count="19">
    <tableColumn id="1" name="姓名" dataDxfId="147"/>
    <tableColumn id="2" name="性别" dataDxfId="148"/>
    <tableColumn id="3" name="合同种类" dataDxfId="149"/>
    <tableColumn id="4" name="基本工资" dataDxfId="150"/>
    <tableColumn id="5" name="岗位工资" dataDxfId="151"/>
    <tableColumn id="6" name="工龄工资" dataDxfId="152"/>
    <tableColumn id="7" name="补贴" dataDxfId="153"/>
    <tableColumn id="8" name="医疗补助" dataDxfId="154"/>
    <tableColumn id="9" name="奖金" dataDxfId="155"/>
    <tableColumn id="10" name="考勤扣款" dataDxfId="156"/>
    <tableColumn id="11" name="住房公积金" dataDxfId="157"/>
    <tableColumn id="12" name="养老保险" dataDxfId="158"/>
    <tableColumn id="13" name="医疗保险" dataDxfId="159"/>
    <tableColumn id="14" name="失业保险" dataDxfId="160"/>
    <tableColumn id="15" name="个人所得税" dataDxfId="161"/>
    <tableColumn id="16" name="应发合计" dataDxfId="162"/>
    <tableColumn id="17" name="应扣合计" dataDxfId="163"/>
    <tableColumn id="18" name="实发合计" dataDxfId="164"/>
    <tableColumn id="19" name="实发排行榜" dataDxfId="165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表10" displayName="表10" ref="A1:R17" totalsRowShown="0">
  <autoFilter ref="A1:R17"/>
  <tableColumns count="18">
    <tableColumn id="1" name="姓名" dataDxfId="166"/>
    <tableColumn id="2" name="性别" dataDxfId="167"/>
    <tableColumn id="3" name="合同种类" dataDxfId="168"/>
    <tableColumn id="4" name="基本工资" dataDxfId="169"/>
    <tableColumn id="5" name="岗位工资" dataDxfId="170"/>
    <tableColumn id="6" name="工龄工资" dataDxfId="171"/>
    <tableColumn id="7" name="补贴" dataDxfId="172"/>
    <tableColumn id="8" name="医疗补助" dataDxfId="173"/>
    <tableColumn id="9" name="奖金" dataDxfId="174"/>
    <tableColumn id="10" name="考勤扣款" dataDxfId="175"/>
    <tableColumn id="11" name="住房公积金" dataDxfId="176"/>
    <tableColumn id="12" name="养老保险" dataDxfId="177"/>
    <tableColumn id="13" name="医疗保险" dataDxfId="178"/>
    <tableColumn id="14" name="失业保险" dataDxfId="179"/>
    <tableColumn id="15" name="个人所得税" dataDxfId="180"/>
    <tableColumn id="16" name="应发合计" dataDxfId="181"/>
    <tableColumn id="17" name="应扣合计" dataDxfId="182"/>
    <tableColumn id="18" name="实发合计" dataDxfId="183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表11" displayName="表11" ref="A1:R17" totalsRowShown="0">
  <autoFilter ref="A1:R17"/>
  <tableColumns count="18">
    <tableColumn id="1" name="姓名" dataDxfId="184"/>
    <tableColumn id="2" name="性别" dataDxfId="185"/>
    <tableColumn id="3" name="合同种类" dataDxfId="186"/>
    <tableColumn id="4" name="基本工资" dataDxfId="187"/>
    <tableColumn id="5" name="岗位工资" dataDxfId="188"/>
    <tableColumn id="6" name="工龄工资" dataDxfId="189"/>
    <tableColumn id="7" name="补贴" dataDxfId="190"/>
    <tableColumn id="8" name="医疗补助" dataDxfId="191"/>
    <tableColumn id="9" name="奖金" dataDxfId="192"/>
    <tableColumn id="10" name="考勤扣款" dataDxfId="193"/>
    <tableColumn id="11" name="住房公积金" dataDxfId="194"/>
    <tableColumn id="12" name="养老保险" dataDxfId="195"/>
    <tableColumn id="13" name="医疗保险" dataDxfId="196"/>
    <tableColumn id="14" name="失业保险" dataDxfId="197"/>
    <tableColumn id="15" name="个人所得税" dataDxfId="198"/>
    <tableColumn id="16" name="应发合计" dataDxfId="199"/>
    <tableColumn id="17" name="应扣合计" dataDxfId="200"/>
    <tableColumn id="18" name="实发合计" dataDxfId="201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表12" displayName="表12" ref="A1:R17" totalsRowShown="0">
  <autoFilter ref="A1:R17"/>
  <tableColumns count="18">
    <tableColumn id="1" name="姓名" dataDxfId="202"/>
    <tableColumn id="2" name="性别" dataDxfId="203"/>
    <tableColumn id="3" name="合同种类" dataDxfId="204"/>
    <tableColumn id="4" name="基本工资" dataDxfId="205"/>
    <tableColumn id="5" name="岗位工资" dataDxfId="206"/>
    <tableColumn id="6" name="工龄工资" dataDxfId="207"/>
    <tableColumn id="7" name="补贴" dataDxfId="208"/>
    <tableColumn id="8" name="医疗补助" dataDxfId="209"/>
    <tableColumn id="9" name="奖金" dataDxfId="210"/>
    <tableColumn id="10" name="考勤扣款" dataDxfId="211"/>
    <tableColumn id="11" name="住房公积金" dataDxfId="212"/>
    <tableColumn id="12" name="养老保险" dataDxfId="213"/>
    <tableColumn id="13" name="医疗保险" dataDxfId="214"/>
    <tableColumn id="14" name="失业保险" dataDxfId="215"/>
    <tableColumn id="15" name="个人所得税" dataDxfId="216"/>
    <tableColumn id="16" name="应发合计" dataDxfId="217"/>
    <tableColumn id="17" name="应扣合计" dataDxfId="218"/>
    <tableColumn id="18" name="实发合计" dataDxfId="2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1" width="8.88888888888889" style="2"/>
    <col min="16382" max="16384" width="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2975</v>
      </c>
      <c r="E2" s="4">
        <v>441</v>
      </c>
      <c r="F2" s="4">
        <v>60</v>
      </c>
      <c r="G2" s="4">
        <v>900</v>
      </c>
      <c r="H2" s="4">
        <v>354</v>
      </c>
      <c r="I2" s="4">
        <v>332</v>
      </c>
      <c r="J2" s="4">
        <v>100</v>
      </c>
      <c r="K2" s="4">
        <v>404.96</v>
      </c>
      <c r="L2" s="4">
        <v>303.72</v>
      </c>
      <c r="M2" s="4">
        <v>43.74</v>
      </c>
      <c r="N2" s="4">
        <v>139.68</v>
      </c>
      <c r="O2" s="4">
        <f>IF(P2-SUM(K2:N2)&lt;=2000,0,IF(P2-SUM(K2:N2)&lt;=4000,0+(P2-SUM(K2:N2)-2000)*0.03,IF(P2-SUM(K2:N2)&lt;=8000,0+2000*0.03+(P2-SUM(K2:N2)-4000)*0.08,0+2000*0.03+4000*0.08+(P2-SUM(K2:N2)-8000)*0.1)))</f>
        <v>65.592</v>
      </c>
      <c r="P2" s="4">
        <f>D2+E2+F2+G2+H2+I2-J2</f>
        <v>4962</v>
      </c>
      <c r="Q2" s="4">
        <f>K2+L2+M2+N2+O2</f>
        <v>957.692</v>
      </c>
      <c r="R2" s="4">
        <f>P2-Q2</f>
        <v>4004.308</v>
      </c>
    </row>
    <row r="3" spans="1:18">
      <c r="A3" s="3" t="s">
        <v>19</v>
      </c>
      <c r="B3" s="3" t="str">
        <f>VLOOKUP(A3,员工资料!A:C,2,FALSE)</f>
        <v>男</v>
      </c>
      <c r="C3" s="3" t="str">
        <f>VLOOKUP(A3,员工资料!A:C,3,FALSE)</f>
        <v>合同工</v>
      </c>
      <c r="D3" s="4">
        <v>2637</v>
      </c>
      <c r="E3" s="4">
        <v>429</v>
      </c>
      <c r="F3" s="4">
        <v>110</v>
      </c>
      <c r="G3" s="4">
        <v>835</v>
      </c>
      <c r="H3" s="4">
        <v>594</v>
      </c>
      <c r="I3" s="4">
        <v>568</v>
      </c>
      <c r="J3" s="4">
        <v>81</v>
      </c>
      <c r="K3" s="4">
        <v>413.84</v>
      </c>
      <c r="L3" s="4">
        <v>310.38</v>
      </c>
      <c r="M3" s="4">
        <v>50.72</v>
      </c>
      <c r="N3" s="4">
        <v>168.56</v>
      </c>
      <c r="O3" s="4">
        <f t="shared" ref="O3:O17" si="0">IF(P3-SUM(K3:N3)&lt;=2000,0,IF(P3-SUM(K3:N3)&lt;=4000,0+(P3-SUM(K3:N3)-2000)*0.03,IF(P3-SUM(K3:N3)&lt;=8000,0+2000*0.03+(P3-SUM(K3:N3)-4000)*0.08,0+2000*0.03+4000*0.08+(P3-SUM(K3:N3)-8000)*0.1)))</f>
        <v>71.88</v>
      </c>
      <c r="P3" s="4">
        <f t="shared" ref="P3:P17" si="1">D3+E3+F3+G3+H3+I3-J3</f>
        <v>5092</v>
      </c>
      <c r="Q3" s="4">
        <f t="shared" ref="Q3:Q17" si="2">K3+L3+M3+N3+O3</f>
        <v>1015.38</v>
      </c>
      <c r="R3" s="4">
        <f t="shared" ref="R3:R17" si="3">P3-Q3</f>
        <v>4076.62</v>
      </c>
    </row>
    <row r="4" spans="1:18">
      <c r="A4" s="3" t="s">
        <v>20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4691</v>
      </c>
      <c r="E4" s="4">
        <v>320</v>
      </c>
      <c r="F4" s="4">
        <v>210</v>
      </c>
      <c r="G4" s="4">
        <v>1229</v>
      </c>
      <c r="H4" s="4">
        <v>277</v>
      </c>
      <c r="I4" s="4">
        <v>494</v>
      </c>
      <c r="J4" s="4">
        <v>16</v>
      </c>
      <c r="K4" s="4">
        <v>577.68</v>
      </c>
      <c r="L4" s="4">
        <v>433.26</v>
      </c>
      <c r="M4" s="4">
        <v>50.6</v>
      </c>
      <c r="N4" s="4">
        <v>176.8</v>
      </c>
      <c r="O4" s="4">
        <f t="shared" si="0"/>
        <v>217.3328</v>
      </c>
      <c r="P4" s="4">
        <f t="shared" si="1"/>
        <v>7205</v>
      </c>
      <c r="Q4" s="4">
        <f t="shared" si="2"/>
        <v>1455.6728</v>
      </c>
      <c r="R4" s="4">
        <f t="shared" si="3"/>
        <v>5749.3272</v>
      </c>
    </row>
    <row r="5" spans="1:18">
      <c r="A5" s="3" t="s">
        <v>21</v>
      </c>
      <c r="B5" s="3" t="str">
        <f>VLOOKUP(A5,员工资料!A:C,2,FALSE)</f>
        <v>女</v>
      </c>
      <c r="C5" s="3" t="str">
        <f>VLOOKUP(A5,员工资料!A:C,3,FALSE)</f>
        <v>合同工</v>
      </c>
      <c r="D5" s="4">
        <v>5282</v>
      </c>
      <c r="E5" s="4">
        <v>323</v>
      </c>
      <c r="F5" s="4">
        <v>270</v>
      </c>
      <c r="G5" s="4">
        <v>910</v>
      </c>
      <c r="H5" s="4">
        <v>492</v>
      </c>
      <c r="I5" s="4">
        <v>255</v>
      </c>
      <c r="J5" s="4">
        <v>62</v>
      </c>
      <c r="K5" s="4">
        <v>602.56</v>
      </c>
      <c r="L5" s="4">
        <v>451.92</v>
      </c>
      <c r="M5" s="4">
        <v>46.24</v>
      </c>
      <c r="N5" s="4">
        <v>159.12</v>
      </c>
      <c r="O5" s="4">
        <f t="shared" si="0"/>
        <v>236.8128</v>
      </c>
      <c r="P5" s="4">
        <f t="shared" si="1"/>
        <v>7470</v>
      </c>
      <c r="Q5" s="4">
        <f t="shared" si="2"/>
        <v>1496.6528</v>
      </c>
      <c r="R5" s="4">
        <f t="shared" si="3"/>
        <v>5973.3472</v>
      </c>
    </row>
    <row r="6" spans="1:18">
      <c r="A6" s="3" t="s">
        <v>22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4233</v>
      </c>
      <c r="E6" s="4">
        <v>549</v>
      </c>
      <c r="F6" s="4">
        <v>230</v>
      </c>
      <c r="G6" s="4">
        <v>1032</v>
      </c>
      <c r="H6" s="4">
        <v>248</v>
      </c>
      <c r="I6" s="4">
        <v>414</v>
      </c>
      <c r="J6" s="4">
        <v>53</v>
      </c>
      <c r="K6" s="4">
        <v>536.48</v>
      </c>
      <c r="L6" s="4">
        <v>402.36</v>
      </c>
      <c r="M6" s="4">
        <v>50.52</v>
      </c>
      <c r="N6" s="4">
        <v>158.16</v>
      </c>
      <c r="O6" s="4">
        <f t="shared" si="0"/>
        <v>180.4384</v>
      </c>
      <c r="P6" s="4">
        <f t="shared" si="1"/>
        <v>6653</v>
      </c>
      <c r="Q6" s="4">
        <f t="shared" si="2"/>
        <v>1327.9584</v>
      </c>
      <c r="R6" s="4">
        <f t="shared" si="3"/>
        <v>5325.0416</v>
      </c>
    </row>
    <row r="7" spans="1:18">
      <c r="A7" s="3" t="s">
        <v>23</v>
      </c>
      <c r="B7" s="3" t="str">
        <f>VLOOKUP(A7,员工资料!A:C,2,FALSE)</f>
        <v>男</v>
      </c>
      <c r="C7" s="3" t="str">
        <f>VLOOKUP(A7,员工资料!A:C,3,FALSE)</f>
        <v>合同工</v>
      </c>
      <c r="D7" s="4">
        <v>4765</v>
      </c>
      <c r="E7" s="4">
        <v>374</v>
      </c>
      <c r="F7" s="4">
        <v>170</v>
      </c>
      <c r="G7" s="4">
        <v>714</v>
      </c>
      <c r="H7" s="4">
        <v>331</v>
      </c>
      <c r="I7" s="4">
        <v>463</v>
      </c>
      <c r="J7" s="4">
        <v>29</v>
      </c>
      <c r="K7" s="4">
        <v>545.36</v>
      </c>
      <c r="L7" s="4">
        <v>409.02</v>
      </c>
      <c r="M7" s="4">
        <v>41.04</v>
      </c>
      <c r="N7" s="4">
        <v>134.24</v>
      </c>
      <c r="O7" s="4">
        <f t="shared" si="0"/>
        <v>192.6672</v>
      </c>
      <c r="P7" s="4">
        <f t="shared" si="1"/>
        <v>6788</v>
      </c>
      <c r="Q7" s="4">
        <f t="shared" si="2"/>
        <v>1322.3272</v>
      </c>
      <c r="R7" s="4">
        <f t="shared" si="3"/>
        <v>5465.6728</v>
      </c>
    </row>
    <row r="8" spans="1:18">
      <c r="A8" s="3" t="s">
        <v>24</v>
      </c>
      <c r="B8" s="3" t="str">
        <f>VLOOKUP(A8,员工资料!A:C,2,FALSE)</f>
        <v>女</v>
      </c>
      <c r="C8" s="3" t="str">
        <f>VLOOKUP(A8,员工资料!A:C,3,FALSE)</f>
        <v>合同工</v>
      </c>
      <c r="D8" s="4">
        <v>4519</v>
      </c>
      <c r="E8" s="4">
        <v>534</v>
      </c>
      <c r="F8" s="4">
        <v>260</v>
      </c>
      <c r="G8" s="4">
        <v>1162</v>
      </c>
      <c r="H8" s="4">
        <v>277</v>
      </c>
      <c r="I8" s="4">
        <v>367</v>
      </c>
      <c r="J8" s="4">
        <v>130</v>
      </c>
      <c r="K8" s="4">
        <v>569.52</v>
      </c>
      <c r="L8" s="4">
        <v>427.14</v>
      </c>
      <c r="M8" s="4">
        <v>52.96</v>
      </c>
      <c r="N8" s="4">
        <v>173.36</v>
      </c>
      <c r="O8" s="4">
        <f t="shared" si="0"/>
        <v>201.2816</v>
      </c>
      <c r="P8" s="4">
        <f t="shared" si="1"/>
        <v>6989</v>
      </c>
      <c r="Q8" s="4">
        <f t="shared" si="2"/>
        <v>1424.2616</v>
      </c>
      <c r="R8" s="4">
        <f t="shared" si="3"/>
        <v>5564.7384</v>
      </c>
    </row>
    <row r="9" spans="1:18">
      <c r="A9" s="3" t="s">
        <v>25</v>
      </c>
      <c r="B9" s="3" t="str">
        <f>VLOOKUP(A9,员工资料!A:C,2,FALSE)</f>
        <v>女</v>
      </c>
      <c r="C9" s="3" t="str">
        <f>VLOOKUP(A9,员工资料!A:C,3,FALSE)</f>
        <v>劳务工</v>
      </c>
      <c r="D9" s="4">
        <v>5688</v>
      </c>
      <c r="E9" s="4">
        <v>279</v>
      </c>
      <c r="F9" s="4">
        <v>290</v>
      </c>
      <c r="G9" s="4">
        <v>963</v>
      </c>
      <c r="H9" s="4">
        <v>493</v>
      </c>
      <c r="I9" s="4">
        <v>242</v>
      </c>
      <c r="J9" s="4">
        <v>0</v>
      </c>
      <c r="K9" s="4">
        <v>636.4</v>
      </c>
      <c r="L9" s="4">
        <v>477.3</v>
      </c>
      <c r="M9" s="4">
        <v>45.34</v>
      </c>
      <c r="N9" s="4">
        <v>159.04</v>
      </c>
      <c r="O9" s="4">
        <f t="shared" si="0"/>
        <v>270.9536</v>
      </c>
      <c r="P9" s="4">
        <f t="shared" si="1"/>
        <v>7955</v>
      </c>
      <c r="Q9" s="4">
        <f t="shared" si="2"/>
        <v>1589.0336</v>
      </c>
      <c r="R9" s="4">
        <f t="shared" si="3"/>
        <v>6365.9664</v>
      </c>
    </row>
    <row r="10" spans="1:18">
      <c r="A10" s="3" t="s">
        <v>26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2981</v>
      </c>
      <c r="E10" s="4">
        <v>296</v>
      </c>
      <c r="F10" s="4">
        <v>200</v>
      </c>
      <c r="G10" s="4">
        <v>778</v>
      </c>
      <c r="H10" s="4">
        <v>595</v>
      </c>
      <c r="I10" s="4">
        <v>383</v>
      </c>
      <c r="J10" s="4">
        <v>54</v>
      </c>
      <c r="K10" s="4">
        <v>418.64</v>
      </c>
      <c r="L10" s="4">
        <v>313.98</v>
      </c>
      <c r="M10" s="4">
        <v>45.04</v>
      </c>
      <c r="N10" s="4">
        <v>159.6</v>
      </c>
      <c r="O10" s="4">
        <f t="shared" si="0"/>
        <v>79.3392</v>
      </c>
      <c r="P10" s="4">
        <f t="shared" si="1"/>
        <v>5179</v>
      </c>
      <c r="Q10" s="4">
        <f t="shared" si="2"/>
        <v>1016.5992</v>
      </c>
      <c r="R10" s="4">
        <f t="shared" si="3"/>
        <v>4162.4008</v>
      </c>
    </row>
    <row r="11" spans="1:18">
      <c r="A11" s="3" t="s">
        <v>27</v>
      </c>
      <c r="B11" s="3" t="str">
        <f>VLOOKUP(A11,员工资料!A:C,2,FALSE)</f>
        <v>男</v>
      </c>
      <c r="C11" s="3" t="str">
        <f>VLOOKUP(A11,员工资料!A:C,3,FALSE)</f>
        <v>劳务工</v>
      </c>
      <c r="D11" s="4">
        <v>5642</v>
      </c>
      <c r="E11" s="4">
        <v>242</v>
      </c>
      <c r="F11" s="4">
        <v>170</v>
      </c>
      <c r="G11" s="4">
        <v>1029</v>
      </c>
      <c r="H11" s="4">
        <v>453</v>
      </c>
      <c r="I11" s="4">
        <v>382</v>
      </c>
      <c r="J11" s="4">
        <v>76</v>
      </c>
      <c r="K11" s="4">
        <v>633.44</v>
      </c>
      <c r="L11" s="4">
        <v>475.08</v>
      </c>
      <c r="M11" s="4">
        <v>47.04</v>
      </c>
      <c r="N11" s="4">
        <v>168.8</v>
      </c>
      <c r="O11" s="4">
        <f t="shared" si="0"/>
        <v>261.4112</v>
      </c>
      <c r="P11" s="4">
        <f t="shared" si="1"/>
        <v>7842</v>
      </c>
      <c r="Q11" s="4">
        <f t="shared" si="2"/>
        <v>1585.7712</v>
      </c>
      <c r="R11" s="4">
        <f t="shared" si="3"/>
        <v>6256.2288</v>
      </c>
    </row>
    <row r="12" spans="1:18">
      <c r="A12" s="3" t="s">
        <v>28</v>
      </c>
      <c r="B12" s="3" t="str">
        <f>VLOOKUP(A12,员工资料!A:C,2,FALSE)</f>
        <v>男</v>
      </c>
      <c r="C12" s="3" t="str">
        <f>VLOOKUP(A12,员工资料!A:C,3,FALSE)</f>
        <v>劳务工</v>
      </c>
      <c r="D12" s="4">
        <v>2863</v>
      </c>
      <c r="E12" s="4">
        <v>260</v>
      </c>
      <c r="F12" s="4">
        <v>220</v>
      </c>
      <c r="G12" s="4">
        <v>884</v>
      </c>
      <c r="H12" s="4">
        <v>201</v>
      </c>
      <c r="I12" s="4">
        <v>415</v>
      </c>
      <c r="J12" s="4">
        <v>51</v>
      </c>
      <c r="K12" s="4">
        <v>387.44</v>
      </c>
      <c r="L12" s="4">
        <v>290.58</v>
      </c>
      <c r="M12" s="4">
        <v>40.38</v>
      </c>
      <c r="N12" s="4">
        <v>141.68</v>
      </c>
      <c r="O12" s="4">
        <f t="shared" si="0"/>
        <v>57.9576</v>
      </c>
      <c r="P12" s="4">
        <f t="shared" si="1"/>
        <v>4792</v>
      </c>
      <c r="Q12" s="4">
        <f t="shared" si="2"/>
        <v>918.0376</v>
      </c>
      <c r="R12" s="4">
        <f t="shared" si="3"/>
        <v>3873.9624</v>
      </c>
    </row>
    <row r="13" spans="1:18">
      <c r="A13" s="3" t="s">
        <v>29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4622</v>
      </c>
      <c r="E13" s="4">
        <v>444</v>
      </c>
      <c r="F13" s="4">
        <v>50</v>
      </c>
      <c r="G13" s="4">
        <v>1250</v>
      </c>
      <c r="H13" s="4">
        <v>431</v>
      </c>
      <c r="I13" s="4">
        <v>504</v>
      </c>
      <c r="J13" s="4">
        <v>46</v>
      </c>
      <c r="K13" s="4">
        <v>584.08</v>
      </c>
      <c r="L13" s="4">
        <v>438.06</v>
      </c>
      <c r="M13" s="4">
        <v>53.58</v>
      </c>
      <c r="N13" s="4">
        <v>178.8</v>
      </c>
      <c r="O13" s="4">
        <f t="shared" si="0"/>
        <v>220.0384</v>
      </c>
      <c r="P13" s="4">
        <f t="shared" si="1"/>
        <v>7255</v>
      </c>
      <c r="Q13" s="4">
        <f t="shared" si="2"/>
        <v>1474.5584</v>
      </c>
      <c r="R13" s="4">
        <f t="shared" si="3"/>
        <v>5780.4416</v>
      </c>
    </row>
    <row r="14" spans="1:18">
      <c r="A14" s="3" t="s">
        <v>30</v>
      </c>
      <c r="B14" s="3" t="str">
        <f>VLOOKUP(A14,员工资料!A:C,2,FALSE)</f>
        <v>女</v>
      </c>
      <c r="C14" s="3" t="str">
        <f>VLOOKUP(A14,员工资料!A:C,3,FALSE)</f>
        <v>劳务工</v>
      </c>
      <c r="D14" s="4">
        <v>4926</v>
      </c>
      <c r="E14" s="4">
        <v>301</v>
      </c>
      <c r="F14" s="4">
        <v>290</v>
      </c>
      <c r="G14" s="4">
        <v>1083</v>
      </c>
      <c r="H14" s="4">
        <v>212</v>
      </c>
      <c r="I14" s="4">
        <v>563</v>
      </c>
      <c r="J14" s="4">
        <v>79</v>
      </c>
      <c r="K14" s="4">
        <v>590</v>
      </c>
      <c r="L14" s="4">
        <v>442.5</v>
      </c>
      <c r="M14" s="4">
        <v>48.98</v>
      </c>
      <c r="N14" s="4">
        <v>178.16</v>
      </c>
      <c r="O14" s="4">
        <f t="shared" si="0"/>
        <v>222.9088</v>
      </c>
      <c r="P14" s="4">
        <f t="shared" si="1"/>
        <v>7296</v>
      </c>
      <c r="Q14" s="4">
        <f t="shared" si="2"/>
        <v>1482.5488</v>
      </c>
      <c r="R14" s="4">
        <f t="shared" si="3"/>
        <v>5813.4512</v>
      </c>
    </row>
    <row r="15" spans="1:18">
      <c r="A15" s="3" t="s">
        <v>31</v>
      </c>
      <c r="B15" s="3" t="str">
        <f>VLOOKUP(A15,员工资料!A:C,2,FALSE)</f>
        <v>男</v>
      </c>
      <c r="C15" s="3" t="str">
        <f>VLOOKUP(A15,员工资料!A:C,3,FALSE)</f>
        <v>劳务工</v>
      </c>
      <c r="D15" s="4">
        <v>3018</v>
      </c>
      <c r="E15" s="4">
        <v>534</v>
      </c>
      <c r="F15" s="4">
        <v>190</v>
      </c>
      <c r="G15" s="4">
        <v>1222</v>
      </c>
      <c r="H15" s="4">
        <v>405</v>
      </c>
      <c r="I15" s="4">
        <v>327</v>
      </c>
      <c r="J15" s="4">
        <v>189</v>
      </c>
      <c r="K15" s="4">
        <v>455.68</v>
      </c>
      <c r="L15" s="4">
        <v>341.76</v>
      </c>
      <c r="M15" s="4">
        <v>55.16</v>
      </c>
      <c r="N15" s="4">
        <v>180.08</v>
      </c>
      <c r="O15" s="4">
        <f t="shared" si="0"/>
        <v>97.9456</v>
      </c>
      <c r="P15" s="4">
        <f t="shared" si="1"/>
        <v>5507</v>
      </c>
      <c r="Q15" s="4">
        <f t="shared" si="2"/>
        <v>1130.6256</v>
      </c>
      <c r="R15" s="4">
        <f t="shared" si="3"/>
        <v>4376.3744</v>
      </c>
    </row>
    <row r="16" spans="1:18">
      <c r="A16" s="3" t="s">
        <v>32</v>
      </c>
      <c r="B16" s="3" t="str">
        <f>VLOOKUP(A16,员工资料!A:C,2,FALSE)</f>
        <v>女</v>
      </c>
      <c r="C16" s="3" t="str">
        <f>VLOOKUP(A16,员工资料!A:C,3,FALSE)</f>
        <v>劳务工</v>
      </c>
      <c r="D16" s="4">
        <v>3141</v>
      </c>
      <c r="E16" s="4">
        <v>599</v>
      </c>
      <c r="F16" s="4">
        <v>290</v>
      </c>
      <c r="G16" s="4">
        <v>1258</v>
      </c>
      <c r="H16" s="4">
        <v>217</v>
      </c>
      <c r="I16" s="4">
        <v>434</v>
      </c>
      <c r="J16" s="4">
        <v>106</v>
      </c>
      <c r="K16" s="4">
        <v>475.12</v>
      </c>
      <c r="L16" s="4">
        <v>356.34</v>
      </c>
      <c r="M16" s="4">
        <v>56.68</v>
      </c>
      <c r="N16" s="4">
        <v>184.4</v>
      </c>
      <c r="O16" s="4">
        <f t="shared" si="0"/>
        <v>120.8368</v>
      </c>
      <c r="P16" s="4">
        <f t="shared" si="1"/>
        <v>5833</v>
      </c>
      <c r="Q16" s="4">
        <f t="shared" si="2"/>
        <v>1193.3768</v>
      </c>
      <c r="R16" s="4">
        <f t="shared" si="3"/>
        <v>4639.6232</v>
      </c>
    </row>
    <row r="17" spans="1:18">
      <c r="A17" s="3" t="s">
        <v>33</v>
      </c>
      <c r="B17" s="3" t="str">
        <f>VLOOKUP(A17,员工资料!A:C,2,FALSE)</f>
        <v>男</v>
      </c>
      <c r="C17" s="3" t="str">
        <f>VLOOKUP(A17,员工资料!A:C,3,FALSE)</f>
        <v>劳务工</v>
      </c>
      <c r="D17" s="4">
        <v>3040</v>
      </c>
      <c r="E17" s="4">
        <v>543</v>
      </c>
      <c r="F17" s="4">
        <v>280</v>
      </c>
      <c r="G17" s="4">
        <v>1013</v>
      </c>
      <c r="H17" s="4">
        <v>211</v>
      </c>
      <c r="I17" s="4">
        <v>596</v>
      </c>
      <c r="J17" s="4">
        <v>87</v>
      </c>
      <c r="K17" s="4">
        <v>454.64</v>
      </c>
      <c r="L17" s="4">
        <v>340.98</v>
      </c>
      <c r="M17" s="4">
        <v>52.86</v>
      </c>
      <c r="N17" s="4">
        <v>174.96</v>
      </c>
      <c r="O17" s="4">
        <f t="shared" si="0"/>
        <v>105.8048</v>
      </c>
      <c r="P17" s="4">
        <f t="shared" si="1"/>
        <v>5596</v>
      </c>
      <c r="Q17" s="4">
        <f t="shared" si="2"/>
        <v>1129.2448</v>
      </c>
      <c r="R17" s="4">
        <f t="shared" si="3"/>
        <v>4466.7552</v>
      </c>
    </row>
  </sheetData>
  <sortState ref="A2:X17">
    <sortCondition ref="C3"/>
  </sortState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3619</v>
      </c>
      <c r="E2" s="4">
        <v>330</v>
      </c>
      <c r="F2" s="4">
        <v>90</v>
      </c>
      <c r="G2" s="4">
        <v>1079</v>
      </c>
      <c r="H2" s="4">
        <v>414</v>
      </c>
      <c r="I2" s="4">
        <v>318</v>
      </c>
      <c r="J2" s="4">
        <v>100</v>
      </c>
      <c r="K2" s="4">
        <v>468</v>
      </c>
      <c r="L2" s="4">
        <v>351</v>
      </c>
      <c r="M2" s="4">
        <v>46.62</v>
      </c>
      <c r="N2" s="4">
        <v>160.08</v>
      </c>
      <c r="O2" s="4">
        <f>IF(P2-SUM(K2:N2)&lt;=2000,0,IF(P2-SUM(K2:N2)&lt;=4000,0+(P2-SUM(K2:N2)-2000)*0.03,IF(P2-SUM(K2:N2)&lt;=8000,0+2000*0.03+(P2-SUM(K2:N2)-4000)*0.08,0+2000*0.03+4000*0.08+(P2-SUM(K2:N2)-8000)*0.1)))</f>
        <v>117.944</v>
      </c>
      <c r="P2" s="4">
        <f>D2+E2+F2+G2+H2+I2-J2</f>
        <v>5750</v>
      </c>
      <c r="Q2" s="4">
        <f>K2+L2+M2+N2+O2</f>
        <v>1143.644</v>
      </c>
      <c r="R2" s="4">
        <f t="shared" ref="R2:R17" si="0">P2-Q2</f>
        <v>4606.356</v>
      </c>
    </row>
    <row r="3" spans="1:18">
      <c r="A3" s="3" t="s">
        <v>19</v>
      </c>
      <c r="B3" s="3" t="str">
        <f>VLOOKUP(A3,员工资料!A:C,2,FALSE)</f>
        <v>男</v>
      </c>
      <c r="C3" s="3" t="str">
        <f>VLOOKUP(A3,员工资料!A:C,3,FALSE)</f>
        <v>合同工</v>
      </c>
      <c r="D3" s="4">
        <v>5303</v>
      </c>
      <c r="E3" s="4">
        <v>597</v>
      </c>
      <c r="F3" s="4">
        <v>90</v>
      </c>
      <c r="G3" s="4">
        <v>747</v>
      </c>
      <c r="H3" s="4">
        <v>228</v>
      </c>
      <c r="I3" s="4">
        <v>377</v>
      </c>
      <c r="J3" s="4">
        <v>81</v>
      </c>
      <c r="K3" s="4">
        <v>587.36</v>
      </c>
      <c r="L3" s="4">
        <v>440.52</v>
      </c>
      <c r="M3" s="4">
        <v>40.78</v>
      </c>
      <c r="N3" s="4">
        <v>115.36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226.1584</v>
      </c>
      <c r="P3" s="4">
        <f t="shared" ref="P3:P17" si="2">D3+E3+F3+G3+H3+I3-J3</f>
        <v>7261</v>
      </c>
      <c r="Q3" s="4">
        <f t="shared" ref="Q3:Q17" si="3">K3+L3+M3+N3+O3</f>
        <v>1410.1784</v>
      </c>
      <c r="R3" s="4">
        <f t="shared" si="0"/>
        <v>5850.8216</v>
      </c>
    </row>
    <row r="4" spans="1:18">
      <c r="A4" s="3" t="s">
        <v>20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3638</v>
      </c>
      <c r="E4" s="4">
        <v>312</v>
      </c>
      <c r="F4" s="4">
        <v>170</v>
      </c>
      <c r="G4" s="4">
        <v>1096</v>
      </c>
      <c r="H4" s="4">
        <v>541</v>
      </c>
      <c r="I4" s="4">
        <v>372</v>
      </c>
      <c r="J4" s="4">
        <v>16</v>
      </c>
      <c r="K4" s="4">
        <v>490.32</v>
      </c>
      <c r="L4" s="4">
        <v>367.74</v>
      </c>
      <c r="M4" s="4">
        <v>49.82</v>
      </c>
      <c r="N4" s="4">
        <v>174.32</v>
      </c>
      <c r="O4" s="4">
        <f t="shared" si="1"/>
        <v>142.464</v>
      </c>
      <c r="P4" s="4">
        <f t="shared" si="2"/>
        <v>6113</v>
      </c>
      <c r="Q4" s="4">
        <f t="shared" si="3"/>
        <v>1224.664</v>
      </c>
      <c r="R4" s="4">
        <f t="shared" si="0"/>
        <v>4888.336</v>
      </c>
    </row>
    <row r="5" spans="1:18">
      <c r="A5" s="3" t="s">
        <v>21</v>
      </c>
      <c r="B5" s="3" t="str">
        <f>VLOOKUP(A5,员工资料!A:C,2,FALSE)</f>
        <v>女</v>
      </c>
      <c r="C5" s="3" t="str">
        <f>VLOOKUP(A5,员工资料!A:C,3,FALSE)</f>
        <v>合同工</v>
      </c>
      <c r="D5" s="4">
        <v>5878</v>
      </c>
      <c r="E5" s="4">
        <v>506</v>
      </c>
      <c r="F5" s="4">
        <v>120</v>
      </c>
      <c r="G5" s="4">
        <v>927</v>
      </c>
      <c r="H5" s="4">
        <v>286</v>
      </c>
      <c r="I5" s="4">
        <v>555</v>
      </c>
      <c r="J5" s="4">
        <v>62</v>
      </c>
      <c r="K5" s="4">
        <v>661.76</v>
      </c>
      <c r="L5" s="4">
        <v>496.32</v>
      </c>
      <c r="M5" s="4">
        <v>49.12</v>
      </c>
      <c r="N5" s="4">
        <v>156</v>
      </c>
      <c r="O5" s="4">
        <f t="shared" si="1"/>
        <v>287.744</v>
      </c>
      <c r="P5" s="4">
        <f t="shared" si="2"/>
        <v>8210</v>
      </c>
      <c r="Q5" s="4">
        <f t="shared" si="3"/>
        <v>1650.944</v>
      </c>
      <c r="R5" s="4">
        <f t="shared" si="0"/>
        <v>6559.056</v>
      </c>
    </row>
    <row r="6" spans="1:18">
      <c r="A6" s="3" t="s">
        <v>22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3505</v>
      </c>
      <c r="E6" s="4">
        <v>307</v>
      </c>
      <c r="F6" s="4">
        <v>240</v>
      </c>
      <c r="G6" s="4">
        <v>1001</v>
      </c>
      <c r="H6" s="4">
        <v>372</v>
      </c>
      <c r="I6" s="4">
        <v>234</v>
      </c>
      <c r="J6" s="4">
        <v>53</v>
      </c>
      <c r="K6" s="4">
        <v>452.72</v>
      </c>
      <c r="L6" s="4">
        <v>339.54</v>
      </c>
      <c r="M6" s="4">
        <v>44.14</v>
      </c>
      <c r="N6" s="4">
        <v>152</v>
      </c>
      <c r="O6" s="4">
        <f t="shared" si="1"/>
        <v>109.408</v>
      </c>
      <c r="P6" s="4">
        <f t="shared" si="2"/>
        <v>5606</v>
      </c>
      <c r="Q6" s="4">
        <f t="shared" si="3"/>
        <v>1097.808</v>
      </c>
      <c r="R6" s="4">
        <f t="shared" si="0"/>
        <v>4508.192</v>
      </c>
    </row>
    <row r="7" spans="1:18">
      <c r="A7" s="3" t="s">
        <v>23</v>
      </c>
      <c r="B7" s="3" t="str">
        <f>VLOOKUP(A7,员工资料!A:C,2,FALSE)</f>
        <v>男</v>
      </c>
      <c r="C7" s="3" t="str">
        <f>VLOOKUP(A7,员工资料!A:C,3,FALSE)</f>
        <v>合同工</v>
      </c>
      <c r="D7" s="4">
        <v>6147</v>
      </c>
      <c r="E7" s="4">
        <v>374</v>
      </c>
      <c r="F7" s="4">
        <v>250</v>
      </c>
      <c r="G7" s="4">
        <v>772</v>
      </c>
      <c r="H7" s="4">
        <v>389</v>
      </c>
      <c r="I7" s="4">
        <v>534</v>
      </c>
      <c r="J7" s="4">
        <v>29</v>
      </c>
      <c r="K7" s="4">
        <v>677.28</v>
      </c>
      <c r="L7" s="4">
        <v>507.96</v>
      </c>
      <c r="M7" s="4">
        <v>46.38</v>
      </c>
      <c r="N7" s="4">
        <v>155.6</v>
      </c>
      <c r="O7" s="4">
        <f t="shared" si="1"/>
        <v>303.9824</v>
      </c>
      <c r="P7" s="4">
        <f t="shared" si="2"/>
        <v>8437</v>
      </c>
      <c r="Q7" s="4">
        <f t="shared" si="3"/>
        <v>1691.2024</v>
      </c>
      <c r="R7" s="4">
        <f t="shared" si="0"/>
        <v>6745.7976</v>
      </c>
    </row>
    <row r="8" spans="1:18">
      <c r="A8" s="3" t="s">
        <v>24</v>
      </c>
      <c r="B8" s="3" t="str">
        <f>VLOOKUP(A8,员工资料!A:C,2,FALSE)</f>
        <v>女</v>
      </c>
      <c r="C8" s="3" t="str">
        <f>VLOOKUP(A8,员工资料!A:C,3,FALSE)</f>
        <v>合同工</v>
      </c>
      <c r="D8" s="4">
        <v>3998</v>
      </c>
      <c r="E8" s="4">
        <v>204</v>
      </c>
      <c r="F8" s="4">
        <v>240</v>
      </c>
      <c r="G8" s="4">
        <v>1209</v>
      </c>
      <c r="H8" s="4">
        <v>227</v>
      </c>
      <c r="I8" s="4">
        <v>600</v>
      </c>
      <c r="J8" s="4">
        <v>130</v>
      </c>
      <c r="K8" s="4">
        <v>518.24</v>
      </c>
      <c r="L8" s="4">
        <v>388.68</v>
      </c>
      <c r="M8" s="4">
        <v>50.56</v>
      </c>
      <c r="N8" s="4">
        <v>190.16</v>
      </c>
      <c r="O8" s="4">
        <f t="shared" si="1"/>
        <v>156.0288</v>
      </c>
      <c r="P8" s="4">
        <f t="shared" si="2"/>
        <v>6348</v>
      </c>
      <c r="Q8" s="4">
        <f t="shared" si="3"/>
        <v>1303.6688</v>
      </c>
      <c r="R8" s="4">
        <f t="shared" si="0"/>
        <v>5044.3312</v>
      </c>
    </row>
    <row r="9" spans="1:18">
      <c r="A9" s="3" t="s">
        <v>25</v>
      </c>
      <c r="B9" s="3" t="str">
        <f>VLOOKUP(A9,员工资料!A:C,2,FALSE)</f>
        <v>女</v>
      </c>
      <c r="C9" s="3" t="str">
        <f>VLOOKUP(A9,员工资料!A:C,3,FALSE)</f>
        <v>劳务工</v>
      </c>
      <c r="D9" s="4">
        <v>4904</v>
      </c>
      <c r="E9" s="4">
        <v>546</v>
      </c>
      <c r="F9" s="4">
        <v>150</v>
      </c>
      <c r="G9" s="4">
        <v>714</v>
      </c>
      <c r="H9" s="4">
        <v>412</v>
      </c>
      <c r="I9" s="4">
        <v>508</v>
      </c>
      <c r="J9" s="4">
        <v>0</v>
      </c>
      <c r="K9" s="4">
        <v>578.72</v>
      </c>
      <c r="L9" s="4">
        <v>434.04</v>
      </c>
      <c r="M9" s="4">
        <v>46.6</v>
      </c>
      <c r="N9" s="4">
        <v>142.72</v>
      </c>
      <c r="O9" s="4">
        <f t="shared" si="1"/>
        <v>222.5536</v>
      </c>
      <c r="P9" s="4">
        <f t="shared" si="2"/>
        <v>7234</v>
      </c>
      <c r="Q9" s="4">
        <f t="shared" si="3"/>
        <v>1424.6336</v>
      </c>
      <c r="R9" s="4">
        <f t="shared" si="0"/>
        <v>5809.3664</v>
      </c>
    </row>
    <row r="10" spans="1:18">
      <c r="A10" s="3" t="s">
        <v>26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5784</v>
      </c>
      <c r="E10" s="4">
        <v>380</v>
      </c>
      <c r="F10" s="4">
        <v>110</v>
      </c>
      <c r="G10" s="4">
        <v>976</v>
      </c>
      <c r="H10" s="4">
        <v>366</v>
      </c>
      <c r="I10" s="4">
        <v>560</v>
      </c>
      <c r="J10" s="4">
        <v>54</v>
      </c>
      <c r="K10" s="4">
        <v>654.08</v>
      </c>
      <c r="L10" s="4">
        <v>490.56</v>
      </c>
      <c r="M10" s="4">
        <v>47.84</v>
      </c>
      <c r="N10" s="4">
        <v>164.08</v>
      </c>
      <c r="O10" s="4">
        <f t="shared" si="1"/>
        <v>281.2352</v>
      </c>
      <c r="P10" s="4">
        <f t="shared" si="2"/>
        <v>8122</v>
      </c>
      <c r="Q10" s="4">
        <f t="shared" si="3"/>
        <v>1637.7952</v>
      </c>
      <c r="R10" s="4">
        <f t="shared" si="0"/>
        <v>6484.2048</v>
      </c>
    </row>
    <row r="11" spans="1:18">
      <c r="A11" s="3" t="s">
        <v>27</v>
      </c>
      <c r="B11" s="3" t="str">
        <f>VLOOKUP(A11,员工资料!A:C,2,FALSE)</f>
        <v>男</v>
      </c>
      <c r="C11" s="3" t="str">
        <f>VLOOKUP(A11,员工资料!A:C,3,FALSE)</f>
        <v>劳务工</v>
      </c>
      <c r="D11" s="4">
        <v>4590</v>
      </c>
      <c r="E11" s="4">
        <v>324</v>
      </c>
      <c r="F11" s="4">
        <v>60</v>
      </c>
      <c r="G11" s="4">
        <v>987</v>
      </c>
      <c r="H11" s="4">
        <v>470</v>
      </c>
      <c r="I11" s="4">
        <v>502</v>
      </c>
      <c r="J11" s="4">
        <v>76</v>
      </c>
      <c r="K11" s="4">
        <v>554.64</v>
      </c>
      <c r="L11" s="4">
        <v>415.98</v>
      </c>
      <c r="M11" s="4">
        <v>48.38</v>
      </c>
      <c r="N11" s="4">
        <v>167.6</v>
      </c>
      <c r="O11" s="4">
        <f t="shared" si="1"/>
        <v>193.632</v>
      </c>
      <c r="P11" s="4">
        <f t="shared" si="2"/>
        <v>6857</v>
      </c>
      <c r="Q11" s="4">
        <f t="shared" si="3"/>
        <v>1380.232</v>
      </c>
      <c r="R11" s="4">
        <f t="shared" si="0"/>
        <v>5476.768</v>
      </c>
    </row>
    <row r="12" spans="1:18">
      <c r="A12" s="3" t="s">
        <v>28</v>
      </c>
      <c r="B12" s="3" t="str">
        <f>VLOOKUP(A12,员工资料!A:C,2,FALSE)</f>
        <v>男</v>
      </c>
      <c r="C12" s="3" t="str">
        <f>VLOOKUP(A12,员工资料!A:C,3,FALSE)</f>
        <v>劳务工</v>
      </c>
      <c r="D12" s="4">
        <v>2574</v>
      </c>
      <c r="E12" s="4">
        <v>546</v>
      </c>
      <c r="F12" s="4">
        <v>280</v>
      </c>
      <c r="G12" s="4">
        <v>880</v>
      </c>
      <c r="H12" s="4">
        <v>229</v>
      </c>
      <c r="I12" s="4">
        <v>253</v>
      </c>
      <c r="J12" s="4">
        <v>51</v>
      </c>
      <c r="K12" s="4">
        <v>380.96</v>
      </c>
      <c r="L12" s="4">
        <v>285.72</v>
      </c>
      <c r="M12" s="4">
        <v>44.54</v>
      </c>
      <c r="N12" s="4">
        <v>135.44</v>
      </c>
      <c r="O12" s="4">
        <f t="shared" si="1"/>
        <v>55.9302</v>
      </c>
      <c r="P12" s="4">
        <f t="shared" si="2"/>
        <v>4711</v>
      </c>
      <c r="Q12" s="4">
        <f t="shared" si="3"/>
        <v>902.5902</v>
      </c>
      <c r="R12" s="4">
        <f t="shared" si="0"/>
        <v>3808.4098</v>
      </c>
    </row>
    <row r="13" spans="1:18">
      <c r="A13" s="3" t="s">
        <v>29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2620</v>
      </c>
      <c r="E13" s="4">
        <v>508</v>
      </c>
      <c r="F13" s="4">
        <v>160</v>
      </c>
      <c r="G13" s="4">
        <v>979</v>
      </c>
      <c r="H13" s="4">
        <v>222</v>
      </c>
      <c r="I13" s="4">
        <v>416</v>
      </c>
      <c r="J13" s="4">
        <v>46</v>
      </c>
      <c r="K13" s="4">
        <v>392.4</v>
      </c>
      <c r="L13" s="4">
        <v>294.3</v>
      </c>
      <c r="M13" s="4">
        <v>45.7</v>
      </c>
      <c r="N13" s="4">
        <v>142.16</v>
      </c>
      <c r="O13" s="4">
        <f t="shared" si="1"/>
        <v>59.5332</v>
      </c>
      <c r="P13" s="4">
        <f t="shared" si="2"/>
        <v>4859</v>
      </c>
      <c r="Q13" s="4">
        <f t="shared" si="3"/>
        <v>934.0932</v>
      </c>
      <c r="R13" s="4">
        <f t="shared" si="0"/>
        <v>3924.9068</v>
      </c>
    </row>
    <row r="14" spans="1:18">
      <c r="A14" s="3" t="s">
        <v>30</v>
      </c>
      <c r="B14" s="3" t="str">
        <f>VLOOKUP(A14,员工资料!A:C,2,FALSE)</f>
        <v>女</v>
      </c>
      <c r="C14" s="3" t="str">
        <f>VLOOKUP(A14,员工资料!A:C,3,FALSE)</f>
        <v>劳务工</v>
      </c>
      <c r="D14" s="4">
        <v>5413</v>
      </c>
      <c r="E14" s="4">
        <v>500</v>
      </c>
      <c r="F14" s="4">
        <v>100</v>
      </c>
      <c r="G14" s="4">
        <v>822</v>
      </c>
      <c r="H14" s="4">
        <v>239</v>
      </c>
      <c r="I14" s="4">
        <v>358</v>
      </c>
      <c r="J14" s="4">
        <v>79</v>
      </c>
      <c r="K14" s="4">
        <v>594.56</v>
      </c>
      <c r="L14" s="4">
        <v>445.92</v>
      </c>
      <c r="M14" s="4">
        <v>40.38</v>
      </c>
      <c r="N14" s="4">
        <v>127.84</v>
      </c>
      <c r="O14" s="4">
        <f t="shared" si="1"/>
        <v>231.544</v>
      </c>
      <c r="P14" s="4">
        <f t="shared" si="2"/>
        <v>7353</v>
      </c>
      <c r="Q14" s="4">
        <f t="shared" si="3"/>
        <v>1440.244</v>
      </c>
      <c r="R14" s="4">
        <f t="shared" si="0"/>
        <v>5912.756</v>
      </c>
    </row>
    <row r="15" spans="1:18">
      <c r="A15" s="3" t="s">
        <v>31</v>
      </c>
      <c r="B15" s="3" t="str">
        <f>VLOOKUP(A15,员工资料!A:C,2,FALSE)</f>
        <v>男</v>
      </c>
      <c r="C15" s="3" t="str">
        <f>VLOOKUP(A15,员工资料!A:C,3,FALSE)</f>
        <v>劳务工</v>
      </c>
      <c r="D15" s="4">
        <v>4073</v>
      </c>
      <c r="E15" s="4">
        <v>208</v>
      </c>
      <c r="F15" s="4">
        <v>240</v>
      </c>
      <c r="G15" s="4">
        <v>821</v>
      </c>
      <c r="H15" s="4">
        <v>524</v>
      </c>
      <c r="I15" s="4">
        <v>264</v>
      </c>
      <c r="J15" s="4">
        <v>189</v>
      </c>
      <c r="K15" s="4">
        <v>490.4</v>
      </c>
      <c r="L15" s="4">
        <v>367.8</v>
      </c>
      <c r="M15" s="4">
        <v>42.74</v>
      </c>
      <c r="N15" s="4">
        <v>156.48</v>
      </c>
      <c r="O15" s="4">
        <f t="shared" si="1"/>
        <v>130.6864</v>
      </c>
      <c r="P15" s="4">
        <f t="shared" si="2"/>
        <v>5941</v>
      </c>
      <c r="Q15" s="4">
        <f t="shared" si="3"/>
        <v>1188.1064</v>
      </c>
      <c r="R15" s="4">
        <f t="shared" si="0"/>
        <v>4752.8936</v>
      </c>
    </row>
    <row r="16" spans="1:18">
      <c r="A16" s="3" t="s">
        <v>32</v>
      </c>
      <c r="B16" s="3" t="str">
        <f>VLOOKUP(A16,员工资料!A:C,2,FALSE)</f>
        <v>女</v>
      </c>
      <c r="C16" s="3" t="str">
        <f>VLOOKUP(A16,员工资料!A:C,3,FALSE)</f>
        <v>劳务工</v>
      </c>
      <c r="D16" s="4">
        <v>4289</v>
      </c>
      <c r="E16" s="4">
        <v>373</v>
      </c>
      <c r="F16" s="4">
        <v>130</v>
      </c>
      <c r="G16" s="4">
        <v>790</v>
      </c>
      <c r="H16" s="4">
        <v>515</v>
      </c>
      <c r="I16" s="4">
        <v>502</v>
      </c>
      <c r="J16" s="4">
        <v>106</v>
      </c>
      <c r="K16" s="4">
        <v>527.92</v>
      </c>
      <c r="L16" s="4">
        <v>395.94</v>
      </c>
      <c r="M16" s="4">
        <v>46.92</v>
      </c>
      <c r="N16" s="4">
        <v>163.44</v>
      </c>
      <c r="O16" s="4">
        <f t="shared" si="1"/>
        <v>168.7024</v>
      </c>
      <c r="P16" s="4">
        <f t="shared" si="2"/>
        <v>6493</v>
      </c>
      <c r="Q16" s="4">
        <f t="shared" si="3"/>
        <v>1302.9224</v>
      </c>
      <c r="R16" s="4">
        <f t="shared" si="0"/>
        <v>5190.0776</v>
      </c>
    </row>
    <row r="17" spans="1:18">
      <c r="A17" s="3" t="s">
        <v>33</v>
      </c>
      <c r="B17" s="3" t="str">
        <f>VLOOKUP(A17,员工资料!A:C,2,FALSE)</f>
        <v>男</v>
      </c>
      <c r="C17" s="3" t="str">
        <f>VLOOKUP(A17,员工资料!A:C,3,FALSE)</f>
        <v>劳务工</v>
      </c>
      <c r="D17" s="4">
        <v>4812</v>
      </c>
      <c r="E17" s="4">
        <v>282</v>
      </c>
      <c r="F17" s="4">
        <v>60</v>
      </c>
      <c r="G17" s="4">
        <v>1062</v>
      </c>
      <c r="H17" s="4">
        <v>390</v>
      </c>
      <c r="I17" s="4">
        <v>460</v>
      </c>
      <c r="J17" s="4">
        <v>87</v>
      </c>
      <c r="K17" s="4">
        <v>565.28</v>
      </c>
      <c r="L17" s="4">
        <v>423.96</v>
      </c>
      <c r="M17" s="4">
        <v>45.08</v>
      </c>
      <c r="N17" s="4">
        <v>164.72</v>
      </c>
      <c r="O17" s="4">
        <f t="shared" si="1"/>
        <v>202.3968</v>
      </c>
      <c r="P17" s="4">
        <f t="shared" si="2"/>
        <v>6979</v>
      </c>
      <c r="Q17" s="4">
        <f t="shared" si="3"/>
        <v>1401.4368</v>
      </c>
      <c r="R17" s="4">
        <f t="shared" si="0"/>
        <v>5577.5632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6398</v>
      </c>
      <c r="E2" s="4">
        <v>386</v>
      </c>
      <c r="F2" s="4">
        <v>120</v>
      </c>
      <c r="G2" s="4">
        <v>1069</v>
      </c>
      <c r="H2" s="4">
        <v>226</v>
      </c>
      <c r="I2" s="4">
        <v>448</v>
      </c>
      <c r="J2" s="4">
        <v>100</v>
      </c>
      <c r="K2" s="4">
        <v>691.76</v>
      </c>
      <c r="L2" s="4">
        <v>518.82</v>
      </c>
      <c r="M2" s="4">
        <v>46.98</v>
      </c>
      <c r="N2" s="4">
        <v>157.04</v>
      </c>
      <c r="O2" s="4">
        <f>IF(P2-SUM(K2:N2)&lt;=2000,0,IF(P2-SUM(K2:N2)&lt;=4000,0+(P2-SUM(K2:N2)-2000)*0.03,IF(P2-SUM(K2:N2)&lt;=8000,0+2000*0.03+(P2-SUM(K2:N2)-4000)*0.08,0+2000*0.03+4000*0.08+(P2-SUM(K2:N2)-8000)*0.1)))</f>
        <v>310.592</v>
      </c>
      <c r="P2" s="4">
        <f>D2+E2+F2+G2+H2+I2-J2</f>
        <v>8547</v>
      </c>
      <c r="Q2" s="4">
        <f>K2+L2+M2+N2+O2</f>
        <v>1725.192</v>
      </c>
      <c r="R2" s="4">
        <f t="shared" ref="R2:R17" si="0">P2-Q2</f>
        <v>6821.808</v>
      </c>
    </row>
    <row r="3" spans="1:18">
      <c r="A3" s="3" t="s">
        <v>19</v>
      </c>
      <c r="B3" s="3" t="str">
        <f>VLOOKUP(A3,员工资料!A:C,2,FALSE)</f>
        <v>男</v>
      </c>
      <c r="C3" s="3" t="str">
        <f>VLOOKUP(A3,员工资料!A:C,3,FALSE)</f>
        <v>合同工</v>
      </c>
      <c r="D3" s="4">
        <v>5950</v>
      </c>
      <c r="E3" s="4">
        <v>369</v>
      </c>
      <c r="F3" s="4">
        <v>290</v>
      </c>
      <c r="G3" s="4">
        <v>733</v>
      </c>
      <c r="H3" s="4">
        <v>490</v>
      </c>
      <c r="I3" s="4">
        <v>410</v>
      </c>
      <c r="J3" s="4">
        <v>81</v>
      </c>
      <c r="K3" s="4">
        <v>659.36</v>
      </c>
      <c r="L3" s="4">
        <v>494.52</v>
      </c>
      <c r="M3" s="4">
        <v>45.84</v>
      </c>
      <c r="N3" s="4">
        <v>153.84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284.5952</v>
      </c>
      <c r="P3" s="4">
        <f t="shared" ref="P3:P17" si="2">D3+E3+F3+G3+H3+I3-J3</f>
        <v>8161</v>
      </c>
      <c r="Q3" s="4">
        <f t="shared" ref="Q3:Q17" si="3">K3+L3+M3+N3+O3</f>
        <v>1638.1552</v>
      </c>
      <c r="R3" s="4">
        <f t="shared" si="0"/>
        <v>6522.8448</v>
      </c>
    </row>
    <row r="4" spans="1:18">
      <c r="A4" s="3" t="s">
        <v>20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4871</v>
      </c>
      <c r="E4" s="4">
        <v>488</v>
      </c>
      <c r="F4" s="4">
        <v>240</v>
      </c>
      <c r="G4" s="4">
        <v>817</v>
      </c>
      <c r="H4" s="4">
        <v>475</v>
      </c>
      <c r="I4" s="4">
        <v>584</v>
      </c>
      <c r="J4" s="4">
        <v>16</v>
      </c>
      <c r="K4" s="4">
        <v>598</v>
      </c>
      <c r="L4" s="4">
        <v>448.5</v>
      </c>
      <c r="M4" s="4">
        <v>52.08</v>
      </c>
      <c r="N4" s="4">
        <v>169.28</v>
      </c>
      <c r="O4" s="4">
        <f t="shared" si="1"/>
        <v>235.2912</v>
      </c>
      <c r="P4" s="4">
        <f t="shared" si="2"/>
        <v>7459</v>
      </c>
      <c r="Q4" s="4">
        <f t="shared" si="3"/>
        <v>1503.1512</v>
      </c>
      <c r="R4" s="4">
        <f t="shared" si="0"/>
        <v>5955.8488</v>
      </c>
    </row>
    <row r="5" spans="1:18">
      <c r="A5" s="3" t="s">
        <v>21</v>
      </c>
      <c r="B5" s="3" t="str">
        <f>VLOOKUP(A5,员工资料!A:C,2,FALSE)</f>
        <v>女</v>
      </c>
      <c r="C5" s="3" t="str">
        <f>VLOOKUP(A5,员工资料!A:C,3,FALSE)</f>
        <v>合同工</v>
      </c>
      <c r="D5" s="4">
        <v>4495</v>
      </c>
      <c r="E5" s="4">
        <v>349</v>
      </c>
      <c r="F5" s="4">
        <v>270</v>
      </c>
      <c r="G5" s="4">
        <v>788</v>
      </c>
      <c r="H5" s="4">
        <v>597</v>
      </c>
      <c r="I5" s="4">
        <v>315</v>
      </c>
      <c r="J5" s="4">
        <v>62</v>
      </c>
      <c r="K5" s="4">
        <v>545.12</v>
      </c>
      <c r="L5" s="4">
        <v>408.84</v>
      </c>
      <c r="M5" s="4">
        <v>47.62</v>
      </c>
      <c r="N5" s="4">
        <v>162.56</v>
      </c>
      <c r="O5" s="4">
        <f t="shared" si="1"/>
        <v>187.0288</v>
      </c>
      <c r="P5" s="4">
        <f t="shared" si="2"/>
        <v>6752</v>
      </c>
      <c r="Q5" s="4">
        <f t="shared" si="3"/>
        <v>1351.1688</v>
      </c>
      <c r="R5" s="4">
        <f t="shared" si="0"/>
        <v>5400.8312</v>
      </c>
    </row>
    <row r="6" spans="1:18">
      <c r="A6" s="3" t="s">
        <v>22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5803</v>
      </c>
      <c r="E6" s="4">
        <v>386</v>
      </c>
      <c r="F6" s="4">
        <v>290</v>
      </c>
      <c r="G6" s="4">
        <v>998</v>
      </c>
      <c r="H6" s="4">
        <v>551</v>
      </c>
      <c r="I6" s="4">
        <v>410</v>
      </c>
      <c r="J6" s="4">
        <v>53</v>
      </c>
      <c r="K6" s="4">
        <v>675.04</v>
      </c>
      <c r="L6" s="4">
        <v>506.28</v>
      </c>
      <c r="M6" s="4">
        <v>53.76</v>
      </c>
      <c r="N6" s="4">
        <v>184.16</v>
      </c>
      <c r="O6" s="4">
        <f t="shared" si="1"/>
        <v>297.2608</v>
      </c>
      <c r="P6" s="4">
        <f t="shared" si="2"/>
        <v>8385</v>
      </c>
      <c r="Q6" s="4">
        <f t="shared" si="3"/>
        <v>1716.5008</v>
      </c>
      <c r="R6" s="4">
        <f t="shared" si="0"/>
        <v>6668.4992</v>
      </c>
    </row>
    <row r="7" spans="1:18">
      <c r="A7" s="3" t="s">
        <v>23</v>
      </c>
      <c r="B7" s="3" t="str">
        <f>VLOOKUP(A7,员工资料!A:C,2,FALSE)</f>
        <v>男</v>
      </c>
      <c r="C7" s="3" t="str">
        <f>VLOOKUP(A7,员工资料!A:C,3,FALSE)</f>
        <v>合同工</v>
      </c>
      <c r="D7" s="4">
        <v>3537</v>
      </c>
      <c r="E7" s="4">
        <v>333</v>
      </c>
      <c r="F7" s="4">
        <v>270</v>
      </c>
      <c r="G7" s="4">
        <v>1055</v>
      </c>
      <c r="H7" s="4">
        <v>213</v>
      </c>
      <c r="I7" s="4">
        <v>540</v>
      </c>
      <c r="J7" s="4">
        <v>29</v>
      </c>
      <c r="K7" s="4">
        <v>475.84</v>
      </c>
      <c r="L7" s="4">
        <v>356.88</v>
      </c>
      <c r="M7" s="4">
        <v>48.22</v>
      </c>
      <c r="N7" s="4">
        <v>166.24</v>
      </c>
      <c r="O7" s="4">
        <f t="shared" si="1"/>
        <v>129.7456</v>
      </c>
      <c r="P7" s="4">
        <f t="shared" si="2"/>
        <v>5919</v>
      </c>
      <c r="Q7" s="4">
        <f t="shared" si="3"/>
        <v>1176.9256</v>
      </c>
      <c r="R7" s="4">
        <f t="shared" si="0"/>
        <v>4742.0744</v>
      </c>
    </row>
    <row r="8" spans="1:18">
      <c r="A8" s="3" t="s">
        <v>24</v>
      </c>
      <c r="B8" s="3" t="str">
        <f>VLOOKUP(A8,员工资料!A:C,2,FALSE)</f>
        <v>女</v>
      </c>
      <c r="C8" s="3" t="str">
        <f>VLOOKUP(A8,员工资料!A:C,3,FALSE)</f>
        <v>合同工</v>
      </c>
      <c r="D8" s="4">
        <v>3696</v>
      </c>
      <c r="E8" s="4">
        <v>419</v>
      </c>
      <c r="F8" s="4">
        <v>290</v>
      </c>
      <c r="G8" s="4">
        <v>875</v>
      </c>
      <c r="H8" s="4">
        <v>302</v>
      </c>
      <c r="I8" s="4">
        <v>219</v>
      </c>
      <c r="J8" s="4">
        <v>130</v>
      </c>
      <c r="K8" s="4">
        <v>464.08</v>
      </c>
      <c r="L8" s="4">
        <v>348.06</v>
      </c>
      <c r="M8" s="4">
        <v>43.06</v>
      </c>
      <c r="N8" s="4">
        <v>142.96</v>
      </c>
      <c r="O8" s="4">
        <f t="shared" si="1"/>
        <v>113.8272</v>
      </c>
      <c r="P8" s="4">
        <f t="shared" si="2"/>
        <v>5671</v>
      </c>
      <c r="Q8" s="4">
        <f t="shared" si="3"/>
        <v>1111.9872</v>
      </c>
      <c r="R8" s="4">
        <f t="shared" si="0"/>
        <v>4559.0128</v>
      </c>
    </row>
    <row r="9" spans="1:18">
      <c r="A9" s="3" t="s">
        <v>25</v>
      </c>
      <c r="B9" s="3" t="str">
        <f>VLOOKUP(A9,员工资料!A:C,2,FALSE)</f>
        <v>女</v>
      </c>
      <c r="C9" s="3" t="str">
        <f>VLOOKUP(A9,员工资料!A:C,3,FALSE)</f>
        <v>劳务工</v>
      </c>
      <c r="D9" s="4">
        <v>5562</v>
      </c>
      <c r="E9" s="4">
        <v>372</v>
      </c>
      <c r="F9" s="4">
        <v>80</v>
      </c>
      <c r="G9" s="4">
        <v>697</v>
      </c>
      <c r="H9" s="4">
        <v>297</v>
      </c>
      <c r="I9" s="4">
        <v>459</v>
      </c>
      <c r="J9" s="4">
        <v>0</v>
      </c>
      <c r="K9" s="4">
        <v>597.36</v>
      </c>
      <c r="L9" s="4">
        <v>448.02</v>
      </c>
      <c r="M9" s="4">
        <v>38.1</v>
      </c>
      <c r="N9" s="4">
        <v>122.64</v>
      </c>
      <c r="O9" s="4">
        <f t="shared" si="1"/>
        <v>240.8704</v>
      </c>
      <c r="P9" s="4">
        <f t="shared" si="2"/>
        <v>7467</v>
      </c>
      <c r="Q9" s="4">
        <f t="shared" si="3"/>
        <v>1446.9904</v>
      </c>
      <c r="R9" s="4">
        <f t="shared" si="0"/>
        <v>6020.0096</v>
      </c>
    </row>
    <row r="10" spans="1:18">
      <c r="A10" s="3" t="s">
        <v>26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3582</v>
      </c>
      <c r="E10" s="4">
        <v>541</v>
      </c>
      <c r="F10" s="4">
        <v>190</v>
      </c>
      <c r="G10" s="4">
        <v>825</v>
      </c>
      <c r="H10" s="4">
        <v>294</v>
      </c>
      <c r="I10" s="4">
        <v>415</v>
      </c>
      <c r="J10" s="4">
        <v>54</v>
      </c>
      <c r="K10" s="4">
        <v>467.76</v>
      </c>
      <c r="L10" s="4">
        <v>350.82</v>
      </c>
      <c r="M10" s="4">
        <v>45.3</v>
      </c>
      <c r="N10" s="4">
        <v>141.04</v>
      </c>
      <c r="O10" s="4">
        <f t="shared" si="1"/>
        <v>123.0464</v>
      </c>
      <c r="P10" s="4">
        <f t="shared" si="2"/>
        <v>5793</v>
      </c>
      <c r="Q10" s="4">
        <f t="shared" si="3"/>
        <v>1127.9664</v>
      </c>
      <c r="R10" s="4">
        <f t="shared" si="0"/>
        <v>4665.0336</v>
      </c>
    </row>
    <row r="11" spans="1:18">
      <c r="A11" s="3" t="s">
        <v>27</v>
      </c>
      <c r="B11" s="3" t="str">
        <f>VLOOKUP(A11,员工资料!A:C,2,FALSE)</f>
        <v>男</v>
      </c>
      <c r="C11" s="3" t="str">
        <f>VLOOKUP(A11,员工资料!A:C,3,FALSE)</f>
        <v>劳务工</v>
      </c>
      <c r="D11" s="4">
        <v>4963</v>
      </c>
      <c r="E11" s="4">
        <v>592</v>
      </c>
      <c r="F11" s="4">
        <v>160</v>
      </c>
      <c r="G11" s="4">
        <v>1201</v>
      </c>
      <c r="H11" s="4">
        <v>593</v>
      </c>
      <c r="I11" s="4">
        <v>457</v>
      </c>
      <c r="J11" s="4">
        <v>76</v>
      </c>
      <c r="K11" s="4">
        <v>637.28</v>
      </c>
      <c r="L11" s="4">
        <v>477.96</v>
      </c>
      <c r="M11" s="4">
        <v>61.58</v>
      </c>
      <c r="N11" s="4">
        <v>198.96</v>
      </c>
      <c r="O11" s="4">
        <f t="shared" si="1"/>
        <v>261.1376</v>
      </c>
      <c r="P11" s="4">
        <f t="shared" si="2"/>
        <v>7890</v>
      </c>
      <c r="Q11" s="4">
        <f t="shared" si="3"/>
        <v>1636.9176</v>
      </c>
      <c r="R11" s="4">
        <f t="shared" si="0"/>
        <v>6253.0824</v>
      </c>
    </row>
    <row r="12" spans="1:18">
      <c r="A12" s="3" t="s">
        <v>28</v>
      </c>
      <c r="B12" s="3" t="str">
        <f>VLOOKUP(A12,员工资料!A:C,2,FALSE)</f>
        <v>男</v>
      </c>
      <c r="C12" s="3" t="str">
        <f>VLOOKUP(A12,员工资料!A:C,3,FALSE)</f>
        <v>劳务工</v>
      </c>
      <c r="D12" s="4">
        <v>5184</v>
      </c>
      <c r="E12" s="4">
        <v>547</v>
      </c>
      <c r="F12" s="4">
        <v>210</v>
      </c>
      <c r="G12" s="4">
        <v>763</v>
      </c>
      <c r="H12" s="4">
        <v>451</v>
      </c>
      <c r="I12" s="4">
        <v>440</v>
      </c>
      <c r="J12" s="4">
        <v>51</v>
      </c>
      <c r="K12" s="4">
        <v>607.6</v>
      </c>
      <c r="L12" s="4">
        <v>455.7</v>
      </c>
      <c r="M12" s="4">
        <v>49</v>
      </c>
      <c r="N12" s="4">
        <v>153.2</v>
      </c>
      <c r="O12" s="4">
        <f t="shared" si="1"/>
        <v>242.28</v>
      </c>
      <c r="P12" s="4">
        <f t="shared" si="2"/>
        <v>7544</v>
      </c>
      <c r="Q12" s="4">
        <f t="shared" si="3"/>
        <v>1507.78</v>
      </c>
      <c r="R12" s="4">
        <f t="shared" si="0"/>
        <v>6036.22</v>
      </c>
    </row>
    <row r="13" spans="1:18">
      <c r="A13" s="3" t="s">
        <v>29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3874</v>
      </c>
      <c r="E13" s="4">
        <v>353</v>
      </c>
      <c r="F13" s="4">
        <v>150</v>
      </c>
      <c r="G13" s="4">
        <v>1047</v>
      </c>
      <c r="H13" s="4">
        <v>389</v>
      </c>
      <c r="I13" s="4">
        <v>336</v>
      </c>
      <c r="J13" s="4">
        <v>46</v>
      </c>
      <c r="K13" s="4">
        <v>491.92</v>
      </c>
      <c r="L13" s="4">
        <v>368.94</v>
      </c>
      <c r="M13" s="4">
        <v>45.5</v>
      </c>
      <c r="N13" s="4">
        <v>153.76</v>
      </c>
      <c r="O13" s="4">
        <f t="shared" si="1"/>
        <v>143.4304</v>
      </c>
      <c r="P13" s="4">
        <f t="shared" si="2"/>
        <v>6103</v>
      </c>
      <c r="Q13" s="4">
        <f t="shared" si="3"/>
        <v>1203.5504</v>
      </c>
      <c r="R13" s="4">
        <f t="shared" si="0"/>
        <v>4899.4496</v>
      </c>
    </row>
    <row r="14" spans="1:18">
      <c r="A14" s="3" t="s">
        <v>30</v>
      </c>
      <c r="B14" s="3" t="str">
        <f>VLOOKUP(A14,员工资料!A:C,2,FALSE)</f>
        <v>女</v>
      </c>
      <c r="C14" s="3" t="str">
        <f>VLOOKUP(A14,员工资料!A:C,3,FALSE)</f>
        <v>劳务工</v>
      </c>
      <c r="D14" s="4">
        <v>5611</v>
      </c>
      <c r="E14" s="4">
        <v>354</v>
      </c>
      <c r="F14" s="4">
        <v>230</v>
      </c>
      <c r="G14" s="4">
        <v>995</v>
      </c>
      <c r="H14" s="4">
        <v>444</v>
      </c>
      <c r="I14" s="4">
        <v>386</v>
      </c>
      <c r="J14" s="4">
        <v>79</v>
      </c>
      <c r="K14" s="4">
        <v>641.6</v>
      </c>
      <c r="L14" s="4">
        <v>481.2</v>
      </c>
      <c r="M14" s="4">
        <v>48.18</v>
      </c>
      <c r="N14" s="4">
        <v>170.72</v>
      </c>
      <c r="O14" s="4">
        <f t="shared" si="1"/>
        <v>267.944</v>
      </c>
      <c r="P14" s="4">
        <f t="shared" si="2"/>
        <v>7941</v>
      </c>
      <c r="Q14" s="4">
        <f t="shared" si="3"/>
        <v>1609.644</v>
      </c>
      <c r="R14" s="4">
        <f t="shared" si="0"/>
        <v>6331.356</v>
      </c>
    </row>
    <row r="15" spans="1:18">
      <c r="A15" s="3" t="s">
        <v>31</v>
      </c>
      <c r="B15" s="3" t="str">
        <f>VLOOKUP(A15,员工资料!A:C,2,FALSE)</f>
        <v>男</v>
      </c>
      <c r="C15" s="3" t="str">
        <f>VLOOKUP(A15,员工资料!A:C,3,FALSE)</f>
        <v>劳务工</v>
      </c>
      <c r="D15" s="4">
        <v>5649</v>
      </c>
      <c r="E15" s="4">
        <v>393</v>
      </c>
      <c r="F15" s="4">
        <v>130</v>
      </c>
      <c r="G15" s="4">
        <v>1191</v>
      </c>
      <c r="H15" s="4">
        <v>328</v>
      </c>
      <c r="I15" s="4">
        <v>573</v>
      </c>
      <c r="J15" s="4">
        <v>189</v>
      </c>
      <c r="K15" s="4">
        <v>661.12</v>
      </c>
      <c r="L15" s="4">
        <v>495.84</v>
      </c>
      <c r="M15" s="4">
        <v>53.9</v>
      </c>
      <c r="N15" s="4">
        <v>186.32</v>
      </c>
      <c r="O15" s="4">
        <f t="shared" si="1"/>
        <v>274.2256</v>
      </c>
      <c r="P15" s="4">
        <f t="shared" si="2"/>
        <v>8075</v>
      </c>
      <c r="Q15" s="4">
        <f t="shared" si="3"/>
        <v>1671.4056</v>
      </c>
      <c r="R15" s="4">
        <f t="shared" si="0"/>
        <v>6403.5944</v>
      </c>
    </row>
    <row r="16" spans="1:18">
      <c r="A16" s="3" t="s">
        <v>32</v>
      </c>
      <c r="B16" s="3" t="str">
        <f>VLOOKUP(A16,员工资料!A:C,2,FALSE)</f>
        <v>女</v>
      </c>
      <c r="C16" s="3" t="str">
        <f>VLOOKUP(A16,员工资料!A:C,3,FALSE)</f>
        <v>劳务工</v>
      </c>
      <c r="D16" s="4">
        <v>5637</v>
      </c>
      <c r="E16" s="4">
        <v>253</v>
      </c>
      <c r="F16" s="4">
        <v>110</v>
      </c>
      <c r="G16" s="4">
        <v>782</v>
      </c>
      <c r="H16" s="4">
        <v>414</v>
      </c>
      <c r="I16" s="4">
        <v>462</v>
      </c>
      <c r="J16" s="4">
        <v>106</v>
      </c>
      <c r="K16" s="4">
        <v>612.64</v>
      </c>
      <c r="L16" s="4">
        <v>459.48</v>
      </c>
      <c r="M16" s="4">
        <v>41.14</v>
      </c>
      <c r="N16" s="4">
        <v>149.92</v>
      </c>
      <c r="O16" s="4">
        <f t="shared" si="1"/>
        <v>243.1056</v>
      </c>
      <c r="P16" s="4">
        <f t="shared" si="2"/>
        <v>7552</v>
      </c>
      <c r="Q16" s="4">
        <f t="shared" si="3"/>
        <v>1506.2856</v>
      </c>
      <c r="R16" s="4">
        <f t="shared" si="0"/>
        <v>6045.7144</v>
      </c>
    </row>
    <row r="17" spans="1:18">
      <c r="A17" s="3" t="s">
        <v>33</v>
      </c>
      <c r="B17" s="3" t="str">
        <f>VLOOKUP(A17,员工资料!A:C,2,FALSE)</f>
        <v>男</v>
      </c>
      <c r="C17" s="3" t="str">
        <f>VLOOKUP(A17,员工资料!A:C,3,FALSE)</f>
        <v>劳务工</v>
      </c>
      <c r="D17" s="4">
        <v>5174</v>
      </c>
      <c r="E17" s="4">
        <v>598</v>
      </c>
      <c r="F17" s="4">
        <v>50</v>
      </c>
      <c r="G17" s="4">
        <v>721</v>
      </c>
      <c r="H17" s="4">
        <v>223</v>
      </c>
      <c r="I17" s="4">
        <v>384</v>
      </c>
      <c r="J17" s="4">
        <v>87</v>
      </c>
      <c r="K17" s="4">
        <v>572</v>
      </c>
      <c r="L17" s="4">
        <v>429</v>
      </c>
      <c r="M17" s="4">
        <v>39.52</v>
      </c>
      <c r="N17" s="4">
        <v>117.2</v>
      </c>
      <c r="O17" s="4">
        <f t="shared" si="1"/>
        <v>212.4224</v>
      </c>
      <c r="P17" s="4">
        <f t="shared" si="2"/>
        <v>7063</v>
      </c>
      <c r="Q17" s="4">
        <f t="shared" si="3"/>
        <v>1370.1424</v>
      </c>
      <c r="R17" s="4">
        <f t="shared" si="0"/>
        <v>5692.8576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4295</v>
      </c>
      <c r="E2" s="4">
        <v>463</v>
      </c>
      <c r="F2" s="4">
        <v>260</v>
      </c>
      <c r="G2" s="4">
        <v>973</v>
      </c>
      <c r="H2" s="4">
        <v>528</v>
      </c>
      <c r="I2" s="4">
        <v>387</v>
      </c>
      <c r="J2" s="4">
        <v>100</v>
      </c>
      <c r="K2" s="4">
        <v>552.48</v>
      </c>
      <c r="L2" s="4">
        <v>414.36</v>
      </c>
      <c r="M2" s="4">
        <v>54.22</v>
      </c>
      <c r="N2" s="4">
        <v>179.84</v>
      </c>
      <c r="O2" s="4">
        <f>IF(P2-SUM(K2:N2)&lt;=2000,0,IF(P2-SUM(K2:N2)&lt;=4000,0+(P2-SUM(K2:N2)-2000)*0.03,IF(P2-SUM(K2:N2)&lt;=8000,0+2000*0.03+(P2-SUM(K2:N2)-4000)*0.08,0+2000*0.03+4000*0.08+(P2-SUM(K2:N2)-8000)*0.1)))</f>
        <v>188.408</v>
      </c>
      <c r="P2" s="4">
        <f>D2+E2+F2+G2+H2+I2-J2</f>
        <v>6806</v>
      </c>
      <c r="Q2" s="4">
        <f>K2+L2+M2+N2+O2</f>
        <v>1389.308</v>
      </c>
      <c r="R2" s="4">
        <f t="shared" ref="R2:R17" si="0">P2-Q2</f>
        <v>5416.692</v>
      </c>
    </row>
    <row r="3" spans="1:18">
      <c r="A3" s="3" t="s">
        <v>34</v>
      </c>
      <c r="B3" s="3" t="str">
        <f>VLOOKUP(A3,员工资料!A:C,2,FALSE)</f>
        <v>男</v>
      </c>
      <c r="C3" s="3" t="str">
        <f>VLOOKUP(A3,员工资料!A:C,3,FALSE)</f>
        <v>劳务工</v>
      </c>
      <c r="D3" s="4">
        <v>6408</v>
      </c>
      <c r="E3" s="4">
        <v>498</v>
      </c>
      <c r="F3" s="4">
        <v>140</v>
      </c>
      <c r="G3" s="4">
        <v>620</v>
      </c>
      <c r="H3" s="4">
        <v>372</v>
      </c>
      <c r="I3" s="4">
        <v>594</v>
      </c>
      <c r="J3" s="4">
        <v>81</v>
      </c>
      <c r="K3" s="4">
        <v>690.56</v>
      </c>
      <c r="L3" s="4">
        <v>517.92</v>
      </c>
      <c r="M3" s="4">
        <v>44.48</v>
      </c>
      <c r="N3" s="4">
        <v>138.08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312.7968</v>
      </c>
      <c r="P3" s="4">
        <f t="shared" ref="P3:P17" si="2">D3+E3+F3+G3+H3+I3-J3</f>
        <v>8551</v>
      </c>
      <c r="Q3" s="4">
        <f t="shared" ref="Q3:Q17" si="3">K3+L3+M3+N3+O3</f>
        <v>1703.8368</v>
      </c>
      <c r="R3" s="4">
        <f t="shared" si="0"/>
        <v>6847.1632</v>
      </c>
    </row>
    <row r="4" spans="1:18">
      <c r="A4" s="3" t="s">
        <v>20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4329</v>
      </c>
      <c r="E4" s="4">
        <v>275</v>
      </c>
      <c r="F4" s="4">
        <v>200</v>
      </c>
      <c r="G4" s="4">
        <v>1017</v>
      </c>
      <c r="H4" s="4">
        <v>525</v>
      </c>
      <c r="I4" s="4">
        <v>451</v>
      </c>
      <c r="J4" s="4">
        <v>16</v>
      </c>
      <c r="K4" s="4">
        <v>543.76</v>
      </c>
      <c r="L4" s="4">
        <v>407.82</v>
      </c>
      <c r="M4" s="4">
        <v>49.36</v>
      </c>
      <c r="N4" s="4">
        <v>175.44</v>
      </c>
      <c r="O4" s="4">
        <f t="shared" si="1"/>
        <v>188.3696</v>
      </c>
      <c r="P4" s="4">
        <f t="shared" si="2"/>
        <v>6781</v>
      </c>
      <c r="Q4" s="4">
        <f t="shared" si="3"/>
        <v>1364.7496</v>
      </c>
      <c r="R4" s="4">
        <f t="shared" si="0"/>
        <v>5416.2504</v>
      </c>
    </row>
    <row r="5" spans="1:18">
      <c r="A5" s="3" t="s">
        <v>21</v>
      </c>
      <c r="B5" s="3" t="str">
        <f>VLOOKUP(A5,员工资料!A:C,2,FALSE)</f>
        <v>女</v>
      </c>
      <c r="C5" s="3" t="str">
        <f>VLOOKUP(A5,员工资料!A:C,3,FALSE)</f>
        <v>合同工</v>
      </c>
      <c r="D5" s="4">
        <v>3892</v>
      </c>
      <c r="E5" s="4">
        <v>579</v>
      </c>
      <c r="F5" s="4">
        <v>50</v>
      </c>
      <c r="G5" s="4">
        <v>722</v>
      </c>
      <c r="H5" s="4">
        <v>582</v>
      </c>
      <c r="I5" s="4">
        <v>354</v>
      </c>
      <c r="J5" s="4">
        <v>62</v>
      </c>
      <c r="K5" s="4">
        <v>494.32</v>
      </c>
      <c r="L5" s="4">
        <v>370.74</v>
      </c>
      <c r="M5" s="4">
        <v>46.98</v>
      </c>
      <c r="N5" s="4">
        <v>141.6</v>
      </c>
      <c r="O5" s="4">
        <f t="shared" si="1"/>
        <v>145.0688</v>
      </c>
      <c r="P5" s="4">
        <f t="shared" si="2"/>
        <v>6117</v>
      </c>
      <c r="Q5" s="4">
        <f t="shared" si="3"/>
        <v>1198.7088</v>
      </c>
      <c r="R5" s="4">
        <f t="shared" si="0"/>
        <v>4918.2912</v>
      </c>
    </row>
    <row r="6" spans="1:18">
      <c r="A6" s="3" t="s">
        <v>22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5210</v>
      </c>
      <c r="E6" s="4">
        <v>378</v>
      </c>
      <c r="F6" s="4">
        <v>190</v>
      </c>
      <c r="G6" s="4">
        <v>1029</v>
      </c>
      <c r="H6" s="4">
        <v>518</v>
      </c>
      <c r="I6" s="4">
        <v>210</v>
      </c>
      <c r="J6" s="4">
        <v>53</v>
      </c>
      <c r="K6" s="4">
        <v>602.8</v>
      </c>
      <c r="L6" s="4">
        <v>452.1</v>
      </c>
      <c r="M6" s="4">
        <v>47.56</v>
      </c>
      <c r="N6" s="4">
        <v>160</v>
      </c>
      <c r="O6" s="4">
        <f t="shared" si="1"/>
        <v>237.5632</v>
      </c>
      <c r="P6" s="4">
        <f t="shared" si="2"/>
        <v>7482</v>
      </c>
      <c r="Q6" s="4">
        <f t="shared" si="3"/>
        <v>1500.0232</v>
      </c>
      <c r="R6" s="4">
        <f t="shared" si="0"/>
        <v>5981.9768</v>
      </c>
    </row>
    <row r="7" spans="1:18">
      <c r="A7" s="3" t="s">
        <v>23</v>
      </c>
      <c r="B7" s="3" t="str">
        <f>VLOOKUP(A7,员工资料!A:C,2,FALSE)</f>
        <v>男</v>
      </c>
      <c r="C7" s="3" t="str">
        <f>VLOOKUP(A7,员工资料!A:C,3,FALSE)</f>
        <v>合同工</v>
      </c>
      <c r="D7" s="4">
        <v>6335</v>
      </c>
      <c r="E7" s="4">
        <v>348</v>
      </c>
      <c r="F7" s="4">
        <v>130</v>
      </c>
      <c r="G7" s="4">
        <v>922</v>
      </c>
      <c r="H7" s="4">
        <v>495</v>
      </c>
      <c r="I7" s="4">
        <v>475</v>
      </c>
      <c r="J7" s="4">
        <v>29</v>
      </c>
      <c r="K7" s="4">
        <v>696.4</v>
      </c>
      <c r="L7" s="4">
        <v>522.3</v>
      </c>
      <c r="M7" s="4">
        <v>47.4</v>
      </c>
      <c r="N7" s="4">
        <v>161.76</v>
      </c>
      <c r="O7" s="4">
        <f t="shared" si="1"/>
        <v>319.8512</v>
      </c>
      <c r="P7" s="4">
        <f t="shared" si="2"/>
        <v>8676</v>
      </c>
      <c r="Q7" s="4">
        <f t="shared" si="3"/>
        <v>1747.7112</v>
      </c>
      <c r="R7" s="4">
        <f t="shared" si="0"/>
        <v>6928.2888</v>
      </c>
    </row>
    <row r="8" spans="1:18">
      <c r="A8" s="3" t="s">
        <v>24</v>
      </c>
      <c r="B8" s="3" t="str">
        <f>VLOOKUP(A8,员工资料!A:C,2,FALSE)</f>
        <v>女</v>
      </c>
      <c r="C8" s="3" t="str">
        <f>VLOOKUP(A8,员工资料!A:C,3,FALSE)</f>
        <v>合同工</v>
      </c>
      <c r="D8" s="4">
        <v>5649</v>
      </c>
      <c r="E8" s="4">
        <v>374</v>
      </c>
      <c r="F8" s="4">
        <v>260</v>
      </c>
      <c r="G8" s="4">
        <v>746</v>
      </c>
      <c r="H8" s="4">
        <v>252</v>
      </c>
      <c r="I8" s="4">
        <v>331</v>
      </c>
      <c r="J8" s="4">
        <v>130</v>
      </c>
      <c r="K8" s="4">
        <v>608.96</v>
      </c>
      <c r="L8" s="4">
        <v>456.72</v>
      </c>
      <c r="M8" s="4">
        <v>40.22</v>
      </c>
      <c r="N8" s="4">
        <v>135.2</v>
      </c>
      <c r="O8" s="4">
        <f t="shared" si="1"/>
        <v>239.272</v>
      </c>
      <c r="P8" s="4">
        <f t="shared" si="2"/>
        <v>7482</v>
      </c>
      <c r="Q8" s="4">
        <f t="shared" si="3"/>
        <v>1480.372</v>
      </c>
      <c r="R8" s="4">
        <f t="shared" si="0"/>
        <v>6001.628</v>
      </c>
    </row>
    <row r="9" spans="1:18">
      <c r="A9" s="3" t="s">
        <v>19</v>
      </c>
      <c r="B9" s="3" t="str">
        <f>VLOOKUP(A9,员工资料!A:C,2,FALSE)</f>
        <v>男</v>
      </c>
      <c r="C9" s="3" t="str">
        <f>VLOOKUP(A9,员工资料!A:C,3,FALSE)</f>
        <v>合同工</v>
      </c>
      <c r="D9" s="4">
        <v>5381</v>
      </c>
      <c r="E9" s="4">
        <v>240</v>
      </c>
      <c r="F9" s="4">
        <v>250</v>
      </c>
      <c r="G9" s="4">
        <v>742</v>
      </c>
      <c r="H9" s="4">
        <v>451</v>
      </c>
      <c r="I9" s="4">
        <v>592</v>
      </c>
      <c r="J9" s="4">
        <v>0</v>
      </c>
      <c r="K9" s="4">
        <v>612.48</v>
      </c>
      <c r="L9" s="4">
        <v>459.36</v>
      </c>
      <c r="M9" s="4">
        <v>45.5</v>
      </c>
      <c r="N9" s="4">
        <v>162.8</v>
      </c>
      <c r="O9" s="4">
        <f t="shared" si="1"/>
        <v>250.0688</v>
      </c>
      <c r="P9" s="4">
        <f t="shared" si="2"/>
        <v>7656</v>
      </c>
      <c r="Q9" s="4">
        <f t="shared" si="3"/>
        <v>1530.2088</v>
      </c>
      <c r="R9" s="4">
        <f t="shared" si="0"/>
        <v>6125.7912</v>
      </c>
    </row>
    <row r="10" spans="1:18">
      <c r="A10" s="3" t="s">
        <v>27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2583</v>
      </c>
      <c r="E10" s="4">
        <v>563</v>
      </c>
      <c r="F10" s="4">
        <v>190</v>
      </c>
      <c r="G10" s="4">
        <v>814</v>
      </c>
      <c r="H10" s="4">
        <v>589</v>
      </c>
      <c r="I10" s="4">
        <v>593</v>
      </c>
      <c r="J10" s="4">
        <v>54</v>
      </c>
      <c r="K10" s="4">
        <v>426.56</v>
      </c>
      <c r="L10" s="4">
        <v>319.92</v>
      </c>
      <c r="M10" s="4">
        <v>54.98</v>
      </c>
      <c r="N10" s="4">
        <v>178</v>
      </c>
      <c r="O10" s="4">
        <f t="shared" si="1"/>
        <v>83.8832</v>
      </c>
      <c r="P10" s="4">
        <f t="shared" si="2"/>
        <v>5278</v>
      </c>
      <c r="Q10" s="4">
        <f t="shared" si="3"/>
        <v>1063.3432</v>
      </c>
      <c r="R10" s="4">
        <f t="shared" si="0"/>
        <v>4214.6568</v>
      </c>
    </row>
    <row r="11" spans="1:18">
      <c r="A11" s="3" t="s">
        <v>35</v>
      </c>
      <c r="B11" s="3" t="str">
        <f>VLOOKUP(A11,员工资料!A:C,2,FALSE)</f>
        <v>男</v>
      </c>
      <c r="C11" s="3" t="str">
        <f>VLOOKUP(A11,员工资料!A:C,3,FALSE)</f>
        <v>劳务工</v>
      </c>
      <c r="D11" s="4">
        <v>5511</v>
      </c>
      <c r="E11" s="4">
        <v>328</v>
      </c>
      <c r="F11" s="4">
        <v>180</v>
      </c>
      <c r="G11" s="4">
        <v>1114</v>
      </c>
      <c r="H11" s="4">
        <v>566</v>
      </c>
      <c r="I11" s="4">
        <v>580</v>
      </c>
      <c r="J11" s="4">
        <v>76</v>
      </c>
      <c r="K11" s="4">
        <v>662.32</v>
      </c>
      <c r="L11" s="4">
        <v>496.74</v>
      </c>
      <c r="M11" s="4">
        <v>56.88</v>
      </c>
      <c r="N11" s="4">
        <v>201.28</v>
      </c>
      <c r="O11" s="4">
        <f t="shared" si="1"/>
        <v>282.8624</v>
      </c>
      <c r="P11" s="4">
        <f t="shared" si="2"/>
        <v>8203</v>
      </c>
      <c r="Q11" s="4">
        <f t="shared" si="3"/>
        <v>1700.0824</v>
      </c>
      <c r="R11" s="4">
        <f t="shared" si="0"/>
        <v>6502.9176</v>
      </c>
    </row>
    <row r="12" spans="1:18">
      <c r="A12" s="3" t="s">
        <v>28</v>
      </c>
      <c r="B12" s="3" t="str">
        <f>VLOOKUP(A12,员工资料!A:C,2,FALSE)</f>
        <v>男</v>
      </c>
      <c r="C12" s="3" t="str">
        <f>VLOOKUP(A12,员工资料!A:C,3,FALSE)</f>
        <v>劳务工</v>
      </c>
      <c r="D12" s="4">
        <v>4812</v>
      </c>
      <c r="E12" s="4">
        <v>483</v>
      </c>
      <c r="F12" s="4">
        <v>230</v>
      </c>
      <c r="G12" s="4">
        <v>1167</v>
      </c>
      <c r="H12" s="4">
        <v>371</v>
      </c>
      <c r="I12" s="4">
        <v>372</v>
      </c>
      <c r="J12" s="4">
        <v>51</v>
      </c>
      <c r="K12" s="4">
        <v>594.8</v>
      </c>
      <c r="L12" s="4">
        <v>446.1</v>
      </c>
      <c r="M12" s="4">
        <v>53.24</v>
      </c>
      <c r="N12" s="4">
        <v>175.28</v>
      </c>
      <c r="O12" s="4">
        <f t="shared" si="1"/>
        <v>229.1664</v>
      </c>
      <c r="P12" s="4">
        <f t="shared" si="2"/>
        <v>7384</v>
      </c>
      <c r="Q12" s="4">
        <f t="shared" si="3"/>
        <v>1498.5864</v>
      </c>
      <c r="R12" s="4">
        <f t="shared" si="0"/>
        <v>5885.4136</v>
      </c>
    </row>
    <row r="13" spans="1:18">
      <c r="A13" s="3" t="s">
        <v>29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5401</v>
      </c>
      <c r="E13" s="4">
        <v>552</v>
      </c>
      <c r="F13" s="4">
        <v>70</v>
      </c>
      <c r="G13" s="4">
        <v>1014</v>
      </c>
      <c r="H13" s="4">
        <v>367</v>
      </c>
      <c r="I13" s="4">
        <v>505</v>
      </c>
      <c r="J13" s="4">
        <v>46</v>
      </c>
      <c r="K13" s="4">
        <v>632.72</v>
      </c>
      <c r="L13" s="4">
        <v>474.54</v>
      </c>
      <c r="M13" s="4">
        <v>50.16</v>
      </c>
      <c r="N13" s="4">
        <v>156.48</v>
      </c>
      <c r="O13" s="4">
        <f t="shared" si="1"/>
        <v>263.928</v>
      </c>
      <c r="P13" s="4">
        <f t="shared" si="2"/>
        <v>7863</v>
      </c>
      <c r="Q13" s="4">
        <f t="shared" si="3"/>
        <v>1577.828</v>
      </c>
      <c r="R13" s="4">
        <f t="shared" si="0"/>
        <v>6285.172</v>
      </c>
    </row>
    <row r="14" spans="1:18">
      <c r="A14" s="3" t="s">
        <v>30</v>
      </c>
      <c r="B14" s="3" t="str">
        <f>VLOOKUP(A14,员工资料!A:C,2,FALSE)</f>
        <v>女</v>
      </c>
      <c r="C14" s="3" t="str">
        <f>VLOOKUP(A14,员工资料!A:C,3,FALSE)</f>
        <v>劳务工</v>
      </c>
      <c r="D14" s="4">
        <v>5168</v>
      </c>
      <c r="E14" s="4">
        <v>527</v>
      </c>
      <c r="F14" s="4">
        <v>260</v>
      </c>
      <c r="G14" s="4">
        <v>1176</v>
      </c>
      <c r="H14" s="4">
        <v>433</v>
      </c>
      <c r="I14" s="4">
        <v>432</v>
      </c>
      <c r="J14" s="4">
        <v>79</v>
      </c>
      <c r="K14" s="4">
        <v>639.68</v>
      </c>
      <c r="L14" s="4">
        <v>479.76</v>
      </c>
      <c r="M14" s="4">
        <v>56.56</v>
      </c>
      <c r="N14" s="4">
        <v>190.4</v>
      </c>
      <c r="O14" s="4">
        <f t="shared" si="1"/>
        <v>264.048</v>
      </c>
      <c r="P14" s="4">
        <f t="shared" si="2"/>
        <v>7917</v>
      </c>
      <c r="Q14" s="4">
        <f t="shared" si="3"/>
        <v>1630.448</v>
      </c>
      <c r="R14" s="4">
        <f t="shared" si="0"/>
        <v>6286.552</v>
      </c>
    </row>
    <row r="15" spans="1:18">
      <c r="A15" s="3" t="s">
        <v>25</v>
      </c>
      <c r="B15" s="3" t="str">
        <f>VLOOKUP(A15,员工资料!A:C,2,FALSE)</f>
        <v>女</v>
      </c>
      <c r="C15" s="3" t="str">
        <f>VLOOKUP(A15,员工资料!A:C,3,FALSE)</f>
        <v>劳务工</v>
      </c>
      <c r="D15" s="4">
        <v>4557</v>
      </c>
      <c r="E15" s="4">
        <v>441</v>
      </c>
      <c r="F15" s="4">
        <v>90</v>
      </c>
      <c r="G15" s="4">
        <v>778</v>
      </c>
      <c r="H15" s="4">
        <v>252</v>
      </c>
      <c r="I15" s="4">
        <v>428</v>
      </c>
      <c r="J15" s="4">
        <v>189</v>
      </c>
      <c r="K15" s="4">
        <v>523.68</v>
      </c>
      <c r="L15" s="4">
        <v>392.76</v>
      </c>
      <c r="M15" s="4">
        <v>41.38</v>
      </c>
      <c r="N15" s="4">
        <v>132.4</v>
      </c>
      <c r="O15" s="4">
        <f t="shared" si="1"/>
        <v>161.3424</v>
      </c>
      <c r="P15" s="4">
        <f t="shared" si="2"/>
        <v>6357</v>
      </c>
      <c r="Q15" s="4">
        <f t="shared" si="3"/>
        <v>1251.5624</v>
      </c>
      <c r="R15" s="4">
        <f t="shared" si="0"/>
        <v>5105.4376</v>
      </c>
    </row>
    <row r="16" spans="1:18">
      <c r="A16" s="3" t="s">
        <v>32</v>
      </c>
      <c r="B16" s="3" t="str">
        <f>VLOOKUP(A16,员工资料!A:C,2,FALSE)</f>
        <v>女</v>
      </c>
      <c r="C16" s="3" t="str">
        <f>VLOOKUP(A16,员工资料!A:C,3,FALSE)</f>
        <v>劳务工</v>
      </c>
      <c r="D16" s="4">
        <v>3873</v>
      </c>
      <c r="E16" s="4">
        <v>263</v>
      </c>
      <c r="F16" s="4">
        <v>50</v>
      </c>
      <c r="G16" s="4">
        <v>931</v>
      </c>
      <c r="H16" s="4">
        <v>248</v>
      </c>
      <c r="I16" s="4">
        <v>364</v>
      </c>
      <c r="J16" s="4">
        <v>106</v>
      </c>
      <c r="K16" s="4">
        <v>458.32</v>
      </c>
      <c r="L16" s="4">
        <v>343.74</v>
      </c>
      <c r="M16" s="4">
        <v>37.84</v>
      </c>
      <c r="N16" s="4">
        <v>135.92</v>
      </c>
      <c r="O16" s="4">
        <f t="shared" si="1"/>
        <v>111.7744</v>
      </c>
      <c r="P16" s="4">
        <f t="shared" si="2"/>
        <v>5623</v>
      </c>
      <c r="Q16" s="4">
        <f t="shared" si="3"/>
        <v>1087.5944</v>
      </c>
      <c r="R16" s="4">
        <f t="shared" si="0"/>
        <v>4535.4056</v>
      </c>
    </row>
    <row r="17" spans="1:18">
      <c r="A17" s="3" t="s">
        <v>33</v>
      </c>
      <c r="B17" s="3" t="str">
        <f>VLOOKUP(A17,员工资料!A:C,2,FALSE)</f>
        <v>男</v>
      </c>
      <c r="C17" s="3" t="str">
        <f>VLOOKUP(A17,员工资料!A:C,3,FALSE)</f>
        <v>劳务工</v>
      </c>
      <c r="D17" s="4">
        <v>6508</v>
      </c>
      <c r="E17" s="4">
        <v>499</v>
      </c>
      <c r="F17" s="4">
        <v>170</v>
      </c>
      <c r="G17" s="4">
        <v>909</v>
      </c>
      <c r="H17" s="4">
        <v>307</v>
      </c>
      <c r="I17" s="4">
        <v>424</v>
      </c>
      <c r="J17" s="4">
        <v>87</v>
      </c>
      <c r="K17" s="4">
        <v>705.36</v>
      </c>
      <c r="L17" s="4">
        <v>529.02</v>
      </c>
      <c r="M17" s="4">
        <v>46.18</v>
      </c>
      <c r="N17" s="4">
        <v>151.76</v>
      </c>
      <c r="O17" s="4">
        <f t="shared" si="1"/>
        <v>323.8144</v>
      </c>
      <c r="P17" s="4">
        <f t="shared" si="2"/>
        <v>8730</v>
      </c>
      <c r="Q17" s="4">
        <f t="shared" si="3"/>
        <v>1756.1344</v>
      </c>
      <c r="R17" s="4">
        <f t="shared" si="0"/>
        <v>6973.8656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4782</v>
      </c>
      <c r="E2" s="4">
        <v>484</v>
      </c>
      <c r="F2" s="4">
        <v>210</v>
      </c>
      <c r="G2" s="4">
        <v>1115</v>
      </c>
      <c r="H2" s="4">
        <v>514</v>
      </c>
      <c r="I2" s="4">
        <v>307</v>
      </c>
      <c r="J2" s="4">
        <v>100</v>
      </c>
      <c r="K2" s="4">
        <v>592.96</v>
      </c>
      <c r="L2" s="4">
        <v>444.72</v>
      </c>
      <c r="M2" s="4">
        <v>54.6</v>
      </c>
      <c r="N2" s="4">
        <v>179.68</v>
      </c>
      <c r="O2" s="4">
        <f>IF(P2-SUM(K2:N2)&lt;=2000,0,IF(P2-SUM(K2:N2)&lt;=4000,0+(P2-SUM(K2:N2)-2000)*0.03,IF(P2-SUM(K2:N2)&lt;=8000,0+2000*0.03+(P2-SUM(K2:N2)-4000)*0.08,0+2000*0.03+4000*0.08+(P2-SUM(K2:N2)-8000)*0.1)))</f>
        <v>223.2032</v>
      </c>
      <c r="P2" s="4">
        <f>D2+E2+F2+G2+H2+I2-J2</f>
        <v>7312</v>
      </c>
      <c r="Q2" s="4">
        <f>K2+L2+M2+N2+O2</f>
        <v>1495.1632</v>
      </c>
      <c r="R2" s="4">
        <f t="shared" ref="R2:R17" si="0">P2-Q2</f>
        <v>5816.8368</v>
      </c>
    </row>
    <row r="3" spans="1:18">
      <c r="A3" s="3" t="s">
        <v>34</v>
      </c>
      <c r="B3" s="3" t="str">
        <f>VLOOKUP(A3,员工资料!A:C,2,FALSE)</f>
        <v>男</v>
      </c>
      <c r="C3" s="3" t="str">
        <f>VLOOKUP(A3,员工资料!A:C,3,FALSE)</f>
        <v>劳务工</v>
      </c>
      <c r="D3" s="4">
        <v>4631</v>
      </c>
      <c r="E3" s="4">
        <v>437</v>
      </c>
      <c r="F3" s="4">
        <v>240</v>
      </c>
      <c r="G3" s="4">
        <v>908</v>
      </c>
      <c r="H3" s="4">
        <v>342</v>
      </c>
      <c r="I3" s="4">
        <v>267</v>
      </c>
      <c r="J3" s="4">
        <v>81</v>
      </c>
      <c r="K3" s="4">
        <v>546</v>
      </c>
      <c r="L3" s="4">
        <v>409.5</v>
      </c>
      <c r="M3" s="4">
        <v>43.88</v>
      </c>
      <c r="N3" s="4">
        <v>140.56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188.3248</v>
      </c>
      <c r="P3" s="4">
        <f t="shared" ref="P3:P17" si="2">D3+E3+F3+G3+H3+I3-J3</f>
        <v>6744</v>
      </c>
      <c r="Q3" s="4">
        <f t="shared" ref="Q3:Q17" si="3">K3+L3+M3+N3+O3</f>
        <v>1328.2648</v>
      </c>
      <c r="R3" s="4">
        <f t="shared" si="0"/>
        <v>5415.7352</v>
      </c>
    </row>
    <row r="4" spans="1:18">
      <c r="A4" s="3" t="s">
        <v>20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2769</v>
      </c>
      <c r="E4" s="4">
        <v>405</v>
      </c>
      <c r="F4" s="4">
        <v>110</v>
      </c>
      <c r="G4" s="4">
        <v>884</v>
      </c>
      <c r="H4" s="4">
        <v>215</v>
      </c>
      <c r="I4" s="4">
        <v>518</v>
      </c>
      <c r="J4" s="4">
        <v>16</v>
      </c>
      <c r="K4" s="4">
        <v>392.08</v>
      </c>
      <c r="L4" s="4">
        <v>294.06</v>
      </c>
      <c r="M4" s="4">
        <v>42.64</v>
      </c>
      <c r="N4" s="4">
        <v>138.16</v>
      </c>
      <c r="O4" s="4">
        <f t="shared" si="1"/>
        <v>61.4448</v>
      </c>
      <c r="P4" s="4">
        <f t="shared" si="2"/>
        <v>4885</v>
      </c>
      <c r="Q4" s="4">
        <f t="shared" si="3"/>
        <v>928.3848</v>
      </c>
      <c r="R4" s="4">
        <f t="shared" si="0"/>
        <v>3956.6152</v>
      </c>
    </row>
    <row r="5" spans="1:18">
      <c r="A5" s="3" t="s">
        <v>21</v>
      </c>
      <c r="B5" s="3" t="str">
        <f>VLOOKUP(A5,员工资料!A:C,2,FALSE)</f>
        <v>女</v>
      </c>
      <c r="C5" s="3" t="str">
        <f>VLOOKUP(A5,员工资料!A:C,3,FALSE)</f>
        <v>合同工</v>
      </c>
      <c r="D5" s="4">
        <v>2674</v>
      </c>
      <c r="E5" s="4">
        <v>409</v>
      </c>
      <c r="F5" s="4">
        <v>270</v>
      </c>
      <c r="G5" s="4">
        <v>936</v>
      </c>
      <c r="H5" s="4">
        <v>269</v>
      </c>
      <c r="I5" s="4">
        <v>544</v>
      </c>
      <c r="J5" s="4">
        <v>62</v>
      </c>
      <c r="K5" s="4">
        <v>408.16</v>
      </c>
      <c r="L5" s="4">
        <v>306.12</v>
      </c>
      <c r="M5" s="4">
        <v>49.8</v>
      </c>
      <c r="N5" s="4">
        <v>166.48</v>
      </c>
      <c r="O5" s="4">
        <f t="shared" si="1"/>
        <v>68.7552</v>
      </c>
      <c r="P5" s="4">
        <f t="shared" si="2"/>
        <v>5040</v>
      </c>
      <c r="Q5" s="4">
        <f t="shared" si="3"/>
        <v>999.3152</v>
      </c>
      <c r="R5" s="4">
        <f t="shared" si="0"/>
        <v>4040.6848</v>
      </c>
    </row>
    <row r="6" spans="1:18">
      <c r="A6" s="3" t="s">
        <v>22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5181</v>
      </c>
      <c r="E6" s="4">
        <v>508</v>
      </c>
      <c r="F6" s="4">
        <v>190</v>
      </c>
      <c r="G6" s="4">
        <v>995</v>
      </c>
      <c r="H6" s="4">
        <v>554</v>
      </c>
      <c r="I6" s="4">
        <v>334</v>
      </c>
      <c r="J6" s="4">
        <v>53</v>
      </c>
      <c r="K6" s="4">
        <v>620.96</v>
      </c>
      <c r="L6" s="4">
        <v>465.72</v>
      </c>
      <c r="M6" s="4">
        <v>52.68</v>
      </c>
      <c r="N6" s="4">
        <v>170.08</v>
      </c>
      <c r="O6" s="4">
        <f t="shared" si="1"/>
        <v>251.9648</v>
      </c>
      <c r="P6" s="4">
        <f t="shared" si="2"/>
        <v>7709</v>
      </c>
      <c r="Q6" s="4">
        <f t="shared" si="3"/>
        <v>1561.4048</v>
      </c>
      <c r="R6" s="4">
        <f t="shared" si="0"/>
        <v>6147.5952</v>
      </c>
    </row>
    <row r="7" spans="1:18">
      <c r="A7" s="3" t="s">
        <v>23</v>
      </c>
      <c r="B7" s="3" t="str">
        <f>VLOOKUP(A7,员工资料!A:C,2,FALSE)</f>
        <v>男</v>
      </c>
      <c r="C7" s="3" t="str">
        <f>VLOOKUP(A7,员工资料!A:C,3,FALSE)</f>
        <v>合同工</v>
      </c>
      <c r="D7" s="4">
        <v>2893</v>
      </c>
      <c r="E7" s="4">
        <v>416</v>
      </c>
      <c r="F7" s="4">
        <v>190</v>
      </c>
      <c r="G7" s="4">
        <v>745</v>
      </c>
      <c r="H7" s="4">
        <v>342</v>
      </c>
      <c r="I7" s="4">
        <v>518</v>
      </c>
      <c r="J7" s="4">
        <v>29</v>
      </c>
      <c r="K7" s="4">
        <v>408.32</v>
      </c>
      <c r="L7" s="4">
        <v>306.24</v>
      </c>
      <c r="M7" s="4">
        <v>44.22</v>
      </c>
      <c r="N7" s="4">
        <v>143.6</v>
      </c>
      <c r="O7" s="4">
        <f t="shared" si="1"/>
        <v>73.8096</v>
      </c>
      <c r="P7" s="4">
        <f t="shared" si="2"/>
        <v>5075</v>
      </c>
      <c r="Q7" s="4">
        <f t="shared" si="3"/>
        <v>976.1896</v>
      </c>
      <c r="R7" s="4">
        <f t="shared" si="0"/>
        <v>4098.8104</v>
      </c>
    </row>
    <row r="8" spans="1:18">
      <c r="A8" s="3" t="s">
        <v>24</v>
      </c>
      <c r="B8" s="3" t="str">
        <f>VLOOKUP(A8,员工资料!A:C,2,FALSE)</f>
        <v>女</v>
      </c>
      <c r="C8" s="3" t="str">
        <f>VLOOKUP(A8,员工资料!A:C,3,FALSE)</f>
        <v>合同工</v>
      </c>
      <c r="D8" s="4">
        <v>4445</v>
      </c>
      <c r="E8" s="4">
        <v>557</v>
      </c>
      <c r="F8" s="4">
        <v>150</v>
      </c>
      <c r="G8" s="4">
        <v>984</v>
      </c>
      <c r="H8" s="4">
        <v>205</v>
      </c>
      <c r="I8" s="4">
        <v>535</v>
      </c>
      <c r="J8" s="4">
        <v>130</v>
      </c>
      <c r="K8" s="4">
        <v>550.08</v>
      </c>
      <c r="L8" s="4">
        <v>412.56</v>
      </c>
      <c r="M8" s="4">
        <v>49.58</v>
      </c>
      <c r="N8" s="4">
        <v>158</v>
      </c>
      <c r="O8" s="4">
        <f t="shared" si="1"/>
        <v>186.0624</v>
      </c>
      <c r="P8" s="4">
        <f t="shared" si="2"/>
        <v>6746</v>
      </c>
      <c r="Q8" s="4">
        <f t="shared" si="3"/>
        <v>1356.2824</v>
      </c>
      <c r="R8" s="4">
        <f t="shared" si="0"/>
        <v>5389.7176</v>
      </c>
    </row>
    <row r="9" spans="1:18">
      <c r="A9" s="3" t="s">
        <v>19</v>
      </c>
      <c r="B9" s="3" t="str">
        <f>VLOOKUP(A9,员工资料!A:C,2,FALSE)</f>
        <v>男</v>
      </c>
      <c r="C9" s="3" t="str">
        <f>VLOOKUP(A9,员工资料!A:C,3,FALSE)</f>
        <v>合同工</v>
      </c>
      <c r="D9" s="4">
        <v>4053</v>
      </c>
      <c r="E9" s="4">
        <v>250</v>
      </c>
      <c r="F9" s="4">
        <v>100</v>
      </c>
      <c r="G9" s="4">
        <v>781</v>
      </c>
      <c r="H9" s="4">
        <v>367</v>
      </c>
      <c r="I9" s="4">
        <v>558</v>
      </c>
      <c r="J9" s="4">
        <v>0</v>
      </c>
      <c r="K9" s="4">
        <v>488.72</v>
      </c>
      <c r="L9" s="4">
        <v>366.54</v>
      </c>
      <c r="M9" s="4">
        <v>41.12</v>
      </c>
      <c r="N9" s="4">
        <v>144.48</v>
      </c>
      <c r="O9" s="4">
        <f t="shared" si="1"/>
        <v>145.4512</v>
      </c>
      <c r="P9" s="4">
        <f t="shared" si="2"/>
        <v>6109</v>
      </c>
      <c r="Q9" s="4">
        <f t="shared" si="3"/>
        <v>1186.3112</v>
      </c>
      <c r="R9" s="4">
        <f t="shared" si="0"/>
        <v>4922.6888</v>
      </c>
    </row>
    <row r="10" spans="1:18">
      <c r="A10" s="3" t="s">
        <v>27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2571</v>
      </c>
      <c r="E10" s="4">
        <v>571</v>
      </c>
      <c r="F10" s="4">
        <v>120</v>
      </c>
      <c r="G10" s="4">
        <v>914</v>
      </c>
      <c r="H10" s="4">
        <v>375</v>
      </c>
      <c r="I10" s="4">
        <v>592</v>
      </c>
      <c r="J10" s="4">
        <v>54</v>
      </c>
      <c r="K10" s="4">
        <v>411.44</v>
      </c>
      <c r="L10" s="4">
        <v>308.58</v>
      </c>
      <c r="M10" s="4">
        <v>51.44</v>
      </c>
      <c r="N10" s="4">
        <v>163.2</v>
      </c>
      <c r="O10" s="4">
        <f t="shared" si="1"/>
        <v>72.3472</v>
      </c>
      <c r="P10" s="4">
        <f t="shared" si="2"/>
        <v>5089</v>
      </c>
      <c r="Q10" s="4">
        <f t="shared" si="3"/>
        <v>1007.0072</v>
      </c>
      <c r="R10" s="4">
        <f t="shared" si="0"/>
        <v>4081.9928</v>
      </c>
    </row>
    <row r="11" spans="1:18">
      <c r="A11" s="3" t="s">
        <v>35</v>
      </c>
      <c r="B11" s="3" t="str">
        <f>VLOOKUP(A11,员工资料!A:C,2,FALSE)</f>
        <v>男</v>
      </c>
      <c r="C11" s="3" t="str">
        <f>VLOOKUP(A11,员工资料!A:C,3,FALSE)</f>
        <v>劳务工</v>
      </c>
      <c r="D11" s="4">
        <v>2605</v>
      </c>
      <c r="E11" s="4">
        <v>579</v>
      </c>
      <c r="F11" s="4">
        <v>270</v>
      </c>
      <c r="G11" s="4">
        <v>749</v>
      </c>
      <c r="H11" s="4">
        <v>534</v>
      </c>
      <c r="I11" s="4">
        <v>355</v>
      </c>
      <c r="J11" s="4">
        <v>76</v>
      </c>
      <c r="K11" s="4">
        <v>407.36</v>
      </c>
      <c r="L11" s="4">
        <v>305.52</v>
      </c>
      <c r="M11" s="4">
        <v>51.26</v>
      </c>
      <c r="N11" s="4">
        <v>158.72</v>
      </c>
      <c r="O11" s="4">
        <f t="shared" si="1"/>
        <v>67.4512</v>
      </c>
      <c r="P11" s="4">
        <f t="shared" si="2"/>
        <v>5016</v>
      </c>
      <c r="Q11" s="4">
        <f t="shared" si="3"/>
        <v>990.3112</v>
      </c>
      <c r="R11" s="4">
        <f t="shared" si="0"/>
        <v>4025.6888</v>
      </c>
    </row>
    <row r="12" spans="1:18">
      <c r="A12" s="3" t="s">
        <v>28</v>
      </c>
      <c r="B12" s="3" t="str">
        <f>VLOOKUP(A12,员工资料!A:C,2,FALSE)</f>
        <v>男</v>
      </c>
      <c r="C12" s="3" t="str">
        <f>VLOOKUP(A12,员工资料!A:C,3,FALSE)</f>
        <v>劳务工</v>
      </c>
      <c r="D12" s="4">
        <v>4932</v>
      </c>
      <c r="E12" s="4">
        <v>598</v>
      </c>
      <c r="F12" s="4">
        <v>70</v>
      </c>
      <c r="G12" s="4">
        <v>884</v>
      </c>
      <c r="H12" s="4">
        <v>443</v>
      </c>
      <c r="I12" s="4">
        <v>239</v>
      </c>
      <c r="J12" s="4">
        <v>51</v>
      </c>
      <c r="K12" s="4">
        <v>573.28</v>
      </c>
      <c r="L12" s="4">
        <v>429.96</v>
      </c>
      <c r="M12" s="4">
        <v>45.46</v>
      </c>
      <c r="N12" s="4">
        <v>134.96</v>
      </c>
      <c r="O12" s="4">
        <f t="shared" si="1"/>
        <v>214.5072</v>
      </c>
      <c r="P12" s="4">
        <f t="shared" si="2"/>
        <v>7115</v>
      </c>
      <c r="Q12" s="4">
        <f t="shared" si="3"/>
        <v>1398.1672</v>
      </c>
      <c r="R12" s="4">
        <f t="shared" si="0"/>
        <v>5716.8328</v>
      </c>
    </row>
    <row r="13" spans="1:18">
      <c r="A13" s="3" t="s">
        <v>29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4774</v>
      </c>
      <c r="E13" s="4">
        <v>453</v>
      </c>
      <c r="F13" s="4">
        <v>260</v>
      </c>
      <c r="G13" s="4">
        <v>919</v>
      </c>
      <c r="H13" s="4">
        <v>577</v>
      </c>
      <c r="I13" s="4">
        <v>487</v>
      </c>
      <c r="J13" s="4">
        <v>46</v>
      </c>
      <c r="K13" s="4">
        <v>597.6</v>
      </c>
      <c r="L13" s="4">
        <v>448.2</v>
      </c>
      <c r="M13" s="4">
        <v>53.92</v>
      </c>
      <c r="N13" s="4">
        <v>179.44</v>
      </c>
      <c r="O13" s="4">
        <f t="shared" si="1"/>
        <v>231.5872</v>
      </c>
      <c r="P13" s="4">
        <f t="shared" si="2"/>
        <v>7424</v>
      </c>
      <c r="Q13" s="4">
        <f t="shared" si="3"/>
        <v>1510.7472</v>
      </c>
      <c r="R13" s="4">
        <f t="shared" si="0"/>
        <v>5913.2528</v>
      </c>
    </row>
    <row r="14" spans="1:18">
      <c r="A14" s="3" t="s">
        <v>30</v>
      </c>
      <c r="B14" s="3" t="str">
        <f>VLOOKUP(A14,员工资料!A:C,2,FALSE)</f>
        <v>女</v>
      </c>
      <c r="C14" s="3" t="str">
        <f>VLOOKUP(A14,员工资料!A:C,3,FALSE)</f>
        <v>劳务工</v>
      </c>
      <c r="D14" s="4">
        <v>4157</v>
      </c>
      <c r="E14" s="4">
        <v>544</v>
      </c>
      <c r="F14" s="4">
        <v>50</v>
      </c>
      <c r="G14" s="4">
        <v>798</v>
      </c>
      <c r="H14" s="4">
        <v>433</v>
      </c>
      <c r="I14" s="4">
        <v>489</v>
      </c>
      <c r="J14" s="4">
        <v>79</v>
      </c>
      <c r="K14" s="4">
        <v>517.68</v>
      </c>
      <c r="L14" s="4">
        <v>388.26</v>
      </c>
      <c r="M14" s="4">
        <v>46.28</v>
      </c>
      <c r="N14" s="4">
        <v>147.92</v>
      </c>
      <c r="O14" s="4">
        <f t="shared" si="1"/>
        <v>163.3488</v>
      </c>
      <c r="P14" s="4">
        <f t="shared" si="2"/>
        <v>6392</v>
      </c>
      <c r="Q14" s="4">
        <f t="shared" si="3"/>
        <v>1263.4888</v>
      </c>
      <c r="R14" s="4">
        <f t="shared" si="0"/>
        <v>5128.5112</v>
      </c>
    </row>
    <row r="15" spans="1:18">
      <c r="A15" s="3" t="s">
        <v>25</v>
      </c>
      <c r="B15" s="3" t="str">
        <f>VLOOKUP(A15,员工资料!A:C,2,FALSE)</f>
        <v>女</v>
      </c>
      <c r="C15" s="3" t="str">
        <f>VLOOKUP(A15,员工资料!A:C,3,FALSE)</f>
        <v>劳务工</v>
      </c>
      <c r="D15" s="4">
        <v>4058</v>
      </c>
      <c r="E15" s="4">
        <v>503</v>
      </c>
      <c r="F15" s="4">
        <v>180</v>
      </c>
      <c r="G15" s="4">
        <v>877</v>
      </c>
      <c r="H15" s="4">
        <v>258</v>
      </c>
      <c r="I15" s="4">
        <v>464</v>
      </c>
      <c r="J15" s="4">
        <v>189</v>
      </c>
      <c r="K15" s="4">
        <v>507.2</v>
      </c>
      <c r="L15" s="4">
        <v>380.4</v>
      </c>
      <c r="M15" s="4">
        <v>47.24</v>
      </c>
      <c r="N15" s="4">
        <v>150.88</v>
      </c>
      <c r="O15" s="4">
        <f t="shared" si="1"/>
        <v>145.2224</v>
      </c>
      <c r="P15" s="4">
        <f t="shared" si="2"/>
        <v>6151</v>
      </c>
      <c r="Q15" s="4">
        <f t="shared" si="3"/>
        <v>1230.9424</v>
      </c>
      <c r="R15" s="4">
        <f t="shared" si="0"/>
        <v>4920.0576</v>
      </c>
    </row>
    <row r="16" spans="1:18">
      <c r="A16" s="3" t="s">
        <v>32</v>
      </c>
      <c r="B16" s="3" t="str">
        <f>VLOOKUP(A16,员工资料!A:C,2,FALSE)</f>
        <v>女</v>
      </c>
      <c r="C16" s="3" t="str">
        <f>VLOOKUP(A16,员工资料!A:C,3,FALSE)</f>
        <v>劳务工</v>
      </c>
      <c r="D16" s="4">
        <v>5519</v>
      </c>
      <c r="E16" s="4">
        <v>225</v>
      </c>
      <c r="F16" s="4">
        <v>220</v>
      </c>
      <c r="G16" s="4">
        <v>1071</v>
      </c>
      <c r="H16" s="4">
        <v>571</v>
      </c>
      <c r="I16" s="4">
        <v>352</v>
      </c>
      <c r="J16" s="4">
        <v>106</v>
      </c>
      <c r="K16" s="4">
        <v>636.64</v>
      </c>
      <c r="L16" s="4">
        <v>477.48</v>
      </c>
      <c r="M16" s="4">
        <v>49.5</v>
      </c>
      <c r="N16" s="4">
        <v>185.6</v>
      </c>
      <c r="O16" s="4">
        <f t="shared" si="1"/>
        <v>260.2224</v>
      </c>
      <c r="P16" s="4">
        <f t="shared" si="2"/>
        <v>7852</v>
      </c>
      <c r="Q16" s="4">
        <f t="shared" si="3"/>
        <v>1609.4424</v>
      </c>
      <c r="R16" s="4">
        <f t="shared" si="0"/>
        <v>6242.5576</v>
      </c>
    </row>
    <row r="17" spans="1:18">
      <c r="A17" s="3" t="s">
        <v>33</v>
      </c>
      <c r="B17" s="3" t="str">
        <f>VLOOKUP(A17,员工资料!A:C,2,FALSE)</f>
        <v>男</v>
      </c>
      <c r="C17" s="3" t="str">
        <f>VLOOKUP(A17,员工资料!A:C,3,FALSE)</f>
        <v>劳务工</v>
      </c>
      <c r="D17" s="4">
        <v>4847</v>
      </c>
      <c r="E17" s="4">
        <v>407</v>
      </c>
      <c r="F17" s="4">
        <v>130</v>
      </c>
      <c r="G17" s="4">
        <v>1016</v>
      </c>
      <c r="H17" s="4">
        <v>389</v>
      </c>
      <c r="I17" s="4">
        <v>428</v>
      </c>
      <c r="J17" s="4">
        <v>87</v>
      </c>
      <c r="K17" s="4">
        <v>577.36</v>
      </c>
      <c r="L17" s="4">
        <v>433.02</v>
      </c>
      <c r="M17" s="4">
        <v>47.4</v>
      </c>
      <c r="N17" s="4">
        <v>164</v>
      </c>
      <c r="O17" s="4">
        <f t="shared" si="1"/>
        <v>212.6576</v>
      </c>
      <c r="P17" s="4">
        <f t="shared" si="2"/>
        <v>7130</v>
      </c>
      <c r="Q17" s="4">
        <f t="shared" si="3"/>
        <v>1434.4376</v>
      </c>
      <c r="R17" s="4">
        <f t="shared" si="0"/>
        <v>5695.5624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5482</v>
      </c>
      <c r="E2" s="4">
        <v>288</v>
      </c>
      <c r="F2" s="4">
        <v>240</v>
      </c>
      <c r="G2" s="4">
        <v>1029</v>
      </c>
      <c r="H2" s="4">
        <v>357</v>
      </c>
      <c r="I2" s="4">
        <v>497</v>
      </c>
      <c r="J2" s="4">
        <v>100</v>
      </c>
      <c r="K2" s="4">
        <v>631.44</v>
      </c>
      <c r="L2" s="4">
        <v>473.58</v>
      </c>
      <c r="M2" s="4">
        <v>50.22</v>
      </c>
      <c r="N2" s="4">
        <v>177.84</v>
      </c>
      <c r="O2" s="4">
        <f>IF(P2-SUM(K2:N2)&lt;=2000,0,IF(P2-SUM(K2:N2)&lt;=4000,0+(P2-SUM(K2:N2)-2000)*0.03,IF(P2-SUM(K2:N2)&lt;=8000,0+2000*0.03+(P2-SUM(K2:N2)-4000)*0.08,0+2000*0.03+4000*0.08+(P2-SUM(K2:N2)-8000)*0.1)))</f>
        <v>256.7936</v>
      </c>
      <c r="P2" s="4">
        <f>D2+E2+F2+G2+H2+I2-J2</f>
        <v>7793</v>
      </c>
      <c r="Q2" s="4">
        <f>K2+L2+M2+N2+O2</f>
        <v>1589.8736</v>
      </c>
      <c r="R2" s="4">
        <f t="shared" ref="R2:R17" si="0">P2-Q2</f>
        <v>6203.1264</v>
      </c>
    </row>
    <row r="3" spans="1:18">
      <c r="A3" s="3" t="s">
        <v>21</v>
      </c>
      <c r="B3" s="3" t="str">
        <f>VLOOKUP(A3,员工资料!A:C,2,FALSE)</f>
        <v>女</v>
      </c>
      <c r="C3" s="3" t="str">
        <f>VLOOKUP(A3,员工资料!A:C,3,FALSE)</f>
        <v>合同工</v>
      </c>
      <c r="D3" s="4">
        <v>3509</v>
      </c>
      <c r="E3" s="4">
        <v>236</v>
      </c>
      <c r="F3" s="4">
        <v>150</v>
      </c>
      <c r="G3" s="4">
        <v>1202</v>
      </c>
      <c r="H3" s="4">
        <v>521</v>
      </c>
      <c r="I3" s="4">
        <v>256</v>
      </c>
      <c r="J3" s="4">
        <v>81</v>
      </c>
      <c r="K3" s="4">
        <v>469.92</v>
      </c>
      <c r="L3" s="4">
        <v>352.44</v>
      </c>
      <c r="M3" s="4">
        <v>47.3</v>
      </c>
      <c r="N3" s="4">
        <v>170.32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120.2416</v>
      </c>
      <c r="P3" s="4">
        <f t="shared" ref="P3:P17" si="2">D3+E3+F3+G3+H3+I3-J3</f>
        <v>5793</v>
      </c>
      <c r="Q3" s="4">
        <f t="shared" ref="Q3:Q17" si="3">K3+L3+M3+N3+O3</f>
        <v>1160.2216</v>
      </c>
      <c r="R3" s="4">
        <f t="shared" si="0"/>
        <v>4632.7784</v>
      </c>
    </row>
    <row r="4" spans="1:18">
      <c r="A4" s="3" t="s">
        <v>36</v>
      </c>
      <c r="B4" s="3" t="str">
        <f>VLOOKUP(A4,员工资料!A:C,2,FALSE)</f>
        <v>男</v>
      </c>
      <c r="C4" s="3" t="str">
        <f>VLOOKUP(A4,员工资料!A:C,3,FALSE)</f>
        <v>劳务工</v>
      </c>
      <c r="D4" s="4">
        <v>4449</v>
      </c>
      <c r="E4" s="4">
        <v>452</v>
      </c>
      <c r="F4" s="4">
        <v>170</v>
      </c>
      <c r="G4" s="4">
        <v>957</v>
      </c>
      <c r="H4" s="4">
        <v>500</v>
      </c>
      <c r="I4" s="4">
        <v>557</v>
      </c>
      <c r="J4" s="4">
        <v>16</v>
      </c>
      <c r="K4" s="4">
        <v>566.8</v>
      </c>
      <c r="L4" s="4">
        <v>425.1</v>
      </c>
      <c r="M4" s="4">
        <v>52.72</v>
      </c>
      <c r="N4" s="4">
        <v>174.72</v>
      </c>
      <c r="O4" s="4">
        <f t="shared" si="1"/>
        <v>207.9728</v>
      </c>
      <c r="P4" s="4">
        <f t="shared" si="2"/>
        <v>7069</v>
      </c>
      <c r="Q4" s="4">
        <f t="shared" si="3"/>
        <v>1427.3128</v>
      </c>
      <c r="R4" s="4">
        <f t="shared" si="0"/>
        <v>5641.6872</v>
      </c>
    </row>
    <row r="5" spans="1:18">
      <c r="A5" s="3" t="s">
        <v>37</v>
      </c>
      <c r="B5" s="3" t="str">
        <f>VLOOKUP(A5,员工资料!A:C,2,FALSE)</f>
        <v>男</v>
      </c>
      <c r="C5" s="3" t="str">
        <f>VLOOKUP(A5,员工资料!A:C,3,FALSE)</f>
        <v>合同工</v>
      </c>
      <c r="D5" s="4">
        <v>3863</v>
      </c>
      <c r="E5" s="4">
        <v>486</v>
      </c>
      <c r="F5" s="4">
        <v>290</v>
      </c>
      <c r="G5" s="4">
        <v>1048</v>
      </c>
      <c r="H5" s="4">
        <v>283</v>
      </c>
      <c r="I5" s="4">
        <v>515</v>
      </c>
      <c r="J5" s="4">
        <v>62</v>
      </c>
      <c r="K5" s="4">
        <v>518.8</v>
      </c>
      <c r="L5" s="4">
        <v>389.1</v>
      </c>
      <c r="M5" s="4">
        <v>53.68</v>
      </c>
      <c r="N5" s="4">
        <v>175.84</v>
      </c>
      <c r="O5" s="4">
        <f t="shared" si="1"/>
        <v>162.8464</v>
      </c>
      <c r="P5" s="4">
        <f t="shared" si="2"/>
        <v>6423</v>
      </c>
      <c r="Q5" s="4">
        <f t="shared" si="3"/>
        <v>1300.2664</v>
      </c>
      <c r="R5" s="4">
        <f t="shared" si="0"/>
        <v>5122.7336</v>
      </c>
    </row>
    <row r="6" spans="1:18">
      <c r="A6" s="3" t="s">
        <v>38</v>
      </c>
      <c r="B6" s="3" t="str">
        <f>VLOOKUP(A6,员工资料!A:C,2,FALSE)</f>
        <v>男</v>
      </c>
      <c r="C6" s="3" t="str">
        <f>VLOOKUP(A6,员工资料!A:C,3,FALSE)</f>
        <v>劳务工</v>
      </c>
      <c r="D6" s="4">
        <v>3600</v>
      </c>
      <c r="E6" s="4">
        <v>257</v>
      </c>
      <c r="F6" s="4">
        <v>110</v>
      </c>
      <c r="G6" s="4">
        <v>1077</v>
      </c>
      <c r="H6" s="4">
        <v>285</v>
      </c>
      <c r="I6" s="4">
        <v>364</v>
      </c>
      <c r="J6" s="4">
        <v>53</v>
      </c>
      <c r="K6" s="4">
        <v>455.44</v>
      </c>
      <c r="L6" s="4">
        <v>341.58</v>
      </c>
      <c r="M6" s="4">
        <v>42.92</v>
      </c>
      <c r="N6" s="4">
        <v>151.12</v>
      </c>
      <c r="O6" s="4">
        <f t="shared" si="1"/>
        <v>111.9152</v>
      </c>
      <c r="P6" s="4">
        <f t="shared" si="2"/>
        <v>5640</v>
      </c>
      <c r="Q6" s="4">
        <f t="shared" si="3"/>
        <v>1102.9752</v>
      </c>
      <c r="R6" s="4">
        <f t="shared" si="0"/>
        <v>4537.0248</v>
      </c>
    </row>
    <row r="7" spans="1:18">
      <c r="A7" s="3" t="s">
        <v>23</v>
      </c>
      <c r="B7" s="3" t="str">
        <f>VLOOKUP(A7,员工资料!A:C,2,FALSE)</f>
        <v>男</v>
      </c>
      <c r="C7" s="3" t="str">
        <f>VLOOKUP(A7,员工资料!A:C,3,FALSE)</f>
        <v>合同工</v>
      </c>
      <c r="D7" s="4">
        <v>5325</v>
      </c>
      <c r="E7" s="4">
        <v>583</v>
      </c>
      <c r="F7" s="4">
        <v>250</v>
      </c>
      <c r="G7" s="4">
        <v>866</v>
      </c>
      <c r="H7" s="4">
        <v>452</v>
      </c>
      <c r="I7" s="4">
        <v>470</v>
      </c>
      <c r="J7" s="4">
        <v>29</v>
      </c>
      <c r="K7" s="4">
        <v>635.68</v>
      </c>
      <c r="L7" s="4">
        <v>476.76</v>
      </c>
      <c r="M7" s="4">
        <v>52.42</v>
      </c>
      <c r="N7" s="4">
        <v>163.04</v>
      </c>
      <c r="O7" s="4">
        <f t="shared" si="1"/>
        <v>267.128</v>
      </c>
      <c r="P7" s="4">
        <f t="shared" si="2"/>
        <v>7917</v>
      </c>
      <c r="Q7" s="4">
        <f t="shared" si="3"/>
        <v>1595.028</v>
      </c>
      <c r="R7" s="4">
        <f t="shared" si="0"/>
        <v>6321.972</v>
      </c>
    </row>
    <row r="8" spans="1:18">
      <c r="A8" s="3" t="s">
        <v>24</v>
      </c>
      <c r="B8" s="3" t="str">
        <f>VLOOKUP(A8,员工资料!A:C,2,FALSE)</f>
        <v>女</v>
      </c>
      <c r="C8" s="3" t="str">
        <f>VLOOKUP(A8,员工资料!A:C,3,FALSE)</f>
        <v>合同工</v>
      </c>
      <c r="D8" s="4">
        <v>6265</v>
      </c>
      <c r="E8" s="4">
        <v>442</v>
      </c>
      <c r="F8" s="4">
        <v>120</v>
      </c>
      <c r="G8" s="4">
        <v>833</v>
      </c>
      <c r="H8" s="4">
        <v>542</v>
      </c>
      <c r="I8" s="4">
        <v>232</v>
      </c>
      <c r="J8" s="4">
        <v>130</v>
      </c>
      <c r="K8" s="4">
        <v>674.72</v>
      </c>
      <c r="L8" s="4">
        <v>506.04</v>
      </c>
      <c r="M8" s="4">
        <v>44.34</v>
      </c>
      <c r="N8" s="4">
        <v>146.24</v>
      </c>
      <c r="O8" s="4">
        <f t="shared" si="1"/>
        <v>294.6128</v>
      </c>
      <c r="P8" s="4">
        <f t="shared" si="2"/>
        <v>8304</v>
      </c>
      <c r="Q8" s="4">
        <f t="shared" si="3"/>
        <v>1665.9528</v>
      </c>
      <c r="R8" s="4">
        <f t="shared" si="0"/>
        <v>6638.0472</v>
      </c>
    </row>
    <row r="9" spans="1:18">
      <c r="A9" s="3" t="s">
        <v>25</v>
      </c>
      <c r="B9" s="3" t="str">
        <f>VLOOKUP(A9,员工资料!A:C,2,FALSE)</f>
        <v>女</v>
      </c>
      <c r="C9" s="3" t="str">
        <f>VLOOKUP(A9,员工资料!A:C,3,FALSE)</f>
        <v>劳务工</v>
      </c>
      <c r="D9" s="4">
        <v>3121</v>
      </c>
      <c r="E9" s="4">
        <v>260</v>
      </c>
      <c r="F9" s="4">
        <v>250</v>
      </c>
      <c r="G9" s="4">
        <v>822</v>
      </c>
      <c r="H9" s="4">
        <v>589</v>
      </c>
      <c r="I9" s="4">
        <v>536</v>
      </c>
      <c r="J9" s="4">
        <v>0</v>
      </c>
      <c r="K9" s="4">
        <v>446.24</v>
      </c>
      <c r="L9" s="4">
        <v>334.68</v>
      </c>
      <c r="M9" s="4">
        <v>49.14</v>
      </c>
      <c r="N9" s="4">
        <v>175.76</v>
      </c>
      <c r="O9" s="4">
        <f t="shared" si="1"/>
        <v>105.7744</v>
      </c>
      <c r="P9" s="4">
        <f t="shared" si="2"/>
        <v>5578</v>
      </c>
      <c r="Q9" s="4">
        <f t="shared" si="3"/>
        <v>1111.5944</v>
      </c>
      <c r="R9" s="4">
        <f t="shared" si="0"/>
        <v>4466.4056</v>
      </c>
    </row>
    <row r="10" spans="1:18">
      <c r="A10" s="3" t="s">
        <v>26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4277</v>
      </c>
      <c r="E10" s="4">
        <v>519</v>
      </c>
      <c r="F10" s="4">
        <v>90</v>
      </c>
      <c r="G10" s="4">
        <v>733</v>
      </c>
      <c r="H10" s="4">
        <v>424</v>
      </c>
      <c r="I10" s="4">
        <v>305</v>
      </c>
      <c r="J10" s="4">
        <v>54</v>
      </c>
      <c r="K10" s="4">
        <v>507.84</v>
      </c>
      <c r="L10" s="4">
        <v>380.88</v>
      </c>
      <c r="M10" s="4">
        <v>41.42</v>
      </c>
      <c r="N10" s="4">
        <v>127.28</v>
      </c>
      <c r="O10" s="4">
        <f t="shared" si="1"/>
        <v>158.9264</v>
      </c>
      <c r="P10" s="4">
        <f t="shared" si="2"/>
        <v>6294</v>
      </c>
      <c r="Q10" s="4">
        <f t="shared" si="3"/>
        <v>1216.3464</v>
      </c>
      <c r="R10" s="4">
        <f t="shared" si="0"/>
        <v>5077.6536</v>
      </c>
    </row>
    <row r="11" spans="1:18">
      <c r="A11" s="3" t="s">
        <v>39</v>
      </c>
      <c r="B11" s="3" t="str">
        <f>VLOOKUP(A11,员工资料!A:C,2,FALSE)</f>
        <v>男</v>
      </c>
      <c r="C11" s="3" t="str">
        <f>VLOOKUP(A11,员工资料!A:C,3,FALSE)</f>
        <v>合同工</v>
      </c>
      <c r="D11" s="4">
        <v>4056</v>
      </c>
      <c r="E11" s="4">
        <v>523</v>
      </c>
      <c r="F11" s="4">
        <v>180</v>
      </c>
      <c r="G11" s="4">
        <v>995</v>
      </c>
      <c r="H11" s="4">
        <v>420</v>
      </c>
      <c r="I11" s="4">
        <v>418</v>
      </c>
      <c r="J11" s="4">
        <v>76</v>
      </c>
      <c r="K11" s="4">
        <v>527.36</v>
      </c>
      <c r="L11" s="4">
        <v>395.52</v>
      </c>
      <c r="M11" s="4">
        <v>52.24</v>
      </c>
      <c r="N11" s="4">
        <v>167.12</v>
      </c>
      <c r="O11" s="4">
        <f t="shared" si="1"/>
        <v>169.9008</v>
      </c>
      <c r="P11" s="4">
        <f t="shared" si="2"/>
        <v>6516</v>
      </c>
      <c r="Q11" s="4">
        <f t="shared" si="3"/>
        <v>1312.1408</v>
      </c>
      <c r="R11" s="4">
        <f t="shared" si="0"/>
        <v>5203.8592</v>
      </c>
    </row>
    <row r="12" spans="1:18">
      <c r="A12" s="3" t="s">
        <v>33</v>
      </c>
      <c r="B12" s="3" t="str">
        <f>VLOOKUP(A12,员工资料!A:C,2,FALSE)</f>
        <v>男</v>
      </c>
      <c r="C12" s="3" t="str">
        <f>VLOOKUP(A12,员工资料!A:C,3,FALSE)</f>
        <v>劳务工</v>
      </c>
      <c r="D12" s="4">
        <v>4073</v>
      </c>
      <c r="E12" s="4">
        <v>287</v>
      </c>
      <c r="F12" s="4">
        <v>70</v>
      </c>
      <c r="G12" s="4">
        <v>1100</v>
      </c>
      <c r="H12" s="4">
        <v>493</v>
      </c>
      <c r="I12" s="4">
        <v>248</v>
      </c>
      <c r="J12" s="4">
        <v>51</v>
      </c>
      <c r="K12" s="4">
        <v>501.68</v>
      </c>
      <c r="L12" s="4">
        <v>376.26</v>
      </c>
      <c r="M12" s="4">
        <v>44.74</v>
      </c>
      <c r="N12" s="4">
        <v>156.96</v>
      </c>
      <c r="O12" s="4">
        <f t="shared" si="1"/>
        <v>151.2288</v>
      </c>
      <c r="P12" s="4">
        <f t="shared" si="2"/>
        <v>6220</v>
      </c>
      <c r="Q12" s="4">
        <f t="shared" si="3"/>
        <v>1230.8688</v>
      </c>
      <c r="R12" s="4">
        <f t="shared" si="0"/>
        <v>4989.1312</v>
      </c>
    </row>
    <row r="13" spans="1:18">
      <c r="A13" s="3" t="s">
        <v>29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3656</v>
      </c>
      <c r="E13" s="4">
        <v>252</v>
      </c>
      <c r="F13" s="4">
        <v>200</v>
      </c>
      <c r="G13" s="4">
        <v>1015</v>
      </c>
      <c r="H13" s="4">
        <v>403</v>
      </c>
      <c r="I13" s="4">
        <v>361</v>
      </c>
      <c r="J13" s="4">
        <v>46</v>
      </c>
      <c r="K13" s="4">
        <v>470.96</v>
      </c>
      <c r="L13" s="4">
        <v>353.22</v>
      </c>
      <c r="M13" s="4">
        <v>44.62</v>
      </c>
      <c r="N13" s="4">
        <v>158.32</v>
      </c>
      <c r="O13" s="4">
        <f t="shared" si="1"/>
        <v>125.1104</v>
      </c>
      <c r="P13" s="4">
        <f t="shared" si="2"/>
        <v>5841</v>
      </c>
      <c r="Q13" s="4">
        <f t="shared" si="3"/>
        <v>1152.2304</v>
      </c>
      <c r="R13" s="4">
        <f t="shared" si="0"/>
        <v>4688.7696</v>
      </c>
    </row>
    <row r="14" spans="1:18">
      <c r="A14" s="3" t="s">
        <v>30</v>
      </c>
      <c r="B14" s="3" t="str">
        <f>VLOOKUP(A14,员工资料!A:C,2,FALSE)</f>
        <v>女</v>
      </c>
      <c r="C14" s="3" t="str">
        <f>VLOOKUP(A14,员工资料!A:C,3,FALSE)</f>
        <v>劳务工</v>
      </c>
      <c r="D14" s="4">
        <v>3070</v>
      </c>
      <c r="E14" s="4">
        <v>394</v>
      </c>
      <c r="F14" s="4">
        <v>110</v>
      </c>
      <c r="G14" s="4">
        <v>899</v>
      </c>
      <c r="H14" s="4">
        <v>326</v>
      </c>
      <c r="I14" s="4">
        <v>571</v>
      </c>
      <c r="J14" s="4">
        <v>79</v>
      </c>
      <c r="K14" s="4">
        <v>429.6</v>
      </c>
      <c r="L14" s="4">
        <v>322.2</v>
      </c>
      <c r="M14" s="4">
        <v>46</v>
      </c>
      <c r="N14" s="4">
        <v>158.8</v>
      </c>
      <c r="O14" s="4">
        <f t="shared" si="1"/>
        <v>86.752</v>
      </c>
      <c r="P14" s="4">
        <f t="shared" si="2"/>
        <v>5291</v>
      </c>
      <c r="Q14" s="4">
        <f t="shared" si="3"/>
        <v>1043.352</v>
      </c>
      <c r="R14" s="4">
        <f t="shared" si="0"/>
        <v>4247.648</v>
      </c>
    </row>
    <row r="15" spans="1:18">
      <c r="A15" s="3" t="s">
        <v>31</v>
      </c>
      <c r="B15" s="3" t="str">
        <f>VLOOKUP(A15,员工资料!A:C,2,FALSE)</f>
        <v>男</v>
      </c>
      <c r="C15" s="3" t="str">
        <f>VLOOKUP(A15,员工资料!A:C,3,FALSE)</f>
        <v>劳务工</v>
      </c>
      <c r="D15" s="4">
        <v>5278</v>
      </c>
      <c r="E15" s="4">
        <v>593</v>
      </c>
      <c r="F15" s="4">
        <v>150</v>
      </c>
      <c r="G15" s="4">
        <v>795</v>
      </c>
      <c r="H15" s="4">
        <v>591</v>
      </c>
      <c r="I15" s="4">
        <v>583</v>
      </c>
      <c r="J15" s="4">
        <v>189</v>
      </c>
      <c r="K15" s="4">
        <v>639.2</v>
      </c>
      <c r="L15" s="4">
        <v>479.4</v>
      </c>
      <c r="M15" s="4">
        <v>55.84</v>
      </c>
      <c r="N15" s="4">
        <v>178.08</v>
      </c>
      <c r="O15" s="4">
        <f t="shared" si="1"/>
        <v>255.8784</v>
      </c>
      <c r="P15" s="4">
        <f t="shared" si="2"/>
        <v>7801</v>
      </c>
      <c r="Q15" s="4">
        <f t="shared" si="3"/>
        <v>1608.3984</v>
      </c>
      <c r="R15" s="4">
        <f t="shared" si="0"/>
        <v>6192.6016</v>
      </c>
    </row>
    <row r="16" spans="1:18">
      <c r="A16" s="3" t="s">
        <v>32</v>
      </c>
      <c r="B16" s="3" t="str">
        <f>VLOOKUP(A16,员工资料!A:C,2,FALSE)</f>
        <v>女</v>
      </c>
      <c r="C16" s="3" t="str">
        <f>VLOOKUP(A16,员工资料!A:C,3,FALSE)</f>
        <v>劳务工</v>
      </c>
      <c r="D16" s="4">
        <v>2795</v>
      </c>
      <c r="E16" s="4">
        <v>576</v>
      </c>
      <c r="F16" s="4">
        <v>60</v>
      </c>
      <c r="G16" s="4">
        <v>1189</v>
      </c>
      <c r="H16" s="4">
        <v>323</v>
      </c>
      <c r="I16" s="4">
        <v>528</v>
      </c>
      <c r="J16" s="4">
        <v>106</v>
      </c>
      <c r="K16" s="4">
        <v>437.68</v>
      </c>
      <c r="L16" s="4">
        <v>328.26</v>
      </c>
      <c r="M16" s="4">
        <v>54.24</v>
      </c>
      <c r="N16" s="4">
        <v>176.48</v>
      </c>
      <c r="O16" s="4">
        <f t="shared" si="1"/>
        <v>89.4672</v>
      </c>
      <c r="P16" s="4">
        <f t="shared" si="2"/>
        <v>5365</v>
      </c>
      <c r="Q16" s="4">
        <f t="shared" si="3"/>
        <v>1086.1272</v>
      </c>
      <c r="R16" s="4">
        <f t="shared" si="0"/>
        <v>4278.8728</v>
      </c>
    </row>
    <row r="17" spans="1:18">
      <c r="A17" s="3" t="s">
        <v>40</v>
      </c>
      <c r="B17" s="3" t="str">
        <f>VLOOKUP(A17,员工资料!A:C,2,FALSE)</f>
        <v>女</v>
      </c>
      <c r="C17" s="3" t="str">
        <f>VLOOKUP(A17,员工资料!A:C,3,FALSE)</f>
        <v>合同工</v>
      </c>
      <c r="D17" s="4">
        <v>4763</v>
      </c>
      <c r="E17" s="4">
        <v>227</v>
      </c>
      <c r="F17" s="4">
        <v>120</v>
      </c>
      <c r="G17" s="4">
        <v>952</v>
      </c>
      <c r="H17" s="4">
        <v>404</v>
      </c>
      <c r="I17" s="4">
        <v>569</v>
      </c>
      <c r="J17" s="4">
        <v>87</v>
      </c>
      <c r="K17" s="4">
        <v>562.8</v>
      </c>
      <c r="L17" s="4">
        <v>422.1</v>
      </c>
      <c r="M17" s="4">
        <v>45.44</v>
      </c>
      <c r="N17" s="4">
        <v>170.56</v>
      </c>
      <c r="O17" s="4">
        <f t="shared" si="1"/>
        <v>199.768</v>
      </c>
      <c r="P17" s="4">
        <f t="shared" si="2"/>
        <v>6948</v>
      </c>
      <c r="Q17" s="4">
        <f t="shared" si="3"/>
        <v>1400.668</v>
      </c>
      <c r="R17" s="4">
        <f t="shared" si="0"/>
        <v>5547.332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2779</v>
      </c>
      <c r="E2" s="4">
        <v>531</v>
      </c>
      <c r="F2" s="4">
        <v>90</v>
      </c>
      <c r="G2" s="4">
        <v>847</v>
      </c>
      <c r="H2" s="4">
        <v>376</v>
      </c>
      <c r="I2" s="4">
        <v>497</v>
      </c>
      <c r="J2" s="4">
        <v>100</v>
      </c>
      <c r="K2" s="4">
        <v>409.6</v>
      </c>
      <c r="L2" s="4">
        <v>307.2</v>
      </c>
      <c r="M2" s="4">
        <v>48.82</v>
      </c>
      <c r="N2" s="4">
        <v>152.8</v>
      </c>
      <c r="O2" s="4">
        <f>IF(P2-SUM(K2:N2)&lt;=2000,0,IF(P2-SUM(K2:N2)&lt;=4000,0+(P2-SUM(K2:N2)-2000)*0.03,IF(P2-SUM(K2:N2)&lt;=8000,0+2000*0.03+(P2-SUM(K2:N2)-4000)*0.08,0+2000*0.03+4000*0.08+(P2-SUM(K2:N2)-8000)*0.1)))</f>
        <v>68.1264</v>
      </c>
      <c r="P2" s="4">
        <f>D2+E2+F2+G2+H2+I2-J2</f>
        <v>5020</v>
      </c>
      <c r="Q2" s="4">
        <f>K2+L2+M2+N2+O2</f>
        <v>986.5464</v>
      </c>
      <c r="R2" s="4">
        <f t="shared" ref="R2:R17" si="0">P2-Q2</f>
        <v>4033.4536</v>
      </c>
    </row>
    <row r="3" spans="1:18">
      <c r="A3" s="3" t="s">
        <v>19</v>
      </c>
      <c r="B3" s="3" t="str">
        <f>VLOOKUP(A3,员工资料!A:C,2,FALSE)</f>
        <v>男</v>
      </c>
      <c r="C3" s="3" t="str">
        <f>VLOOKUP(A3,员工资料!A:C,3,FALSE)</f>
        <v>合同工</v>
      </c>
      <c r="D3" s="4">
        <v>5793</v>
      </c>
      <c r="E3" s="4">
        <v>354</v>
      </c>
      <c r="F3" s="4">
        <v>160</v>
      </c>
      <c r="G3" s="4">
        <v>950</v>
      </c>
      <c r="H3" s="4">
        <v>554</v>
      </c>
      <c r="I3" s="4">
        <v>215</v>
      </c>
      <c r="J3" s="4">
        <v>81</v>
      </c>
      <c r="K3" s="4">
        <v>642.08</v>
      </c>
      <c r="L3" s="4">
        <v>481.56</v>
      </c>
      <c r="M3" s="4">
        <v>44.66</v>
      </c>
      <c r="N3" s="4">
        <v>150.32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270.1104</v>
      </c>
      <c r="P3" s="4">
        <f t="shared" ref="P3:P17" si="2">D3+E3+F3+G3+H3+I3-J3</f>
        <v>7945</v>
      </c>
      <c r="Q3" s="4">
        <f t="shared" ref="Q3:Q17" si="3">K3+L3+M3+N3+O3</f>
        <v>1588.7304</v>
      </c>
      <c r="R3" s="4">
        <f t="shared" si="0"/>
        <v>6356.2696</v>
      </c>
    </row>
    <row r="4" spans="1:18">
      <c r="A4" s="3" t="s">
        <v>20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2598</v>
      </c>
      <c r="E4" s="4">
        <v>584</v>
      </c>
      <c r="F4" s="4">
        <v>220</v>
      </c>
      <c r="G4" s="4">
        <v>1105</v>
      </c>
      <c r="H4" s="4">
        <v>306</v>
      </c>
      <c r="I4" s="4">
        <v>514</v>
      </c>
      <c r="J4" s="4">
        <v>16</v>
      </c>
      <c r="K4" s="4">
        <v>426.16</v>
      </c>
      <c r="L4" s="4">
        <v>319.62</v>
      </c>
      <c r="M4" s="4">
        <v>54.58</v>
      </c>
      <c r="N4" s="4">
        <v>171.6</v>
      </c>
      <c r="O4" s="4">
        <f t="shared" si="1"/>
        <v>87.1232</v>
      </c>
      <c r="P4" s="4">
        <f t="shared" si="2"/>
        <v>5311</v>
      </c>
      <c r="Q4" s="4">
        <f t="shared" si="3"/>
        <v>1059.0832</v>
      </c>
      <c r="R4" s="4">
        <f t="shared" si="0"/>
        <v>4251.9168</v>
      </c>
    </row>
    <row r="5" spans="1:18">
      <c r="A5" s="3" t="s">
        <v>21</v>
      </c>
      <c r="B5" s="3" t="str">
        <f>VLOOKUP(A5,员工资料!A:C,2,FALSE)</f>
        <v>女</v>
      </c>
      <c r="C5" s="3" t="str">
        <f>VLOOKUP(A5,员工资料!A:C,3,FALSE)</f>
        <v>合同工</v>
      </c>
      <c r="D5" s="4">
        <v>3976</v>
      </c>
      <c r="E5" s="4">
        <v>458</v>
      </c>
      <c r="F5" s="4">
        <v>120</v>
      </c>
      <c r="G5" s="4">
        <v>828</v>
      </c>
      <c r="H5" s="4">
        <v>443</v>
      </c>
      <c r="I5" s="4">
        <v>245</v>
      </c>
      <c r="J5" s="4">
        <v>62</v>
      </c>
      <c r="K5" s="4">
        <v>485.6</v>
      </c>
      <c r="L5" s="4">
        <v>364.2</v>
      </c>
      <c r="M5" s="4">
        <v>43.12</v>
      </c>
      <c r="N5" s="4">
        <v>135.84</v>
      </c>
      <c r="O5" s="4">
        <f t="shared" si="1"/>
        <v>138.3392</v>
      </c>
      <c r="P5" s="4">
        <f t="shared" si="2"/>
        <v>6008</v>
      </c>
      <c r="Q5" s="4">
        <f t="shared" si="3"/>
        <v>1167.0992</v>
      </c>
      <c r="R5" s="4">
        <f t="shared" si="0"/>
        <v>4840.9008</v>
      </c>
    </row>
    <row r="6" spans="1:18">
      <c r="A6" s="3" t="s">
        <v>22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2720</v>
      </c>
      <c r="E6" s="4">
        <v>581</v>
      </c>
      <c r="F6" s="4">
        <v>50</v>
      </c>
      <c r="G6" s="4">
        <v>1048</v>
      </c>
      <c r="H6" s="4">
        <v>445</v>
      </c>
      <c r="I6" s="4">
        <v>589</v>
      </c>
      <c r="J6" s="4">
        <v>53</v>
      </c>
      <c r="K6" s="4">
        <v>434.64</v>
      </c>
      <c r="L6" s="4">
        <v>325.98</v>
      </c>
      <c r="M6" s="4">
        <v>55.32</v>
      </c>
      <c r="N6" s="4">
        <v>174.8</v>
      </c>
      <c r="O6" s="4">
        <f t="shared" si="1"/>
        <v>91.1408</v>
      </c>
      <c r="P6" s="4">
        <f t="shared" si="2"/>
        <v>5380</v>
      </c>
      <c r="Q6" s="4">
        <f t="shared" si="3"/>
        <v>1081.8808</v>
      </c>
      <c r="R6" s="4">
        <f t="shared" si="0"/>
        <v>4298.1192</v>
      </c>
    </row>
    <row r="7" spans="1:18">
      <c r="A7" s="3" t="s">
        <v>23</v>
      </c>
      <c r="B7" s="3" t="str">
        <f>VLOOKUP(A7,员工资料!A:C,2,FALSE)</f>
        <v>男</v>
      </c>
      <c r="C7" s="3" t="str">
        <f>VLOOKUP(A7,员工资料!A:C,3,FALSE)</f>
        <v>合同工</v>
      </c>
      <c r="D7" s="4">
        <v>6537</v>
      </c>
      <c r="E7" s="4">
        <v>342</v>
      </c>
      <c r="F7" s="4">
        <v>150</v>
      </c>
      <c r="G7" s="4">
        <v>1130</v>
      </c>
      <c r="H7" s="4">
        <v>307</v>
      </c>
      <c r="I7" s="4">
        <v>501</v>
      </c>
      <c r="J7" s="4">
        <v>29</v>
      </c>
      <c r="K7" s="4">
        <v>717.36</v>
      </c>
      <c r="L7" s="4">
        <v>538.02</v>
      </c>
      <c r="M7" s="4">
        <v>48.6</v>
      </c>
      <c r="N7" s="4">
        <v>167.04</v>
      </c>
      <c r="O7" s="4">
        <f t="shared" si="1"/>
        <v>337.3584</v>
      </c>
      <c r="P7" s="4">
        <f t="shared" si="2"/>
        <v>8938</v>
      </c>
      <c r="Q7" s="4">
        <f t="shared" si="3"/>
        <v>1808.3784</v>
      </c>
      <c r="R7" s="4">
        <f t="shared" si="0"/>
        <v>7129.6216</v>
      </c>
    </row>
    <row r="8" spans="1:18">
      <c r="A8" s="3" t="s">
        <v>24</v>
      </c>
      <c r="B8" s="3" t="str">
        <f>VLOOKUP(A8,员工资料!A:C,2,FALSE)</f>
        <v>女</v>
      </c>
      <c r="C8" s="3" t="str">
        <f>VLOOKUP(A8,员工资料!A:C,3,FALSE)</f>
        <v>合同工</v>
      </c>
      <c r="D8" s="4">
        <v>3031</v>
      </c>
      <c r="E8" s="4">
        <v>478</v>
      </c>
      <c r="F8" s="4">
        <v>210</v>
      </c>
      <c r="G8" s="4">
        <v>807</v>
      </c>
      <c r="H8" s="4">
        <v>425</v>
      </c>
      <c r="I8" s="4">
        <v>282</v>
      </c>
      <c r="J8" s="4">
        <v>130</v>
      </c>
      <c r="K8" s="4">
        <v>418.64</v>
      </c>
      <c r="L8" s="4">
        <v>313.98</v>
      </c>
      <c r="M8" s="4">
        <v>45</v>
      </c>
      <c r="N8" s="4">
        <v>146</v>
      </c>
      <c r="O8" s="4">
        <f t="shared" si="1"/>
        <v>74.3504</v>
      </c>
      <c r="P8" s="4">
        <f t="shared" si="2"/>
        <v>5103</v>
      </c>
      <c r="Q8" s="4">
        <f t="shared" si="3"/>
        <v>997.9704</v>
      </c>
      <c r="R8" s="4">
        <f t="shared" si="0"/>
        <v>4105.0296</v>
      </c>
    </row>
    <row r="9" spans="1:18">
      <c r="A9" s="3" t="s">
        <v>25</v>
      </c>
      <c r="B9" s="3" t="str">
        <f>VLOOKUP(A9,员工资料!A:C,2,FALSE)</f>
        <v>女</v>
      </c>
      <c r="C9" s="3" t="str">
        <f>VLOOKUP(A9,员工资料!A:C,3,FALSE)</f>
        <v>劳务工</v>
      </c>
      <c r="D9" s="4">
        <v>5152</v>
      </c>
      <c r="E9" s="4">
        <v>376</v>
      </c>
      <c r="F9" s="4">
        <v>100</v>
      </c>
      <c r="G9" s="4">
        <v>753</v>
      </c>
      <c r="H9" s="4">
        <v>224</v>
      </c>
      <c r="I9" s="4">
        <v>306</v>
      </c>
      <c r="J9" s="4">
        <v>0</v>
      </c>
      <c r="K9" s="4">
        <v>552.88</v>
      </c>
      <c r="L9" s="4">
        <v>414.66</v>
      </c>
      <c r="M9" s="4">
        <v>35.18</v>
      </c>
      <c r="N9" s="4">
        <v>110.64</v>
      </c>
      <c r="O9" s="4">
        <f t="shared" si="1"/>
        <v>203.8112</v>
      </c>
      <c r="P9" s="4">
        <f t="shared" si="2"/>
        <v>6911</v>
      </c>
      <c r="Q9" s="4">
        <f t="shared" si="3"/>
        <v>1317.1712</v>
      </c>
      <c r="R9" s="4">
        <f t="shared" si="0"/>
        <v>5593.8288</v>
      </c>
    </row>
    <row r="10" spans="1:18">
      <c r="A10" s="3" t="s">
        <v>26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6347</v>
      </c>
      <c r="E10" s="4">
        <v>206</v>
      </c>
      <c r="F10" s="4">
        <v>260</v>
      </c>
      <c r="G10" s="4">
        <v>668</v>
      </c>
      <c r="H10" s="4">
        <v>551</v>
      </c>
      <c r="I10" s="4">
        <v>242</v>
      </c>
      <c r="J10" s="4">
        <v>54</v>
      </c>
      <c r="K10" s="4">
        <v>661.92</v>
      </c>
      <c r="L10" s="4">
        <v>496.44</v>
      </c>
      <c r="M10" s="4">
        <v>38.54</v>
      </c>
      <c r="N10" s="4">
        <v>140.8</v>
      </c>
      <c r="O10" s="4">
        <f t="shared" si="1"/>
        <v>290.584</v>
      </c>
      <c r="P10" s="4">
        <f t="shared" si="2"/>
        <v>8220</v>
      </c>
      <c r="Q10" s="4">
        <f t="shared" si="3"/>
        <v>1628.284</v>
      </c>
      <c r="R10" s="4">
        <f t="shared" si="0"/>
        <v>6591.716</v>
      </c>
    </row>
    <row r="11" spans="1:18">
      <c r="A11" s="3" t="s">
        <v>27</v>
      </c>
      <c r="B11" s="3" t="str">
        <f>VLOOKUP(A11,员工资料!A:C,2,FALSE)</f>
        <v>男</v>
      </c>
      <c r="C11" s="3" t="str">
        <f>VLOOKUP(A11,员工资料!A:C,3,FALSE)</f>
        <v>劳务工</v>
      </c>
      <c r="D11" s="4">
        <v>5775</v>
      </c>
      <c r="E11" s="4">
        <v>309</v>
      </c>
      <c r="F11" s="4">
        <v>90</v>
      </c>
      <c r="G11" s="4">
        <v>1048</v>
      </c>
      <c r="H11" s="4">
        <v>201</v>
      </c>
      <c r="I11" s="4">
        <v>465</v>
      </c>
      <c r="J11" s="4">
        <v>76</v>
      </c>
      <c r="K11" s="4">
        <v>631.04</v>
      </c>
      <c r="L11" s="4">
        <v>473.28</v>
      </c>
      <c r="M11" s="4">
        <v>43.78</v>
      </c>
      <c r="N11" s="4">
        <v>150.4</v>
      </c>
      <c r="O11" s="4">
        <f t="shared" si="1"/>
        <v>261.08</v>
      </c>
      <c r="P11" s="4">
        <f t="shared" si="2"/>
        <v>7812</v>
      </c>
      <c r="Q11" s="4">
        <f t="shared" si="3"/>
        <v>1559.58</v>
      </c>
      <c r="R11" s="4">
        <f t="shared" si="0"/>
        <v>6252.42</v>
      </c>
    </row>
    <row r="12" spans="1:18">
      <c r="A12" s="3" t="s">
        <v>28</v>
      </c>
      <c r="B12" s="3" t="str">
        <f>VLOOKUP(A12,员工资料!A:C,2,FALSE)</f>
        <v>男</v>
      </c>
      <c r="C12" s="3" t="str">
        <f>VLOOKUP(A12,员工资料!A:C,3,FALSE)</f>
        <v>劳务工</v>
      </c>
      <c r="D12" s="4">
        <v>6554</v>
      </c>
      <c r="E12" s="4">
        <v>541</v>
      </c>
      <c r="F12" s="4">
        <v>70</v>
      </c>
      <c r="G12" s="4">
        <v>986</v>
      </c>
      <c r="H12" s="4">
        <v>453</v>
      </c>
      <c r="I12" s="4">
        <v>550</v>
      </c>
      <c r="J12" s="4">
        <v>51</v>
      </c>
      <c r="K12" s="4">
        <v>732.32</v>
      </c>
      <c r="L12" s="4">
        <v>549.24</v>
      </c>
      <c r="M12" s="4">
        <v>52.78</v>
      </c>
      <c r="N12" s="4">
        <v>168.8</v>
      </c>
      <c r="O12" s="4">
        <f t="shared" si="1"/>
        <v>347.9888</v>
      </c>
      <c r="P12" s="4">
        <f t="shared" si="2"/>
        <v>9103</v>
      </c>
      <c r="Q12" s="4">
        <f t="shared" si="3"/>
        <v>1851.1288</v>
      </c>
      <c r="R12" s="4">
        <f t="shared" si="0"/>
        <v>7251.8712</v>
      </c>
    </row>
    <row r="13" spans="1:18">
      <c r="A13" s="3" t="s">
        <v>29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3180</v>
      </c>
      <c r="E13" s="4">
        <v>286</v>
      </c>
      <c r="F13" s="4">
        <v>80</v>
      </c>
      <c r="G13" s="4">
        <v>759</v>
      </c>
      <c r="H13" s="4">
        <v>562</v>
      </c>
      <c r="I13" s="4">
        <v>412</v>
      </c>
      <c r="J13" s="4">
        <v>46</v>
      </c>
      <c r="K13" s="4">
        <v>422.32</v>
      </c>
      <c r="L13" s="4">
        <v>316.74</v>
      </c>
      <c r="M13" s="4">
        <v>41.98</v>
      </c>
      <c r="N13" s="4">
        <v>145.04</v>
      </c>
      <c r="O13" s="4">
        <f t="shared" si="1"/>
        <v>84.5536</v>
      </c>
      <c r="P13" s="4">
        <f t="shared" si="2"/>
        <v>5233</v>
      </c>
      <c r="Q13" s="4">
        <f t="shared" si="3"/>
        <v>1010.6336</v>
      </c>
      <c r="R13" s="4">
        <f t="shared" si="0"/>
        <v>4222.3664</v>
      </c>
    </row>
    <row r="14" spans="1:18">
      <c r="A14" s="3" t="s">
        <v>30</v>
      </c>
      <c r="B14" s="3" t="str">
        <f>VLOOKUP(A14,员工资料!A:C,2,FALSE)</f>
        <v>女</v>
      </c>
      <c r="C14" s="3" t="str">
        <f>VLOOKUP(A14,员工资料!A:C,3,FALSE)</f>
        <v>劳务工</v>
      </c>
      <c r="D14" s="4">
        <v>5319</v>
      </c>
      <c r="E14" s="4">
        <v>261</v>
      </c>
      <c r="F14" s="4">
        <v>60</v>
      </c>
      <c r="G14" s="4">
        <v>1096</v>
      </c>
      <c r="H14" s="4">
        <v>393</v>
      </c>
      <c r="I14" s="4">
        <v>205</v>
      </c>
      <c r="J14" s="4">
        <v>79</v>
      </c>
      <c r="K14" s="4">
        <v>586.72</v>
      </c>
      <c r="L14" s="4">
        <v>440.04</v>
      </c>
      <c r="M14" s="4">
        <v>40.3</v>
      </c>
      <c r="N14" s="4">
        <v>146.64</v>
      </c>
      <c r="O14" s="4">
        <f t="shared" si="1"/>
        <v>223.304</v>
      </c>
      <c r="P14" s="4">
        <f t="shared" si="2"/>
        <v>7255</v>
      </c>
      <c r="Q14" s="4">
        <f t="shared" si="3"/>
        <v>1437.004</v>
      </c>
      <c r="R14" s="4">
        <f t="shared" si="0"/>
        <v>5817.996</v>
      </c>
    </row>
    <row r="15" spans="1:18">
      <c r="A15" s="3" t="s">
        <v>31</v>
      </c>
      <c r="B15" s="3" t="str">
        <f>VLOOKUP(A15,员工资料!A:C,2,FALSE)</f>
        <v>男</v>
      </c>
      <c r="C15" s="3" t="str">
        <f>VLOOKUP(A15,员工资料!A:C,3,FALSE)</f>
        <v>劳务工</v>
      </c>
      <c r="D15" s="4">
        <v>4523</v>
      </c>
      <c r="E15" s="4">
        <v>385</v>
      </c>
      <c r="F15" s="4">
        <v>130</v>
      </c>
      <c r="G15" s="4">
        <v>715</v>
      </c>
      <c r="H15" s="4">
        <v>517</v>
      </c>
      <c r="I15" s="4">
        <v>551</v>
      </c>
      <c r="J15" s="4">
        <v>189</v>
      </c>
      <c r="K15" s="4">
        <v>545.68</v>
      </c>
      <c r="L15" s="4">
        <v>409.26</v>
      </c>
      <c r="M15" s="4">
        <v>47.56</v>
      </c>
      <c r="N15" s="4">
        <v>161.6</v>
      </c>
      <c r="O15" s="4">
        <f t="shared" si="1"/>
        <v>177.432</v>
      </c>
      <c r="P15" s="4">
        <f t="shared" si="2"/>
        <v>6632</v>
      </c>
      <c r="Q15" s="4">
        <f t="shared" si="3"/>
        <v>1341.532</v>
      </c>
      <c r="R15" s="4">
        <f t="shared" si="0"/>
        <v>5290.468</v>
      </c>
    </row>
    <row r="16" spans="1:18">
      <c r="A16" s="3" t="s">
        <v>32</v>
      </c>
      <c r="B16" s="3" t="str">
        <f>VLOOKUP(A16,员工资料!A:C,2,FALSE)</f>
        <v>女</v>
      </c>
      <c r="C16" s="3" t="str">
        <f>VLOOKUP(A16,员工资料!A:C,3,FALSE)</f>
        <v>劳务工</v>
      </c>
      <c r="D16" s="4">
        <v>4547</v>
      </c>
      <c r="E16" s="4">
        <v>438</v>
      </c>
      <c r="F16" s="4">
        <v>70</v>
      </c>
      <c r="G16" s="4">
        <v>840</v>
      </c>
      <c r="H16" s="4">
        <v>388</v>
      </c>
      <c r="I16" s="4">
        <v>447</v>
      </c>
      <c r="J16" s="4">
        <v>106</v>
      </c>
      <c r="K16" s="4">
        <v>538.4</v>
      </c>
      <c r="L16" s="4">
        <v>403.8</v>
      </c>
      <c r="M16" s="4">
        <v>44.38</v>
      </c>
      <c r="N16" s="4">
        <v>148.08</v>
      </c>
      <c r="O16" s="4">
        <f t="shared" si="1"/>
        <v>179.1472</v>
      </c>
      <c r="P16" s="4">
        <f t="shared" si="2"/>
        <v>6624</v>
      </c>
      <c r="Q16" s="4">
        <f t="shared" si="3"/>
        <v>1313.8072</v>
      </c>
      <c r="R16" s="4">
        <f t="shared" si="0"/>
        <v>5310.1928</v>
      </c>
    </row>
    <row r="17" spans="1:18">
      <c r="A17" s="3" t="s">
        <v>33</v>
      </c>
      <c r="B17" s="3" t="str">
        <f>VLOOKUP(A17,员工资料!A:C,2,FALSE)</f>
        <v>男</v>
      </c>
      <c r="C17" s="3" t="str">
        <f>VLOOKUP(A17,员工资料!A:C,3,FALSE)</f>
        <v>劳务工</v>
      </c>
      <c r="D17" s="4">
        <v>3570</v>
      </c>
      <c r="E17" s="4">
        <v>311</v>
      </c>
      <c r="F17" s="4">
        <v>280</v>
      </c>
      <c r="G17" s="4">
        <v>1194</v>
      </c>
      <c r="H17" s="4">
        <v>412</v>
      </c>
      <c r="I17" s="4">
        <v>284</v>
      </c>
      <c r="J17" s="4">
        <v>87</v>
      </c>
      <c r="K17" s="4">
        <v>484.08</v>
      </c>
      <c r="L17" s="4">
        <v>363.06</v>
      </c>
      <c r="M17" s="4">
        <v>49.62</v>
      </c>
      <c r="N17" s="4">
        <v>180.56</v>
      </c>
      <c r="O17" s="4">
        <f t="shared" si="1"/>
        <v>130.9344</v>
      </c>
      <c r="P17" s="4">
        <f t="shared" si="2"/>
        <v>5964</v>
      </c>
      <c r="Q17" s="4">
        <f t="shared" si="3"/>
        <v>1208.2544</v>
      </c>
      <c r="R17" s="4">
        <f t="shared" si="0"/>
        <v>4755.7456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3350</v>
      </c>
      <c r="E2" s="4">
        <v>236</v>
      </c>
      <c r="F2" s="4">
        <v>120</v>
      </c>
      <c r="G2" s="4">
        <v>984</v>
      </c>
      <c r="H2" s="4">
        <v>371</v>
      </c>
      <c r="I2" s="4">
        <v>594</v>
      </c>
      <c r="J2" s="4">
        <v>100</v>
      </c>
      <c r="K2" s="4">
        <v>452.4</v>
      </c>
      <c r="L2" s="4">
        <v>339.3</v>
      </c>
      <c r="M2" s="4">
        <v>48.1</v>
      </c>
      <c r="N2" s="4">
        <v>173.52</v>
      </c>
      <c r="O2" s="4">
        <f>IF(P2-SUM(K2:N2)&lt;=2000,0,IF(P2-SUM(K2:N2)&lt;=4000,0+(P2-SUM(K2:N2)-2000)*0.03,IF(P2-SUM(K2:N2)&lt;=8000,0+2000*0.03+(P2-SUM(K2:N2)-4000)*0.08,0+2000*0.03+4000*0.08+(P2-SUM(K2:N2)-8000)*0.1)))</f>
        <v>103.3344</v>
      </c>
      <c r="P2" s="4">
        <f>D2+E2+F2+G2+H2+I2-J2</f>
        <v>5555</v>
      </c>
      <c r="Q2" s="4">
        <f>K2+L2+M2+N2+O2</f>
        <v>1116.6544</v>
      </c>
      <c r="R2" s="4">
        <f t="shared" ref="R2:R17" si="0">P2-Q2</f>
        <v>4438.3456</v>
      </c>
    </row>
    <row r="3" spans="1:18">
      <c r="A3" s="3" t="s">
        <v>21</v>
      </c>
      <c r="B3" s="3" t="str">
        <f>VLOOKUP(A3,员工资料!A:C,2,FALSE)</f>
        <v>女</v>
      </c>
      <c r="C3" s="3" t="str">
        <f>VLOOKUP(A3,员工资料!A:C,3,FALSE)</f>
        <v>合同工</v>
      </c>
      <c r="D3" s="4">
        <v>6585</v>
      </c>
      <c r="E3" s="4">
        <v>578</v>
      </c>
      <c r="F3" s="4">
        <v>140</v>
      </c>
      <c r="G3" s="4">
        <v>855</v>
      </c>
      <c r="H3" s="4">
        <v>474</v>
      </c>
      <c r="I3" s="4">
        <v>383</v>
      </c>
      <c r="J3" s="4">
        <v>81</v>
      </c>
      <c r="K3" s="4">
        <v>721.2</v>
      </c>
      <c r="L3" s="4">
        <v>540.9</v>
      </c>
      <c r="M3" s="4">
        <v>48.6</v>
      </c>
      <c r="N3" s="4">
        <v>148.16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338.0112</v>
      </c>
      <c r="P3" s="4">
        <f t="shared" ref="P3:P17" si="2">D3+E3+F3+G3+H3+I3-J3</f>
        <v>8934</v>
      </c>
      <c r="Q3" s="4">
        <f t="shared" ref="Q3:Q17" si="3">K3+L3+M3+N3+O3</f>
        <v>1796.8712</v>
      </c>
      <c r="R3" s="4">
        <f t="shared" si="0"/>
        <v>7137.1288</v>
      </c>
    </row>
    <row r="4" spans="1:18">
      <c r="A4" s="3" t="s">
        <v>36</v>
      </c>
      <c r="B4" s="3" t="str">
        <f>VLOOKUP(A4,员工资料!A:C,2,FALSE)</f>
        <v>男</v>
      </c>
      <c r="C4" s="3" t="str">
        <f>VLOOKUP(A4,员工资料!A:C,3,FALSE)</f>
        <v>劳务工</v>
      </c>
      <c r="D4" s="4">
        <v>5516</v>
      </c>
      <c r="E4" s="4">
        <v>278</v>
      </c>
      <c r="F4" s="4">
        <v>230</v>
      </c>
      <c r="G4" s="4">
        <v>1113</v>
      </c>
      <c r="H4" s="4">
        <v>233</v>
      </c>
      <c r="I4" s="4">
        <v>405</v>
      </c>
      <c r="J4" s="4">
        <v>16</v>
      </c>
      <c r="K4" s="4">
        <v>622</v>
      </c>
      <c r="L4" s="4">
        <v>466.5</v>
      </c>
      <c r="M4" s="4">
        <v>45.18</v>
      </c>
      <c r="N4" s="4">
        <v>158.48</v>
      </c>
      <c r="O4" s="4">
        <f t="shared" si="1"/>
        <v>257.3472</v>
      </c>
      <c r="P4" s="4">
        <f t="shared" si="2"/>
        <v>7759</v>
      </c>
      <c r="Q4" s="4">
        <f t="shared" si="3"/>
        <v>1549.5072</v>
      </c>
      <c r="R4" s="4">
        <f t="shared" si="0"/>
        <v>6209.4928</v>
      </c>
    </row>
    <row r="5" spans="1:18">
      <c r="A5" s="3" t="s">
        <v>37</v>
      </c>
      <c r="B5" s="3" t="str">
        <f>VLOOKUP(A5,员工资料!A:C,2,FALSE)</f>
        <v>男</v>
      </c>
      <c r="C5" s="3" t="str">
        <f>VLOOKUP(A5,员工资料!A:C,3,FALSE)</f>
        <v>合同工</v>
      </c>
      <c r="D5" s="4">
        <v>3348</v>
      </c>
      <c r="E5" s="4">
        <v>422</v>
      </c>
      <c r="F5" s="4">
        <v>140</v>
      </c>
      <c r="G5" s="4">
        <v>764</v>
      </c>
      <c r="H5" s="4">
        <v>370</v>
      </c>
      <c r="I5" s="4">
        <v>472</v>
      </c>
      <c r="J5" s="4">
        <v>62</v>
      </c>
      <c r="K5" s="4">
        <v>441.28</v>
      </c>
      <c r="L5" s="4">
        <v>330.96</v>
      </c>
      <c r="M5" s="4">
        <v>44.6</v>
      </c>
      <c r="N5" s="4">
        <v>144.64</v>
      </c>
      <c r="O5" s="4">
        <f t="shared" si="1"/>
        <v>99.4016</v>
      </c>
      <c r="P5" s="4">
        <f t="shared" si="2"/>
        <v>5454</v>
      </c>
      <c r="Q5" s="4">
        <f t="shared" si="3"/>
        <v>1060.8816</v>
      </c>
      <c r="R5" s="4">
        <f t="shared" si="0"/>
        <v>4393.1184</v>
      </c>
    </row>
    <row r="6" spans="1:18">
      <c r="A6" s="3" t="s">
        <v>38</v>
      </c>
      <c r="B6" s="3" t="str">
        <f>VLOOKUP(A6,员工资料!A:C,2,FALSE)</f>
        <v>男</v>
      </c>
      <c r="C6" s="3" t="str">
        <f>VLOOKUP(A6,员工资料!A:C,3,FALSE)</f>
        <v>劳务工</v>
      </c>
      <c r="D6" s="4">
        <v>6426</v>
      </c>
      <c r="E6" s="4">
        <v>546</v>
      </c>
      <c r="F6" s="4">
        <v>170</v>
      </c>
      <c r="G6" s="4">
        <v>1131</v>
      </c>
      <c r="H6" s="4">
        <v>317</v>
      </c>
      <c r="I6" s="4">
        <v>226</v>
      </c>
      <c r="J6" s="4">
        <v>53</v>
      </c>
      <c r="K6" s="4">
        <v>705.28</v>
      </c>
      <c r="L6" s="4">
        <v>528.96</v>
      </c>
      <c r="M6" s="4">
        <v>48.86</v>
      </c>
      <c r="N6" s="4">
        <v>151.76</v>
      </c>
      <c r="O6" s="4">
        <f t="shared" si="1"/>
        <v>326.2512</v>
      </c>
      <c r="P6" s="4">
        <f t="shared" si="2"/>
        <v>8763</v>
      </c>
      <c r="Q6" s="4">
        <f t="shared" si="3"/>
        <v>1761.1112</v>
      </c>
      <c r="R6" s="4">
        <f t="shared" si="0"/>
        <v>7001.8888</v>
      </c>
    </row>
    <row r="7" spans="1:18">
      <c r="A7" s="3" t="s">
        <v>23</v>
      </c>
      <c r="B7" s="3" t="str">
        <f>VLOOKUP(A7,员工资料!A:C,2,FALSE)</f>
        <v>男</v>
      </c>
      <c r="C7" s="3" t="str">
        <f>VLOOKUP(A7,员工资料!A:C,3,FALSE)</f>
        <v>合同工</v>
      </c>
      <c r="D7" s="4">
        <v>2991</v>
      </c>
      <c r="E7" s="4">
        <v>252</v>
      </c>
      <c r="F7" s="4">
        <v>110</v>
      </c>
      <c r="G7" s="4">
        <v>1148</v>
      </c>
      <c r="H7" s="4">
        <v>250</v>
      </c>
      <c r="I7" s="4">
        <v>224</v>
      </c>
      <c r="J7" s="4">
        <v>29</v>
      </c>
      <c r="K7" s="4">
        <v>398</v>
      </c>
      <c r="L7" s="4">
        <v>298.5</v>
      </c>
      <c r="M7" s="4">
        <v>39.68</v>
      </c>
      <c r="N7" s="4">
        <v>138.56</v>
      </c>
      <c r="O7" s="4">
        <f t="shared" si="1"/>
        <v>65.7008</v>
      </c>
      <c r="P7" s="4">
        <f t="shared" si="2"/>
        <v>4946</v>
      </c>
      <c r="Q7" s="4">
        <f t="shared" si="3"/>
        <v>940.4408</v>
      </c>
      <c r="R7" s="4">
        <f t="shared" si="0"/>
        <v>4005.5592</v>
      </c>
    </row>
    <row r="8" spans="1:18">
      <c r="A8" s="3" t="s">
        <v>24</v>
      </c>
      <c r="B8" s="3" t="str">
        <f>VLOOKUP(A8,员工资料!A:C,2,FALSE)</f>
        <v>女</v>
      </c>
      <c r="C8" s="3" t="str">
        <f>VLOOKUP(A8,员工资料!A:C,3,FALSE)</f>
        <v>合同工</v>
      </c>
      <c r="D8" s="4">
        <v>3886</v>
      </c>
      <c r="E8" s="4">
        <v>429</v>
      </c>
      <c r="F8" s="4">
        <v>290</v>
      </c>
      <c r="G8" s="4">
        <v>907</v>
      </c>
      <c r="H8" s="4">
        <v>364</v>
      </c>
      <c r="I8" s="4">
        <v>508</v>
      </c>
      <c r="J8" s="4">
        <v>130</v>
      </c>
      <c r="K8" s="4">
        <v>510.72</v>
      </c>
      <c r="L8" s="4">
        <v>383.04</v>
      </c>
      <c r="M8" s="4">
        <v>50.92</v>
      </c>
      <c r="N8" s="4">
        <v>173.6</v>
      </c>
      <c r="O8" s="4">
        <f t="shared" si="1"/>
        <v>150.8576</v>
      </c>
      <c r="P8" s="4">
        <f t="shared" si="2"/>
        <v>6254</v>
      </c>
      <c r="Q8" s="4">
        <f t="shared" si="3"/>
        <v>1269.1376</v>
      </c>
      <c r="R8" s="4">
        <f t="shared" si="0"/>
        <v>4984.8624</v>
      </c>
    </row>
    <row r="9" spans="1:18">
      <c r="A9" s="3" t="s">
        <v>25</v>
      </c>
      <c r="B9" s="3" t="str">
        <f>VLOOKUP(A9,员工资料!A:C,2,FALSE)</f>
        <v>女</v>
      </c>
      <c r="C9" s="3" t="str">
        <f>VLOOKUP(A9,员工资料!A:C,3,FALSE)</f>
        <v>劳务工</v>
      </c>
      <c r="D9" s="4">
        <v>6551</v>
      </c>
      <c r="E9" s="4">
        <v>532</v>
      </c>
      <c r="F9" s="4">
        <v>160</v>
      </c>
      <c r="G9" s="4">
        <v>1063</v>
      </c>
      <c r="H9" s="4">
        <v>319</v>
      </c>
      <c r="I9" s="4">
        <v>554</v>
      </c>
      <c r="J9" s="4">
        <v>0</v>
      </c>
      <c r="K9" s="4">
        <v>734.32</v>
      </c>
      <c r="L9" s="4">
        <v>550.74</v>
      </c>
      <c r="M9" s="4">
        <v>52.56</v>
      </c>
      <c r="N9" s="4">
        <v>167.68</v>
      </c>
      <c r="O9" s="4">
        <f t="shared" si="1"/>
        <v>353.896</v>
      </c>
      <c r="P9" s="4">
        <f t="shared" si="2"/>
        <v>9179</v>
      </c>
      <c r="Q9" s="4">
        <f t="shared" si="3"/>
        <v>1859.196</v>
      </c>
      <c r="R9" s="4">
        <f t="shared" si="0"/>
        <v>7319.804</v>
      </c>
    </row>
    <row r="10" spans="1:18">
      <c r="A10" s="3" t="s">
        <v>26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2755</v>
      </c>
      <c r="E10" s="4">
        <v>416</v>
      </c>
      <c r="F10" s="4">
        <v>190</v>
      </c>
      <c r="G10" s="4">
        <v>1191</v>
      </c>
      <c r="H10" s="4">
        <v>313</v>
      </c>
      <c r="I10" s="4">
        <v>265</v>
      </c>
      <c r="J10" s="4">
        <v>54</v>
      </c>
      <c r="K10" s="4">
        <v>410.4</v>
      </c>
      <c r="L10" s="4">
        <v>307.8</v>
      </c>
      <c r="M10" s="4">
        <v>47.5</v>
      </c>
      <c r="N10" s="4">
        <v>159.84</v>
      </c>
      <c r="O10" s="4">
        <f t="shared" si="1"/>
        <v>72.0368</v>
      </c>
      <c r="P10" s="4">
        <f t="shared" si="2"/>
        <v>5076</v>
      </c>
      <c r="Q10" s="4">
        <f t="shared" si="3"/>
        <v>997.5768</v>
      </c>
      <c r="R10" s="4">
        <f t="shared" si="0"/>
        <v>4078.4232</v>
      </c>
    </row>
    <row r="11" spans="1:18">
      <c r="A11" s="3" t="s">
        <v>39</v>
      </c>
      <c r="B11" s="3" t="str">
        <f>VLOOKUP(A11,员工资料!A:C,2,FALSE)</f>
        <v>男</v>
      </c>
      <c r="C11" s="3" t="str">
        <f>VLOOKUP(A11,员工资料!A:C,3,FALSE)</f>
        <v>合同工</v>
      </c>
      <c r="D11" s="4">
        <v>5865</v>
      </c>
      <c r="E11" s="4">
        <v>206</v>
      </c>
      <c r="F11" s="4">
        <v>300</v>
      </c>
      <c r="G11" s="4">
        <v>1151</v>
      </c>
      <c r="H11" s="4">
        <v>469</v>
      </c>
      <c r="I11" s="4">
        <v>301</v>
      </c>
      <c r="J11" s="4">
        <v>76</v>
      </c>
      <c r="K11" s="4">
        <v>663.36</v>
      </c>
      <c r="L11" s="4">
        <v>497.52</v>
      </c>
      <c r="M11" s="4">
        <v>50.06</v>
      </c>
      <c r="N11" s="4">
        <v>183.76</v>
      </c>
      <c r="O11" s="4">
        <f t="shared" si="1"/>
        <v>285.704</v>
      </c>
      <c r="P11" s="4">
        <f t="shared" si="2"/>
        <v>8216</v>
      </c>
      <c r="Q11" s="4">
        <f t="shared" si="3"/>
        <v>1680.404</v>
      </c>
      <c r="R11" s="4">
        <f t="shared" si="0"/>
        <v>6535.596</v>
      </c>
    </row>
    <row r="12" spans="1:18">
      <c r="A12" s="3" t="s">
        <v>33</v>
      </c>
      <c r="B12" s="3" t="str">
        <f>VLOOKUP(A12,员工资料!A:C,2,FALSE)</f>
        <v>男</v>
      </c>
      <c r="C12" s="3" t="str">
        <f>VLOOKUP(A12,员工资料!A:C,3,FALSE)</f>
        <v>劳务工</v>
      </c>
      <c r="D12" s="4">
        <v>5338</v>
      </c>
      <c r="E12" s="4">
        <v>569</v>
      </c>
      <c r="F12" s="4">
        <v>160</v>
      </c>
      <c r="G12" s="4">
        <v>771</v>
      </c>
      <c r="H12" s="4">
        <v>485</v>
      </c>
      <c r="I12" s="4">
        <v>526</v>
      </c>
      <c r="J12" s="4">
        <v>51</v>
      </c>
      <c r="K12" s="4">
        <v>627.92</v>
      </c>
      <c r="L12" s="4">
        <v>470.94</v>
      </c>
      <c r="M12" s="4">
        <v>51</v>
      </c>
      <c r="N12" s="4">
        <v>159.44</v>
      </c>
      <c r="O12" s="4">
        <f t="shared" si="1"/>
        <v>259.096</v>
      </c>
      <c r="P12" s="4">
        <f t="shared" si="2"/>
        <v>7798</v>
      </c>
      <c r="Q12" s="4">
        <f t="shared" si="3"/>
        <v>1568.396</v>
      </c>
      <c r="R12" s="4">
        <f t="shared" si="0"/>
        <v>6229.604</v>
      </c>
    </row>
    <row r="13" spans="1:18">
      <c r="A13" s="3" t="s">
        <v>29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6428</v>
      </c>
      <c r="E13" s="4">
        <v>561</v>
      </c>
      <c r="F13" s="4">
        <v>250</v>
      </c>
      <c r="G13" s="4">
        <v>1264</v>
      </c>
      <c r="H13" s="4">
        <v>335</v>
      </c>
      <c r="I13" s="4">
        <v>518</v>
      </c>
      <c r="J13" s="4">
        <v>46</v>
      </c>
      <c r="K13" s="4">
        <v>748.48</v>
      </c>
      <c r="L13" s="4">
        <v>561.36</v>
      </c>
      <c r="M13" s="4">
        <v>58.56</v>
      </c>
      <c r="N13" s="4">
        <v>189.36</v>
      </c>
      <c r="O13" s="4">
        <f t="shared" si="1"/>
        <v>360.1792</v>
      </c>
      <c r="P13" s="4">
        <f t="shared" si="2"/>
        <v>9310</v>
      </c>
      <c r="Q13" s="4">
        <f t="shared" si="3"/>
        <v>1917.9392</v>
      </c>
      <c r="R13" s="4">
        <f t="shared" si="0"/>
        <v>7392.0608</v>
      </c>
    </row>
    <row r="14" spans="1:18">
      <c r="A14" s="3" t="s">
        <v>30</v>
      </c>
      <c r="B14" s="3" t="str">
        <f>VLOOKUP(A14,员工资料!A:C,2,FALSE)</f>
        <v>女</v>
      </c>
      <c r="C14" s="3" t="str">
        <f>VLOOKUP(A14,员工资料!A:C,3,FALSE)</f>
        <v>劳务工</v>
      </c>
      <c r="D14" s="4">
        <v>3963</v>
      </c>
      <c r="E14" s="4">
        <v>558</v>
      </c>
      <c r="F14" s="4">
        <v>140</v>
      </c>
      <c r="G14" s="4">
        <v>746</v>
      </c>
      <c r="H14" s="4">
        <v>446</v>
      </c>
      <c r="I14" s="4">
        <v>359</v>
      </c>
      <c r="J14" s="4">
        <v>79</v>
      </c>
      <c r="K14" s="4">
        <v>496.96</v>
      </c>
      <c r="L14" s="4">
        <v>372.72</v>
      </c>
      <c r="M14" s="4">
        <v>44.98</v>
      </c>
      <c r="N14" s="4">
        <v>141.6</v>
      </c>
      <c r="O14" s="4">
        <f t="shared" si="1"/>
        <v>146.1392</v>
      </c>
      <c r="P14" s="4">
        <f t="shared" si="2"/>
        <v>6133</v>
      </c>
      <c r="Q14" s="4">
        <f t="shared" si="3"/>
        <v>1202.3992</v>
      </c>
      <c r="R14" s="4">
        <f t="shared" si="0"/>
        <v>4930.6008</v>
      </c>
    </row>
    <row r="15" spans="1:18">
      <c r="A15" s="3" t="s">
        <v>31</v>
      </c>
      <c r="B15" s="3" t="str">
        <f>VLOOKUP(A15,员工资料!A:C,2,FALSE)</f>
        <v>男</v>
      </c>
      <c r="C15" s="3" t="str">
        <f>VLOOKUP(A15,员工资料!A:C,3,FALSE)</f>
        <v>劳务工</v>
      </c>
      <c r="D15" s="4">
        <v>6059</v>
      </c>
      <c r="E15" s="4">
        <v>209</v>
      </c>
      <c r="F15" s="4">
        <v>240</v>
      </c>
      <c r="G15" s="4">
        <v>1016</v>
      </c>
      <c r="H15" s="4">
        <v>320</v>
      </c>
      <c r="I15" s="4">
        <v>372</v>
      </c>
      <c r="J15" s="4">
        <v>189</v>
      </c>
      <c r="K15" s="4">
        <v>657.28</v>
      </c>
      <c r="L15" s="4">
        <v>492.96</v>
      </c>
      <c r="M15" s="4">
        <v>44.74</v>
      </c>
      <c r="N15" s="4">
        <v>164.4</v>
      </c>
      <c r="O15" s="4">
        <f t="shared" si="1"/>
        <v>273.4096</v>
      </c>
      <c r="P15" s="4">
        <f t="shared" si="2"/>
        <v>8027</v>
      </c>
      <c r="Q15" s="4">
        <f t="shared" si="3"/>
        <v>1632.7896</v>
      </c>
      <c r="R15" s="4">
        <f t="shared" si="0"/>
        <v>6394.2104</v>
      </c>
    </row>
    <row r="16" spans="1:18">
      <c r="A16" s="3" t="s">
        <v>32</v>
      </c>
      <c r="B16" s="3" t="str">
        <f>VLOOKUP(A16,员工资料!A:C,2,FALSE)</f>
        <v>女</v>
      </c>
      <c r="C16" s="3" t="str">
        <f>VLOOKUP(A16,员工资料!A:C,3,FALSE)</f>
        <v>劳务工</v>
      </c>
      <c r="D16" s="4">
        <v>3914</v>
      </c>
      <c r="E16" s="4">
        <v>392</v>
      </c>
      <c r="F16" s="4">
        <v>240</v>
      </c>
      <c r="G16" s="4">
        <v>1168</v>
      </c>
      <c r="H16" s="4">
        <v>252</v>
      </c>
      <c r="I16" s="4">
        <v>486</v>
      </c>
      <c r="J16" s="4">
        <v>106</v>
      </c>
      <c r="K16" s="4">
        <v>516.16</v>
      </c>
      <c r="L16" s="4">
        <v>387.12</v>
      </c>
      <c r="M16" s="4">
        <v>51.48</v>
      </c>
      <c r="N16" s="4">
        <v>180.16</v>
      </c>
      <c r="O16" s="4">
        <f t="shared" si="1"/>
        <v>156.8864</v>
      </c>
      <c r="P16" s="4">
        <f t="shared" si="2"/>
        <v>6346</v>
      </c>
      <c r="Q16" s="4">
        <f t="shared" si="3"/>
        <v>1291.8064</v>
      </c>
      <c r="R16" s="4">
        <f t="shared" si="0"/>
        <v>5054.1936</v>
      </c>
    </row>
    <row r="17" spans="1:18">
      <c r="A17" s="3" t="s">
        <v>40</v>
      </c>
      <c r="B17" s="3" t="str">
        <f>VLOOKUP(A17,员工资料!A:C,2,FALSE)</f>
        <v>女</v>
      </c>
      <c r="C17" s="3" t="str">
        <f>VLOOKUP(A17,员工资料!A:C,3,FALSE)</f>
        <v>合同工</v>
      </c>
      <c r="D17" s="4">
        <v>4631</v>
      </c>
      <c r="E17" s="4">
        <v>597</v>
      </c>
      <c r="F17" s="4">
        <v>200</v>
      </c>
      <c r="G17" s="4">
        <v>1278</v>
      </c>
      <c r="H17" s="4">
        <v>459</v>
      </c>
      <c r="I17" s="4">
        <v>517</v>
      </c>
      <c r="J17" s="4">
        <v>87</v>
      </c>
      <c r="K17" s="4">
        <v>614.56</v>
      </c>
      <c r="L17" s="4">
        <v>460.92</v>
      </c>
      <c r="M17" s="4">
        <v>61.02</v>
      </c>
      <c r="N17" s="4">
        <v>203.28</v>
      </c>
      <c r="O17" s="4">
        <f t="shared" si="1"/>
        <v>240.4176</v>
      </c>
      <c r="P17" s="4">
        <f t="shared" si="2"/>
        <v>7595</v>
      </c>
      <c r="Q17" s="4">
        <f t="shared" si="3"/>
        <v>1580.1976</v>
      </c>
      <c r="R17" s="4">
        <f t="shared" si="0"/>
        <v>6014.8024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zoomScale="85" zoomScaleNormal="85" workbookViewId="0">
      <selection activeCell="E9" sqref="E9"/>
    </sheetView>
  </sheetViews>
  <sheetFormatPr defaultColWidth="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3" width="8.88888888888889" style="2"/>
    <col min="16384" max="16384" width="9" style="2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41</v>
      </c>
    </row>
    <row r="2" spans="1:19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5596</v>
      </c>
      <c r="E2" s="4">
        <v>315</v>
      </c>
      <c r="F2" s="4">
        <v>110</v>
      </c>
      <c r="G2" s="4">
        <v>1071</v>
      </c>
      <c r="H2" s="4">
        <v>464</v>
      </c>
      <c r="I2" s="4">
        <v>221</v>
      </c>
      <c r="J2" s="4">
        <v>100</v>
      </c>
      <c r="K2" s="4">
        <v>622.16</v>
      </c>
      <c r="L2" s="4">
        <v>466.62</v>
      </c>
      <c r="M2" s="4">
        <v>45.62</v>
      </c>
      <c r="N2" s="4">
        <v>157.28</v>
      </c>
      <c r="O2" s="4">
        <f>IF(P2-SUM(K2:N2)&lt;=2000,0,IF(P2-SUM(K2:N2)&lt;=4000,0+(P2-SUM(K2:N2)-2000)*0.03,IF(P2-SUM(K2:N2)&lt;=8000,0+2000*0.03+(P2-SUM(K2:N2)-4000)*0.08,0+2000*0.03+4000*0.08+(P2-SUM(K2:N2)-8000)*0.1)))</f>
        <v>250.8256</v>
      </c>
      <c r="P2" s="4">
        <f t="shared" ref="P2:P21" si="0">D2+E2+F2+G2+H2+I2-J2</f>
        <v>7677</v>
      </c>
      <c r="Q2" s="4">
        <f>K2+L2+M2+N2+O2</f>
        <v>1542.5056</v>
      </c>
      <c r="R2" s="4">
        <f t="shared" ref="R2:R21" si="1">P2-Q2</f>
        <v>6134.4944</v>
      </c>
      <c r="S2" s="2" t="str">
        <f>"第"&amp;RANK(R2,$R$2:$R$21)&amp;"名"</f>
        <v>第8名</v>
      </c>
    </row>
    <row r="3" spans="1:19">
      <c r="A3" s="3" t="s">
        <v>19</v>
      </c>
      <c r="B3" s="3" t="str">
        <f>VLOOKUP(A3,员工资料!A:C,2,FALSE)</f>
        <v>男</v>
      </c>
      <c r="C3" s="3" t="str">
        <f>VLOOKUP(A3,员工资料!A:C,3,FALSE)</f>
        <v>合同工</v>
      </c>
      <c r="D3" s="4">
        <v>2980</v>
      </c>
      <c r="E3" s="4">
        <v>578</v>
      </c>
      <c r="F3" s="4">
        <v>100</v>
      </c>
      <c r="G3" s="4">
        <v>955</v>
      </c>
      <c r="H3" s="4">
        <v>486</v>
      </c>
      <c r="I3" s="4">
        <v>397</v>
      </c>
      <c r="J3" s="4">
        <v>81</v>
      </c>
      <c r="K3" s="4">
        <v>439.68</v>
      </c>
      <c r="L3" s="4">
        <v>329.76</v>
      </c>
      <c r="M3" s="4">
        <v>50.32</v>
      </c>
      <c r="N3" s="4">
        <v>155.04</v>
      </c>
      <c r="O3" s="4">
        <f t="shared" ref="O3:O21" si="2">IF(P3-SUM(K3:N3)&lt;=2000,0,IF(P3-SUM(K3:N3)&lt;=4000,0+(P3-SUM(K3:N3)-2000)*0.03,IF(P3-SUM(K3:N3)&lt;=8000,0+2000*0.03+(P3-SUM(K3:N3)-4000)*0.08,0+2000*0.03+4000*0.08+(P3-SUM(K3:N3)-8000)*0.1)))</f>
        <v>95.216</v>
      </c>
      <c r="P3" s="4">
        <f t="shared" si="0"/>
        <v>5415</v>
      </c>
      <c r="Q3" s="4">
        <f t="shared" ref="Q3:Q21" si="3">K3+L3+M3+N3+O3</f>
        <v>1070.016</v>
      </c>
      <c r="R3" s="4">
        <f t="shared" si="1"/>
        <v>4344.984</v>
      </c>
      <c r="S3" s="2" t="str">
        <f t="shared" ref="S3:S21" si="4">"第"&amp;RANK(R3,$R$2:$R$21)&amp;"名"</f>
        <v>第18名</v>
      </c>
    </row>
    <row r="4" spans="1:19">
      <c r="A4" s="3" t="s">
        <v>25</v>
      </c>
      <c r="B4" s="3" t="str">
        <f>VLOOKUP(A4,员工资料!A:C,2,FALSE)</f>
        <v>女</v>
      </c>
      <c r="C4" s="3" t="str">
        <f>VLOOKUP(A4,员工资料!A:C,3,FALSE)</f>
        <v>劳务工</v>
      </c>
      <c r="D4" s="4">
        <v>2812</v>
      </c>
      <c r="E4" s="4">
        <v>456</v>
      </c>
      <c r="F4" s="4">
        <v>130</v>
      </c>
      <c r="G4" s="4">
        <v>866</v>
      </c>
      <c r="H4" s="4">
        <v>504</v>
      </c>
      <c r="I4" s="4">
        <v>209</v>
      </c>
      <c r="J4" s="4">
        <v>0</v>
      </c>
      <c r="K4" s="4">
        <v>398.16</v>
      </c>
      <c r="L4" s="4">
        <v>298.62</v>
      </c>
      <c r="M4" s="4">
        <v>43.3</v>
      </c>
      <c r="N4" s="4">
        <v>136.72</v>
      </c>
      <c r="O4" s="4">
        <f t="shared" si="2"/>
        <v>68.016</v>
      </c>
      <c r="P4" s="4">
        <f t="shared" si="0"/>
        <v>4977</v>
      </c>
      <c r="Q4" s="4">
        <f t="shared" si="3"/>
        <v>944.816</v>
      </c>
      <c r="R4" s="4">
        <f t="shared" si="1"/>
        <v>4032.184</v>
      </c>
      <c r="S4" s="2" t="str">
        <f t="shared" si="4"/>
        <v>第19名</v>
      </c>
    </row>
    <row r="5" spans="1:19">
      <c r="A5" s="3" t="s">
        <v>26</v>
      </c>
      <c r="B5" s="3" t="str">
        <f>VLOOKUP(A5,员工资料!A:C,2,FALSE)</f>
        <v>男</v>
      </c>
      <c r="C5" s="3" t="str">
        <f>VLOOKUP(A5,员工资料!A:C,3,FALSE)</f>
        <v>劳务工</v>
      </c>
      <c r="D5" s="4">
        <v>4146</v>
      </c>
      <c r="E5" s="4">
        <v>348</v>
      </c>
      <c r="F5" s="4">
        <v>160</v>
      </c>
      <c r="G5" s="4">
        <v>1169</v>
      </c>
      <c r="H5" s="4">
        <v>447</v>
      </c>
      <c r="I5" s="4">
        <v>328</v>
      </c>
      <c r="J5" s="4">
        <v>54</v>
      </c>
      <c r="K5" s="4">
        <v>527.84</v>
      </c>
      <c r="L5" s="4">
        <v>395.88</v>
      </c>
      <c r="M5" s="4">
        <v>49.04</v>
      </c>
      <c r="N5" s="4">
        <v>171.44</v>
      </c>
      <c r="O5" s="4">
        <f t="shared" si="2"/>
        <v>171.984</v>
      </c>
      <c r="P5" s="4">
        <f t="shared" si="0"/>
        <v>6544</v>
      </c>
      <c r="Q5" s="4">
        <f t="shared" si="3"/>
        <v>1316.184</v>
      </c>
      <c r="R5" s="4">
        <f t="shared" si="1"/>
        <v>5227.816</v>
      </c>
      <c r="S5" s="2" t="str">
        <f t="shared" si="4"/>
        <v>第14名</v>
      </c>
    </row>
    <row r="6" spans="1:19">
      <c r="A6" s="3" t="s">
        <v>20</v>
      </c>
      <c r="B6" s="3" t="str">
        <f>VLOOKUP(A6,员工资料!A:C,2,FALSE)</f>
        <v>女</v>
      </c>
      <c r="C6" s="3" t="str">
        <f>VLOOKUP(A6,员工资料!A:C,3,FALSE)</f>
        <v>合同工</v>
      </c>
      <c r="D6" s="4">
        <v>5370</v>
      </c>
      <c r="E6" s="4">
        <v>278</v>
      </c>
      <c r="F6" s="4">
        <v>270</v>
      </c>
      <c r="G6" s="4">
        <v>1196</v>
      </c>
      <c r="H6" s="4">
        <v>240</v>
      </c>
      <c r="I6" s="4">
        <v>253</v>
      </c>
      <c r="J6" s="4">
        <v>16</v>
      </c>
      <c r="K6" s="4">
        <v>608.56</v>
      </c>
      <c r="L6" s="4">
        <v>456.42</v>
      </c>
      <c r="M6" s="4">
        <v>44.74</v>
      </c>
      <c r="N6" s="4">
        <v>156.72</v>
      </c>
      <c r="O6" s="4">
        <f t="shared" si="2"/>
        <v>245.9648</v>
      </c>
      <c r="P6" s="4">
        <f t="shared" si="0"/>
        <v>7591</v>
      </c>
      <c r="Q6" s="4">
        <f t="shared" si="3"/>
        <v>1512.4048</v>
      </c>
      <c r="R6" s="4">
        <f t="shared" si="1"/>
        <v>6078.5952</v>
      </c>
      <c r="S6" s="2" t="str">
        <f t="shared" si="4"/>
        <v>第9名</v>
      </c>
    </row>
    <row r="7" spans="1:19">
      <c r="A7" s="3" t="s">
        <v>21</v>
      </c>
      <c r="B7" s="3" t="str">
        <f>VLOOKUP(A7,员工资料!A:C,2,FALSE)</f>
        <v>女</v>
      </c>
      <c r="C7" s="3" t="str">
        <f>VLOOKUP(A7,员工资料!A:C,3,FALSE)</f>
        <v>合同工</v>
      </c>
      <c r="D7" s="4">
        <v>2530</v>
      </c>
      <c r="E7" s="4">
        <v>535</v>
      </c>
      <c r="F7" s="4">
        <v>290</v>
      </c>
      <c r="G7" s="4">
        <v>790</v>
      </c>
      <c r="H7" s="4">
        <v>237</v>
      </c>
      <c r="I7" s="4">
        <v>477</v>
      </c>
      <c r="J7" s="4">
        <v>62</v>
      </c>
      <c r="K7" s="4">
        <v>388.72</v>
      </c>
      <c r="L7" s="4">
        <v>291.54</v>
      </c>
      <c r="M7" s="4">
        <v>47.82</v>
      </c>
      <c r="N7" s="4">
        <v>148.48</v>
      </c>
      <c r="O7" s="4">
        <f t="shared" si="2"/>
        <v>57.6132</v>
      </c>
      <c r="P7" s="4">
        <f t="shared" si="0"/>
        <v>4797</v>
      </c>
      <c r="Q7" s="4">
        <f t="shared" si="3"/>
        <v>934.1732</v>
      </c>
      <c r="R7" s="4">
        <f t="shared" si="1"/>
        <v>3862.8268</v>
      </c>
      <c r="S7" s="2" t="str">
        <f t="shared" si="4"/>
        <v>第20名</v>
      </c>
    </row>
    <row r="8" spans="1:19">
      <c r="A8" s="3" t="s">
        <v>27</v>
      </c>
      <c r="B8" s="3" t="str">
        <f>VLOOKUP(A8,员工资料!A:C,2,FALSE)</f>
        <v>男</v>
      </c>
      <c r="C8" s="3" t="str">
        <f>VLOOKUP(A8,员工资料!A:C,3,FALSE)</f>
        <v>劳务工</v>
      </c>
      <c r="D8" s="4">
        <v>6140</v>
      </c>
      <c r="E8" s="4">
        <v>584</v>
      </c>
      <c r="F8" s="4">
        <v>200</v>
      </c>
      <c r="G8" s="4">
        <v>1087</v>
      </c>
      <c r="H8" s="4">
        <v>273</v>
      </c>
      <c r="I8" s="4">
        <v>593</v>
      </c>
      <c r="J8" s="4">
        <v>76</v>
      </c>
      <c r="K8" s="4">
        <v>710.16</v>
      </c>
      <c r="L8" s="4">
        <v>532.62</v>
      </c>
      <c r="M8" s="4">
        <v>56.26</v>
      </c>
      <c r="N8" s="4">
        <v>178.32</v>
      </c>
      <c r="O8" s="4">
        <f t="shared" si="2"/>
        <v>325.8912</v>
      </c>
      <c r="P8" s="4">
        <f t="shared" si="0"/>
        <v>8801</v>
      </c>
      <c r="Q8" s="4">
        <f t="shared" si="3"/>
        <v>1803.2512</v>
      </c>
      <c r="R8" s="4">
        <f t="shared" si="1"/>
        <v>6997.7488</v>
      </c>
      <c r="S8" s="2" t="str">
        <f t="shared" si="4"/>
        <v>第1名</v>
      </c>
    </row>
    <row r="9" spans="1:19">
      <c r="A9" s="3" t="s">
        <v>22</v>
      </c>
      <c r="B9" s="3" t="str">
        <f>VLOOKUP(A9,员工资料!A:C,2,FALSE)</f>
        <v>男</v>
      </c>
      <c r="C9" s="3" t="str">
        <f>VLOOKUP(A9,员工资料!A:C,3,FALSE)</f>
        <v>合同工</v>
      </c>
      <c r="D9" s="4">
        <v>4644</v>
      </c>
      <c r="E9" s="4">
        <v>237</v>
      </c>
      <c r="F9" s="4">
        <v>80</v>
      </c>
      <c r="G9" s="4">
        <v>987</v>
      </c>
      <c r="H9" s="4">
        <v>371</v>
      </c>
      <c r="I9" s="4">
        <v>307</v>
      </c>
      <c r="J9" s="4">
        <v>53</v>
      </c>
      <c r="K9" s="4">
        <v>530.08</v>
      </c>
      <c r="L9" s="4">
        <v>397.56</v>
      </c>
      <c r="M9" s="4">
        <v>40.7</v>
      </c>
      <c r="N9" s="4">
        <v>143.84</v>
      </c>
      <c r="O9" s="4">
        <f t="shared" si="2"/>
        <v>176.8656</v>
      </c>
      <c r="P9" s="4">
        <f t="shared" si="0"/>
        <v>6573</v>
      </c>
      <c r="Q9" s="4">
        <f t="shared" si="3"/>
        <v>1289.0456</v>
      </c>
      <c r="R9" s="4">
        <f t="shared" si="1"/>
        <v>5283.9544</v>
      </c>
      <c r="S9" s="2" t="str">
        <f t="shared" si="4"/>
        <v>第12名</v>
      </c>
    </row>
    <row r="10" spans="1:19">
      <c r="A10" s="3" t="s">
        <v>28</v>
      </c>
      <c r="B10" s="3" t="str">
        <f>VLOOKUP(A10,员工资料!A:C,2,FALSE)</f>
        <v>男</v>
      </c>
      <c r="C10" s="3" t="str">
        <f>VLOOKUP(A10,员工资料!A:C,3,FALSE)</f>
        <v>劳务工</v>
      </c>
      <c r="D10" s="4">
        <v>5156</v>
      </c>
      <c r="E10" s="4">
        <v>472</v>
      </c>
      <c r="F10" s="4">
        <v>100</v>
      </c>
      <c r="G10" s="4">
        <v>1172</v>
      </c>
      <c r="H10" s="4">
        <v>499</v>
      </c>
      <c r="I10" s="4">
        <v>228</v>
      </c>
      <c r="J10" s="4">
        <v>51</v>
      </c>
      <c r="K10" s="4">
        <v>610.16</v>
      </c>
      <c r="L10" s="4">
        <v>457.62</v>
      </c>
      <c r="M10" s="4">
        <v>50.2</v>
      </c>
      <c r="N10" s="4">
        <v>164</v>
      </c>
      <c r="O10" s="4">
        <f t="shared" si="2"/>
        <v>243.5216</v>
      </c>
      <c r="P10" s="4">
        <f t="shared" si="0"/>
        <v>7576</v>
      </c>
      <c r="Q10" s="4">
        <f t="shared" si="3"/>
        <v>1525.5016</v>
      </c>
      <c r="R10" s="4">
        <f t="shared" si="1"/>
        <v>6050.4984</v>
      </c>
      <c r="S10" s="2" t="str">
        <f t="shared" si="4"/>
        <v>第10名</v>
      </c>
    </row>
    <row r="11" spans="1:19">
      <c r="A11" s="3" t="s">
        <v>23</v>
      </c>
      <c r="B11" s="3" t="str">
        <f>VLOOKUP(A11,员工资料!A:C,2,FALSE)</f>
        <v>男</v>
      </c>
      <c r="C11" s="3" t="str">
        <f>VLOOKUP(A11,员工资料!A:C,3,FALSE)</f>
        <v>合同工</v>
      </c>
      <c r="D11" s="4">
        <v>6040</v>
      </c>
      <c r="E11" s="4">
        <v>536</v>
      </c>
      <c r="F11" s="4">
        <v>80</v>
      </c>
      <c r="G11" s="4">
        <v>857</v>
      </c>
      <c r="H11" s="4">
        <v>487</v>
      </c>
      <c r="I11" s="4">
        <v>589</v>
      </c>
      <c r="J11" s="4">
        <v>29</v>
      </c>
      <c r="K11" s="4">
        <v>687.12</v>
      </c>
      <c r="L11" s="4">
        <v>515.34</v>
      </c>
      <c r="M11" s="4">
        <v>50.98</v>
      </c>
      <c r="N11" s="4">
        <v>161.04</v>
      </c>
      <c r="O11" s="4">
        <f t="shared" si="2"/>
        <v>311.6416</v>
      </c>
      <c r="P11" s="4">
        <f t="shared" si="0"/>
        <v>8560</v>
      </c>
      <c r="Q11" s="4">
        <f t="shared" si="3"/>
        <v>1726.1216</v>
      </c>
      <c r="R11" s="4">
        <f t="shared" si="1"/>
        <v>6833.8784</v>
      </c>
      <c r="S11" s="2" t="str">
        <f t="shared" si="4"/>
        <v>第3名</v>
      </c>
    </row>
    <row r="12" spans="1:19">
      <c r="A12" s="3" t="s">
        <v>29</v>
      </c>
      <c r="B12" s="3" t="str">
        <f>VLOOKUP(A12,员工资料!A:C,2,FALSE)</f>
        <v>女</v>
      </c>
      <c r="C12" s="3" t="str">
        <f>VLOOKUP(A12,员工资料!A:C,3,FALSE)</f>
        <v>劳务工</v>
      </c>
      <c r="D12" s="4">
        <v>5921</v>
      </c>
      <c r="E12" s="4">
        <v>315</v>
      </c>
      <c r="F12" s="4">
        <v>100</v>
      </c>
      <c r="G12" s="4">
        <v>978</v>
      </c>
      <c r="H12" s="4">
        <v>463</v>
      </c>
      <c r="I12" s="4">
        <v>208</v>
      </c>
      <c r="J12" s="4">
        <v>46</v>
      </c>
      <c r="K12" s="4">
        <v>638.8</v>
      </c>
      <c r="L12" s="4">
        <v>479.1</v>
      </c>
      <c r="M12" s="4">
        <v>41.28</v>
      </c>
      <c r="N12" s="4">
        <v>139.92</v>
      </c>
      <c r="O12" s="4">
        <f t="shared" si="2"/>
        <v>271.192</v>
      </c>
      <c r="P12" s="4">
        <f t="shared" si="0"/>
        <v>7939</v>
      </c>
      <c r="Q12" s="4">
        <f t="shared" si="3"/>
        <v>1570.292</v>
      </c>
      <c r="R12" s="4">
        <f t="shared" si="1"/>
        <v>6368.708</v>
      </c>
      <c r="S12" s="2" t="str">
        <f t="shared" si="4"/>
        <v>第6名</v>
      </c>
    </row>
    <row r="13" spans="1:19">
      <c r="A13" s="3" t="s">
        <v>30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6201</v>
      </c>
      <c r="E13" s="4">
        <v>396</v>
      </c>
      <c r="F13" s="4">
        <v>170</v>
      </c>
      <c r="G13" s="4">
        <v>1022</v>
      </c>
      <c r="H13" s="4">
        <v>382</v>
      </c>
      <c r="I13" s="4">
        <v>491</v>
      </c>
      <c r="J13" s="4">
        <v>79</v>
      </c>
      <c r="K13" s="4">
        <v>692.96</v>
      </c>
      <c r="L13" s="4">
        <v>519.72</v>
      </c>
      <c r="M13" s="4">
        <v>49.22</v>
      </c>
      <c r="N13" s="4">
        <v>171.52</v>
      </c>
      <c r="O13" s="4">
        <f t="shared" si="2"/>
        <v>311.9664</v>
      </c>
      <c r="P13" s="4">
        <f t="shared" si="0"/>
        <v>8583</v>
      </c>
      <c r="Q13" s="4">
        <f t="shared" si="3"/>
        <v>1745.3864</v>
      </c>
      <c r="R13" s="4">
        <f t="shared" si="1"/>
        <v>6837.6136</v>
      </c>
      <c r="S13" s="2" t="str">
        <f t="shared" si="4"/>
        <v>第2名</v>
      </c>
    </row>
    <row r="14" spans="1:19">
      <c r="A14" s="3" t="s">
        <v>31</v>
      </c>
      <c r="B14" s="3" t="str">
        <f>VLOOKUP(A14,员工资料!A:C,2,FALSE)</f>
        <v>男</v>
      </c>
      <c r="C14" s="3" t="str">
        <f>VLOOKUP(A14,员工资料!A:C,3,FALSE)</f>
        <v>劳务工</v>
      </c>
      <c r="D14" s="4">
        <v>6309</v>
      </c>
      <c r="E14" s="4">
        <v>348</v>
      </c>
      <c r="F14" s="4">
        <v>290</v>
      </c>
      <c r="G14" s="4">
        <v>709</v>
      </c>
      <c r="H14" s="4">
        <v>313</v>
      </c>
      <c r="I14" s="4">
        <v>462</v>
      </c>
      <c r="J14" s="4">
        <v>189</v>
      </c>
      <c r="K14" s="4">
        <v>674.48</v>
      </c>
      <c r="L14" s="4">
        <v>505.86</v>
      </c>
      <c r="M14" s="4">
        <v>44.04</v>
      </c>
      <c r="N14" s="4">
        <v>150.48</v>
      </c>
      <c r="O14" s="4">
        <f t="shared" si="2"/>
        <v>289.3712</v>
      </c>
      <c r="P14" s="4">
        <f t="shared" si="0"/>
        <v>8242</v>
      </c>
      <c r="Q14" s="4">
        <f t="shared" si="3"/>
        <v>1664.2312</v>
      </c>
      <c r="R14" s="4">
        <f t="shared" si="1"/>
        <v>6577.7688</v>
      </c>
      <c r="S14" s="2" t="str">
        <f t="shared" si="4"/>
        <v>第4名</v>
      </c>
    </row>
    <row r="15" spans="1:19">
      <c r="A15" s="3" t="s">
        <v>32</v>
      </c>
      <c r="B15" s="3" t="str">
        <f>VLOOKUP(A15,员工资料!A:C,2,FALSE)</f>
        <v>女</v>
      </c>
      <c r="C15" s="3" t="str">
        <f>VLOOKUP(A15,员工资料!A:C,3,FALSE)</f>
        <v>劳务工</v>
      </c>
      <c r="D15" s="4">
        <v>4094</v>
      </c>
      <c r="E15" s="4">
        <v>434</v>
      </c>
      <c r="F15" s="4">
        <v>210</v>
      </c>
      <c r="G15" s="4">
        <v>864</v>
      </c>
      <c r="H15" s="4">
        <v>524</v>
      </c>
      <c r="I15" s="4">
        <v>565</v>
      </c>
      <c r="J15" s="4">
        <v>106</v>
      </c>
      <c r="K15" s="4">
        <v>535.28</v>
      </c>
      <c r="L15" s="4">
        <v>401.46</v>
      </c>
      <c r="M15" s="4">
        <v>52.66</v>
      </c>
      <c r="N15" s="4">
        <v>181.52</v>
      </c>
      <c r="O15" s="4">
        <f t="shared" si="2"/>
        <v>173.1264</v>
      </c>
      <c r="P15" s="4">
        <f t="shared" si="0"/>
        <v>6585</v>
      </c>
      <c r="Q15" s="4">
        <f t="shared" si="3"/>
        <v>1344.0464</v>
      </c>
      <c r="R15" s="4">
        <f t="shared" si="1"/>
        <v>5240.9536</v>
      </c>
      <c r="S15" s="2" t="str">
        <f t="shared" si="4"/>
        <v>第13名</v>
      </c>
    </row>
    <row r="16" spans="1:19">
      <c r="A16" s="3" t="s">
        <v>33</v>
      </c>
      <c r="B16" s="3" t="str">
        <f>VLOOKUP(A16,员工资料!A:C,2,FALSE)</f>
        <v>男</v>
      </c>
      <c r="C16" s="3" t="str">
        <f>VLOOKUP(A16,员工资料!A:C,3,FALSE)</f>
        <v>劳务工</v>
      </c>
      <c r="D16" s="4">
        <v>4664</v>
      </c>
      <c r="E16" s="4">
        <v>592</v>
      </c>
      <c r="F16" s="4">
        <v>120</v>
      </c>
      <c r="G16" s="4">
        <v>1033</v>
      </c>
      <c r="H16" s="4">
        <v>335</v>
      </c>
      <c r="I16" s="4">
        <v>390</v>
      </c>
      <c r="J16" s="4">
        <v>87</v>
      </c>
      <c r="K16" s="4">
        <v>570.72</v>
      </c>
      <c r="L16" s="4">
        <v>428.04</v>
      </c>
      <c r="M16" s="4">
        <v>49.4</v>
      </c>
      <c r="N16" s="4">
        <v>157.2</v>
      </c>
      <c r="O16" s="4">
        <f t="shared" si="2"/>
        <v>207.3312</v>
      </c>
      <c r="P16" s="4">
        <f t="shared" si="0"/>
        <v>7047</v>
      </c>
      <c r="Q16" s="4">
        <f t="shared" si="3"/>
        <v>1412.6912</v>
      </c>
      <c r="R16" s="4">
        <f t="shared" si="1"/>
        <v>5634.3088</v>
      </c>
      <c r="S16" s="2" t="str">
        <f t="shared" si="4"/>
        <v>第11名</v>
      </c>
    </row>
    <row r="17" spans="1:19">
      <c r="A17" s="3" t="s">
        <v>24</v>
      </c>
      <c r="B17" s="3" t="str">
        <f>VLOOKUP(A17,员工资料!A:C,2,FALSE)</f>
        <v>女</v>
      </c>
      <c r="C17" s="3" t="str">
        <f>VLOOKUP(A17,员工资料!A:C,3,FALSE)</f>
        <v>合同工</v>
      </c>
      <c r="D17" s="4">
        <v>5636</v>
      </c>
      <c r="E17" s="4">
        <v>462</v>
      </c>
      <c r="F17" s="4">
        <v>130</v>
      </c>
      <c r="G17" s="4">
        <v>1011</v>
      </c>
      <c r="H17" s="4">
        <v>459</v>
      </c>
      <c r="I17" s="4">
        <v>424</v>
      </c>
      <c r="J17" s="4">
        <v>130</v>
      </c>
      <c r="K17" s="4">
        <v>649.76</v>
      </c>
      <c r="L17" s="4">
        <v>487.32</v>
      </c>
      <c r="M17" s="4">
        <v>50.68</v>
      </c>
      <c r="N17" s="4">
        <v>170</v>
      </c>
      <c r="O17" s="4">
        <f t="shared" si="2"/>
        <v>270.7392</v>
      </c>
      <c r="P17" s="4">
        <f t="shared" si="0"/>
        <v>7992</v>
      </c>
      <c r="Q17" s="4">
        <f t="shared" si="3"/>
        <v>1628.4992</v>
      </c>
      <c r="R17" s="4">
        <f t="shared" si="1"/>
        <v>6363.5008</v>
      </c>
      <c r="S17" s="2" t="str">
        <f t="shared" si="4"/>
        <v>第7名</v>
      </c>
    </row>
    <row r="18" spans="1:19">
      <c r="A18" s="3" t="s">
        <v>42</v>
      </c>
      <c r="B18" s="3" t="str">
        <f>VLOOKUP(A18,员工资料!A:C,2,FALSE)</f>
        <v>男</v>
      </c>
      <c r="C18" s="3" t="str">
        <f>VLOOKUP(A18,员工资料!A:C,3,FALSE)</f>
        <v>合同工</v>
      </c>
      <c r="D18" s="4">
        <v>4114</v>
      </c>
      <c r="E18" s="4">
        <v>396</v>
      </c>
      <c r="F18" s="4">
        <v>70</v>
      </c>
      <c r="G18" s="4">
        <v>1232</v>
      </c>
      <c r="H18" s="4">
        <v>378</v>
      </c>
      <c r="I18" s="4">
        <v>219</v>
      </c>
      <c r="J18" s="4">
        <v>87</v>
      </c>
      <c r="K18" s="4">
        <v>512.72</v>
      </c>
      <c r="L18" s="4">
        <v>384.54</v>
      </c>
      <c r="M18" s="4">
        <v>45.9</v>
      </c>
      <c r="N18" s="4">
        <v>158.88</v>
      </c>
      <c r="O18" s="4">
        <f t="shared" si="2"/>
        <v>157.5968</v>
      </c>
      <c r="P18" s="4">
        <f t="shared" si="0"/>
        <v>6322</v>
      </c>
      <c r="Q18" s="4">
        <f t="shared" si="3"/>
        <v>1259.6368</v>
      </c>
      <c r="R18" s="4">
        <f t="shared" si="1"/>
        <v>5062.3632</v>
      </c>
      <c r="S18" s="2" t="str">
        <f t="shared" si="4"/>
        <v>第15名</v>
      </c>
    </row>
    <row r="19" spans="1:19">
      <c r="A19" s="3" t="s">
        <v>43</v>
      </c>
      <c r="B19" s="3" t="str">
        <f>VLOOKUP(A19,员工资料!A:C,2,FALSE)</f>
        <v>男</v>
      </c>
      <c r="C19" s="3" t="str">
        <f>VLOOKUP(A19,员工资料!A:C,3,FALSE)</f>
        <v>合同工</v>
      </c>
      <c r="D19" s="4">
        <v>4256</v>
      </c>
      <c r="E19" s="4">
        <v>417</v>
      </c>
      <c r="F19" s="4">
        <v>70</v>
      </c>
      <c r="G19" s="4">
        <v>742</v>
      </c>
      <c r="H19" s="4">
        <v>391</v>
      </c>
      <c r="I19" s="4">
        <v>334</v>
      </c>
      <c r="J19" s="4">
        <v>87</v>
      </c>
      <c r="K19" s="4">
        <v>496.8</v>
      </c>
      <c r="L19" s="4">
        <v>372.6</v>
      </c>
      <c r="M19" s="4">
        <v>39.08</v>
      </c>
      <c r="N19" s="4">
        <v>129.92</v>
      </c>
      <c r="O19" s="4">
        <f t="shared" si="2"/>
        <v>146.768</v>
      </c>
      <c r="P19" s="4">
        <f t="shared" si="0"/>
        <v>6123</v>
      </c>
      <c r="Q19" s="4">
        <f t="shared" si="3"/>
        <v>1185.168</v>
      </c>
      <c r="R19" s="4">
        <f t="shared" si="1"/>
        <v>4937.832</v>
      </c>
      <c r="S19" s="2" t="str">
        <f t="shared" si="4"/>
        <v>第16名</v>
      </c>
    </row>
    <row r="20" spans="1:19">
      <c r="A20" s="3" t="s">
        <v>44</v>
      </c>
      <c r="B20" s="3" t="str">
        <f>VLOOKUP(A20,员工资料!A:C,2,FALSE)</f>
        <v>男</v>
      </c>
      <c r="C20" s="3" t="str">
        <f>VLOOKUP(A20,员工资料!A:C,3,FALSE)</f>
        <v>劳务工</v>
      </c>
      <c r="D20" s="4">
        <v>5862</v>
      </c>
      <c r="E20" s="4">
        <v>374</v>
      </c>
      <c r="F20" s="4">
        <v>260</v>
      </c>
      <c r="G20" s="4">
        <v>959</v>
      </c>
      <c r="H20" s="4">
        <v>408</v>
      </c>
      <c r="I20" s="4">
        <v>359</v>
      </c>
      <c r="J20" s="4">
        <v>87</v>
      </c>
      <c r="K20" s="4">
        <v>657.76</v>
      </c>
      <c r="L20" s="4">
        <v>493.32</v>
      </c>
      <c r="M20" s="4">
        <v>47.2</v>
      </c>
      <c r="N20" s="4">
        <v>165.84</v>
      </c>
      <c r="O20" s="4">
        <f t="shared" si="2"/>
        <v>281.6704</v>
      </c>
      <c r="P20" s="4">
        <f t="shared" si="0"/>
        <v>8135</v>
      </c>
      <c r="Q20" s="4">
        <f t="shared" si="3"/>
        <v>1645.7904</v>
      </c>
      <c r="R20" s="4">
        <f t="shared" si="1"/>
        <v>6489.2096</v>
      </c>
      <c r="S20" s="2" t="str">
        <f t="shared" si="4"/>
        <v>第5名</v>
      </c>
    </row>
    <row r="21" spans="1:19">
      <c r="A21" s="3" t="s">
        <v>45</v>
      </c>
      <c r="B21" s="3" t="str">
        <f>VLOOKUP(A21,员工资料!A:C,2,FALSE)</f>
        <v>男</v>
      </c>
      <c r="C21" s="3" t="str">
        <f>VLOOKUP(A21,员工资料!A:C,3,FALSE)</f>
        <v>劳务工</v>
      </c>
      <c r="D21" s="4">
        <v>3665</v>
      </c>
      <c r="E21" s="4">
        <v>280</v>
      </c>
      <c r="F21" s="4">
        <v>210</v>
      </c>
      <c r="G21" s="4">
        <v>796</v>
      </c>
      <c r="H21" s="4">
        <v>563</v>
      </c>
      <c r="I21" s="4">
        <v>319</v>
      </c>
      <c r="J21" s="4">
        <v>87</v>
      </c>
      <c r="K21" s="4">
        <v>466.64</v>
      </c>
      <c r="L21" s="4">
        <v>349.98</v>
      </c>
      <c r="M21" s="4">
        <v>43.36</v>
      </c>
      <c r="N21" s="4">
        <v>158</v>
      </c>
      <c r="O21" s="4">
        <f t="shared" si="2"/>
        <v>118.2416</v>
      </c>
      <c r="P21" s="4">
        <f t="shared" si="0"/>
        <v>5746</v>
      </c>
      <c r="Q21" s="4">
        <f t="shared" si="3"/>
        <v>1136.2216</v>
      </c>
      <c r="R21" s="4">
        <f t="shared" si="1"/>
        <v>4609.7784</v>
      </c>
      <c r="S21" s="2" t="str">
        <f t="shared" si="4"/>
        <v>第17名</v>
      </c>
    </row>
    <row r="25" spans="1:3">
      <c r="A25" s="5" t="s">
        <v>1</v>
      </c>
      <c r="B25" s="5" t="s">
        <v>2</v>
      </c>
      <c r="C25" s="6" t="s">
        <v>46</v>
      </c>
    </row>
    <row r="26" spans="1:3">
      <c r="A26" s="5" t="s">
        <v>47</v>
      </c>
      <c r="B26" s="5" t="s">
        <v>48</v>
      </c>
      <c r="C26" s="6">
        <f>COUNTIFS(B2:B21,"男",C2:C21,B26)</f>
        <v>6</v>
      </c>
    </row>
    <row r="27" spans="1:3">
      <c r="A27" s="5" t="s">
        <v>47</v>
      </c>
      <c r="B27" s="5" t="s">
        <v>49</v>
      </c>
      <c r="C27" s="6">
        <f>COUNTIFS(B2:B21,"男",C2:C21,B27)</f>
        <v>7</v>
      </c>
    </row>
    <row r="28" spans="1:3">
      <c r="A28" s="5" t="s">
        <v>50</v>
      </c>
      <c r="B28" s="5" t="s">
        <v>48</v>
      </c>
      <c r="C28" s="6">
        <f>COUNTIFS(B2:B21,"女",C2:C21,B28)</f>
        <v>3</v>
      </c>
    </row>
    <row r="29" spans="1:3">
      <c r="A29" s="5" t="s">
        <v>50</v>
      </c>
      <c r="B29" s="5" t="s">
        <v>49</v>
      </c>
      <c r="C29" s="6">
        <f>COUNTIFS(B2:B21,"女",C2:C21,B29)</f>
        <v>4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3066</v>
      </c>
      <c r="E2" s="4">
        <v>537</v>
      </c>
      <c r="F2" s="4">
        <v>200</v>
      </c>
      <c r="G2" s="4">
        <v>1199</v>
      </c>
      <c r="H2" s="4">
        <v>284</v>
      </c>
      <c r="I2" s="4">
        <v>596</v>
      </c>
      <c r="J2" s="4">
        <v>81</v>
      </c>
      <c r="K2" s="4">
        <v>470.56</v>
      </c>
      <c r="L2" s="4">
        <v>352.92</v>
      </c>
      <c r="M2" s="4">
        <v>56.32</v>
      </c>
      <c r="N2" s="4">
        <v>182.32</v>
      </c>
      <c r="O2" s="4">
        <f>IF(P2-SUM(K2:N2)&lt;=2000,0,IF(P2-SUM(K2:N2)&lt;=4000,0+(P2-SUM(K2:N2)-2000)*0.03,IF(P2-SUM(K2:N2)&lt;=8000,0+2000*0.03+(P2-SUM(K2:N2)-4000)*0.08,0+2000*0.03+4000*0.08+(P2-SUM(K2:N2)-8000)*0.1)))</f>
        <v>119.1104</v>
      </c>
      <c r="P2" s="4">
        <f>D2+E2+F2+G2+H2+I2-J2</f>
        <v>5801</v>
      </c>
      <c r="Q2" s="4">
        <f>K2+L2+M2+N2+O2</f>
        <v>1181.2304</v>
      </c>
      <c r="R2" s="4">
        <f t="shared" ref="R2:R17" si="0">P2-Q2</f>
        <v>4619.7696</v>
      </c>
    </row>
    <row r="3" spans="1:18">
      <c r="A3" s="3" t="s">
        <v>20</v>
      </c>
      <c r="B3" s="3" t="str">
        <f>VLOOKUP(A3,员工资料!A:C,2,FALSE)</f>
        <v>女</v>
      </c>
      <c r="C3" s="3" t="str">
        <f>VLOOKUP(A3,员工资料!A:C,3,FALSE)</f>
        <v>合同工</v>
      </c>
      <c r="D3" s="4">
        <v>6420</v>
      </c>
      <c r="E3" s="4">
        <v>587</v>
      </c>
      <c r="F3" s="4">
        <v>240</v>
      </c>
      <c r="G3" s="4">
        <v>1053</v>
      </c>
      <c r="H3" s="4">
        <v>484</v>
      </c>
      <c r="I3" s="4">
        <v>543</v>
      </c>
      <c r="J3" s="4">
        <v>16</v>
      </c>
      <c r="K3" s="4">
        <v>746.16</v>
      </c>
      <c r="L3" s="4">
        <v>559.62</v>
      </c>
      <c r="M3" s="4">
        <v>58.14</v>
      </c>
      <c r="N3" s="4">
        <v>185.6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360.9184</v>
      </c>
      <c r="P3" s="4">
        <f t="shared" ref="P3:P17" si="2">D3+E3+F3+G3+H3+I3-J3</f>
        <v>9311</v>
      </c>
      <c r="Q3" s="4">
        <f t="shared" ref="Q3:Q17" si="3">K3+L3+M3+N3+O3</f>
        <v>1910.4384</v>
      </c>
      <c r="R3" s="4">
        <f t="shared" si="0"/>
        <v>7400.5616</v>
      </c>
    </row>
    <row r="4" spans="1:18">
      <c r="A4" s="3" t="s">
        <v>21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3725</v>
      </c>
      <c r="E4" s="4">
        <v>326</v>
      </c>
      <c r="F4" s="4">
        <v>70</v>
      </c>
      <c r="G4" s="4">
        <v>988</v>
      </c>
      <c r="H4" s="4">
        <v>333</v>
      </c>
      <c r="I4" s="4">
        <v>477</v>
      </c>
      <c r="J4" s="4">
        <v>62</v>
      </c>
      <c r="K4" s="4">
        <v>473.52</v>
      </c>
      <c r="L4" s="4">
        <v>355.14</v>
      </c>
      <c r="M4" s="4">
        <v>45.12</v>
      </c>
      <c r="N4" s="4">
        <v>154.4</v>
      </c>
      <c r="O4" s="4">
        <f t="shared" si="1"/>
        <v>126.3056</v>
      </c>
      <c r="P4" s="4">
        <f t="shared" si="2"/>
        <v>5857</v>
      </c>
      <c r="Q4" s="4">
        <f t="shared" si="3"/>
        <v>1154.4856</v>
      </c>
      <c r="R4" s="4">
        <f t="shared" si="0"/>
        <v>4702.5144</v>
      </c>
    </row>
    <row r="5" spans="1:18">
      <c r="A5" s="3" t="s">
        <v>22</v>
      </c>
      <c r="B5" s="3" t="str">
        <f>VLOOKUP(A5,员工资料!A:C,2,FALSE)</f>
        <v>男</v>
      </c>
      <c r="C5" s="3" t="str">
        <f>VLOOKUP(A5,员工资料!A:C,3,FALSE)</f>
        <v>合同工</v>
      </c>
      <c r="D5" s="4">
        <v>3331</v>
      </c>
      <c r="E5" s="4">
        <v>394</v>
      </c>
      <c r="F5" s="4">
        <v>60</v>
      </c>
      <c r="G5" s="4">
        <v>678</v>
      </c>
      <c r="H5" s="4">
        <v>449</v>
      </c>
      <c r="I5" s="4">
        <v>503</v>
      </c>
      <c r="J5" s="4">
        <v>53</v>
      </c>
      <c r="K5" s="4">
        <v>433.2</v>
      </c>
      <c r="L5" s="4">
        <v>324.9</v>
      </c>
      <c r="M5" s="4">
        <v>42.74</v>
      </c>
      <c r="N5" s="4">
        <v>139.44</v>
      </c>
      <c r="O5" s="4">
        <f t="shared" si="1"/>
        <v>93.7376</v>
      </c>
      <c r="P5" s="4">
        <f t="shared" si="2"/>
        <v>5362</v>
      </c>
      <c r="Q5" s="4">
        <f t="shared" si="3"/>
        <v>1034.0176</v>
      </c>
      <c r="R5" s="4">
        <f t="shared" si="0"/>
        <v>4327.9824</v>
      </c>
    </row>
    <row r="6" spans="1:18">
      <c r="A6" s="3" t="s">
        <v>23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3750</v>
      </c>
      <c r="E6" s="4">
        <v>392</v>
      </c>
      <c r="F6" s="4">
        <v>200</v>
      </c>
      <c r="G6" s="4">
        <v>698</v>
      </c>
      <c r="H6" s="4">
        <v>319</v>
      </c>
      <c r="I6" s="4">
        <v>525</v>
      </c>
      <c r="J6" s="4">
        <v>29</v>
      </c>
      <c r="K6" s="4">
        <v>470.72</v>
      </c>
      <c r="L6" s="4">
        <v>353.04</v>
      </c>
      <c r="M6" s="4">
        <v>42.68</v>
      </c>
      <c r="N6" s="4">
        <v>139.36</v>
      </c>
      <c r="O6" s="4">
        <f t="shared" si="1"/>
        <v>127.936</v>
      </c>
      <c r="P6" s="4">
        <f t="shared" si="2"/>
        <v>5855</v>
      </c>
      <c r="Q6" s="4">
        <f t="shared" si="3"/>
        <v>1133.736</v>
      </c>
      <c r="R6" s="4">
        <f t="shared" si="0"/>
        <v>4721.264</v>
      </c>
    </row>
    <row r="7" spans="1:18">
      <c r="A7" s="3" t="s">
        <v>31</v>
      </c>
      <c r="B7" s="3" t="str">
        <f>VLOOKUP(A7,员工资料!A:C,2,FALSE)</f>
        <v>男</v>
      </c>
      <c r="C7" s="3" t="str">
        <f>VLOOKUP(A7,员工资料!A:C,3,FALSE)</f>
        <v>劳务工</v>
      </c>
      <c r="D7" s="4">
        <v>3641</v>
      </c>
      <c r="E7" s="4">
        <v>220</v>
      </c>
      <c r="F7" s="4">
        <v>250</v>
      </c>
      <c r="G7" s="4">
        <v>1129</v>
      </c>
      <c r="H7" s="4">
        <v>284</v>
      </c>
      <c r="I7" s="4">
        <v>518</v>
      </c>
      <c r="J7" s="4">
        <v>130</v>
      </c>
      <c r="K7" s="4">
        <v>483.36</v>
      </c>
      <c r="L7" s="4">
        <v>362.52</v>
      </c>
      <c r="M7" s="4">
        <v>48.98</v>
      </c>
      <c r="N7" s="4">
        <v>182.56</v>
      </c>
      <c r="O7" s="4">
        <f t="shared" si="1"/>
        <v>126.7664</v>
      </c>
      <c r="P7" s="4">
        <f t="shared" si="2"/>
        <v>5912</v>
      </c>
      <c r="Q7" s="4">
        <f t="shared" si="3"/>
        <v>1204.1864</v>
      </c>
      <c r="R7" s="4">
        <f t="shared" si="0"/>
        <v>4707.8136</v>
      </c>
    </row>
    <row r="8" spans="1:18">
      <c r="A8" s="3" t="s">
        <v>26</v>
      </c>
      <c r="B8" s="3" t="str">
        <f>VLOOKUP(A8,员工资料!A:C,2,FALSE)</f>
        <v>男</v>
      </c>
      <c r="C8" s="3" t="str">
        <f>VLOOKUP(A8,员工资料!A:C,3,FALSE)</f>
        <v>劳务工</v>
      </c>
      <c r="D8" s="4">
        <v>3577</v>
      </c>
      <c r="E8" s="4">
        <v>272</v>
      </c>
      <c r="F8" s="4">
        <v>100</v>
      </c>
      <c r="G8" s="4">
        <v>869</v>
      </c>
      <c r="H8" s="4">
        <v>553</v>
      </c>
      <c r="I8" s="4">
        <v>445</v>
      </c>
      <c r="J8" s="4">
        <v>54</v>
      </c>
      <c r="K8" s="4">
        <v>465.28</v>
      </c>
      <c r="L8" s="4">
        <v>348.96</v>
      </c>
      <c r="M8" s="4">
        <v>44.78</v>
      </c>
      <c r="N8" s="4">
        <v>160.48</v>
      </c>
      <c r="O8" s="4">
        <f t="shared" si="1"/>
        <v>119.4</v>
      </c>
      <c r="P8" s="4">
        <f t="shared" si="2"/>
        <v>5762</v>
      </c>
      <c r="Q8" s="4">
        <f t="shared" si="3"/>
        <v>1138.9</v>
      </c>
      <c r="R8" s="4">
        <f t="shared" si="0"/>
        <v>4623.1</v>
      </c>
    </row>
    <row r="9" spans="1:18">
      <c r="A9" s="3" t="s">
        <v>27</v>
      </c>
      <c r="B9" s="3" t="str">
        <f>VLOOKUP(A9,员工资料!A:C,2,FALSE)</f>
        <v>男</v>
      </c>
      <c r="C9" s="3" t="str">
        <f>VLOOKUP(A9,员工资料!A:C,3,FALSE)</f>
        <v>劳务工</v>
      </c>
      <c r="D9" s="4">
        <v>4751</v>
      </c>
      <c r="E9" s="4">
        <v>421</v>
      </c>
      <c r="F9" s="4">
        <v>140</v>
      </c>
      <c r="G9" s="4">
        <v>975</v>
      </c>
      <c r="H9" s="4">
        <v>256</v>
      </c>
      <c r="I9" s="4">
        <v>251</v>
      </c>
      <c r="J9" s="4">
        <v>76</v>
      </c>
      <c r="K9" s="4">
        <v>543.52</v>
      </c>
      <c r="L9" s="4">
        <v>407.64</v>
      </c>
      <c r="M9" s="4">
        <v>42.38</v>
      </c>
      <c r="N9" s="4">
        <v>135.84</v>
      </c>
      <c r="O9" s="4">
        <f t="shared" si="1"/>
        <v>187.0896</v>
      </c>
      <c r="P9" s="4">
        <f t="shared" si="2"/>
        <v>6718</v>
      </c>
      <c r="Q9" s="4">
        <f t="shared" si="3"/>
        <v>1316.4696</v>
      </c>
      <c r="R9" s="4">
        <f t="shared" si="0"/>
        <v>5401.5304</v>
      </c>
    </row>
    <row r="10" spans="1:18">
      <c r="A10" s="3" t="s">
        <v>29</v>
      </c>
      <c r="B10" s="3" t="str">
        <f>VLOOKUP(A10,员工资料!A:C,2,FALSE)</f>
        <v>女</v>
      </c>
      <c r="C10" s="3" t="str">
        <f>VLOOKUP(A10,员工资料!A:C,3,FALSE)</f>
        <v>劳务工</v>
      </c>
      <c r="D10" s="4">
        <v>5362</v>
      </c>
      <c r="E10" s="4">
        <v>517</v>
      </c>
      <c r="F10" s="4">
        <v>200</v>
      </c>
      <c r="G10" s="4">
        <v>728</v>
      </c>
      <c r="H10" s="4">
        <v>248</v>
      </c>
      <c r="I10" s="4">
        <v>272</v>
      </c>
      <c r="J10" s="4">
        <v>46</v>
      </c>
      <c r="K10" s="4">
        <v>586.16</v>
      </c>
      <c r="L10" s="4">
        <v>439.62</v>
      </c>
      <c r="M10" s="4">
        <v>39.3</v>
      </c>
      <c r="N10" s="4">
        <v>115.84</v>
      </c>
      <c r="O10" s="4">
        <f t="shared" si="1"/>
        <v>228.0064</v>
      </c>
      <c r="P10" s="4">
        <f t="shared" si="2"/>
        <v>7281</v>
      </c>
      <c r="Q10" s="4">
        <f t="shared" si="3"/>
        <v>1408.9264</v>
      </c>
      <c r="R10" s="4">
        <f t="shared" si="0"/>
        <v>5872.0736</v>
      </c>
    </row>
    <row r="11" spans="1:18">
      <c r="A11" s="3" t="s">
        <v>30</v>
      </c>
      <c r="B11" s="3" t="str">
        <f>VLOOKUP(A11,员工资料!A:C,2,FALSE)</f>
        <v>女</v>
      </c>
      <c r="C11" s="3" t="str">
        <f>VLOOKUP(A11,员工资料!A:C,3,FALSE)</f>
        <v>劳务工</v>
      </c>
      <c r="D11" s="4">
        <v>5298</v>
      </c>
      <c r="E11" s="4">
        <v>510</v>
      </c>
      <c r="F11" s="4">
        <v>240</v>
      </c>
      <c r="G11" s="4">
        <v>986</v>
      </c>
      <c r="H11" s="4">
        <v>258</v>
      </c>
      <c r="I11" s="4">
        <v>311</v>
      </c>
      <c r="J11" s="4">
        <v>79</v>
      </c>
      <c r="K11" s="4">
        <v>608.24</v>
      </c>
      <c r="L11" s="4">
        <v>456.18</v>
      </c>
      <c r="M11" s="4">
        <v>46.1</v>
      </c>
      <c r="N11" s="4">
        <v>149.92</v>
      </c>
      <c r="O11" s="4">
        <f t="shared" si="1"/>
        <v>241.0848</v>
      </c>
      <c r="P11" s="4">
        <f t="shared" si="2"/>
        <v>7524</v>
      </c>
      <c r="Q11" s="4">
        <f t="shared" si="3"/>
        <v>1501.5248</v>
      </c>
      <c r="R11" s="4">
        <f t="shared" si="0"/>
        <v>6022.4752</v>
      </c>
    </row>
    <row r="12" spans="1:18">
      <c r="A12" s="3" t="s">
        <v>25</v>
      </c>
      <c r="B12" s="3" t="str">
        <f>VLOOKUP(A12,员工资料!A:C,2,FALSE)</f>
        <v>女</v>
      </c>
      <c r="C12" s="3" t="str">
        <f>VLOOKUP(A12,员工资料!A:C,3,FALSE)</f>
        <v>劳务工</v>
      </c>
      <c r="D12" s="4">
        <v>5766</v>
      </c>
      <c r="E12" s="4">
        <v>235</v>
      </c>
      <c r="F12" s="4">
        <v>90</v>
      </c>
      <c r="G12" s="4">
        <v>1106</v>
      </c>
      <c r="H12" s="4">
        <v>556</v>
      </c>
      <c r="I12" s="4">
        <v>521</v>
      </c>
      <c r="J12" s="4">
        <v>189</v>
      </c>
      <c r="K12" s="4">
        <v>661.92</v>
      </c>
      <c r="L12" s="4">
        <v>496.44</v>
      </c>
      <c r="M12" s="4">
        <v>51.76</v>
      </c>
      <c r="N12" s="4">
        <v>190.4</v>
      </c>
      <c r="O12" s="4">
        <f t="shared" si="1"/>
        <v>274.7584</v>
      </c>
      <c r="P12" s="4">
        <f t="shared" si="2"/>
        <v>8085</v>
      </c>
      <c r="Q12" s="4">
        <f t="shared" si="3"/>
        <v>1675.2784</v>
      </c>
      <c r="R12" s="4">
        <f t="shared" si="0"/>
        <v>6409.7216</v>
      </c>
    </row>
    <row r="13" spans="1:18">
      <c r="A13" s="3" t="s">
        <v>32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4114</v>
      </c>
      <c r="E13" s="4">
        <v>446</v>
      </c>
      <c r="F13" s="4">
        <v>260</v>
      </c>
      <c r="G13" s="4">
        <v>861</v>
      </c>
      <c r="H13" s="4">
        <v>393</v>
      </c>
      <c r="I13" s="4">
        <v>203</v>
      </c>
      <c r="J13" s="4">
        <v>106</v>
      </c>
      <c r="K13" s="4">
        <v>502.16</v>
      </c>
      <c r="L13" s="4">
        <v>376.62</v>
      </c>
      <c r="M13" s="4">
        <v>43.98</v>
      </c>
      <c r="N13" s="4">
        <v>145.84</v>
      </c>
      <c r="O13" s="4">
        <f t="shared" si="1"/>
        <v>148.192</v>
      </c>
      <c r="P13" s="4">
        <f t="shared" si="2"/>
        <v>6171</v>
      </c>
      <c r="Q13" s="4">
        <f t="shared" si="3"/>
        <v>1216.792</v>
      </c>
      <c r="R13" s="4">
        <f t="shared" si="0"/>
        <v>4954.208</v>
      </c>
    </row>
    <row r="14" spans="1:18">
      <c r="A14" s="3" t="s">
        <v>33</v>
      </c>
      <c r="B14" s="3" t="str">
        <f>VLOOKUP(A14,员工资料!A:C,2,FALSE)</f>
        <v>男</v>
      </c>
      <c r="C14" s="3" t="str">
        <f>VLOOKUP(A14,员工资料!A:C,3,FALSE)</f>
        <v>劳务工</v>
      </c>
      <c r="D14" s="4">
        <v>4847</v>
      </c>
      <c r="E14" s="4">
        <v>387</v>
      </c>
      <c r="F14" s="4">
        <v>250</v>
      </c>
      <c r="G14" s="4">
        <v>796</v>
      </c>
      <c r="H14" s="4">
        <v>391</v>
      </c>
      <c r="I14" s="4">
        <v>372</v>
      </c>
      <c r="J14" s="4">
        <v>87</v>
      </c>
      <c r="K14" s="4">
        <v>563.44</v>
      </c>
      <c r="L14" s="4">
        <v>422.58</v>
      </c>
      <c r="M14" s="4">
        <v>43.92</v>
      </c>
      <c r="N14" s="4">
        <v>151.68</v>
      </c>
      <c r="O14" s="4">
        <f t="shared" si="1"/>
        <v>201.9504</v>
      </c>
      <c r="P14" s="4">
        <f t="shared" si="2"/>
        <v>6956</v>
      </c>
      <c r="Q14" s="4">
        <f t="shared" si="3"/>
        <v>1383.5704</v>
      </c>
      <c r="R14" s="4">
        <f t="shared" si="0"/>
        <v>5572.4296</v>
      </c>
    </row>
    <row r="15" spans="1:18">
      <c r="A15" s="3" t="s">
        <v>24</v>
      </c>
      <c r="B15" s="3" t="str">
        <f>VLOOKUP(A15,员工资料!A:C,2,FALSE)</f>
        <v>女</v>
      </c>
      <c r="C15" s="3" t="str">
        <f>VLOOKUP(A15,员工资料!A:C,3,FALSE)</f>
        <v>合同工</v>
      </c>
      <c r="D15" s="4">
        <v>5972</v>
      </c>
      <c r="E15" s="4">
        <v>579</v>
      </c>
      <c r="F15" s="4">
        <v>280</v>
      </c>
      <c r="G15" s="4">
        <v>1001</v>
      </c>
      <c r="H15" s="4">
        <v>201</v>
      </c>
      <c r="I15" s="4">
        <v>262</v>
      </c>
      <c r="J15" s="4">
        <v>87</v>
      </c>
      <c r="K15" s="4">
        <v>663.6</v>
      </c>
      <c r="L15" s="4">
        <v>497.7</v>
      </c>
      <c r="M15" s="4">
        <v>46.46</v>
      </c>
      <c r="N15" s="4">
        <v>146.48</v>
      </c>
      <c r="O15" s="4">
        <f t="shared" si="1"/>
        <v>288.3008</v>
      </c>
      <c r="P15" s="4">
        <f t="shared" si="2"/>
        <v>8208</v>
      </c>
      <c r="Q15" s="4">
        <f t="shared" si="3"/>
        <v>1642.5408</v>
      </c>
      <c r="R15" s="4">
        <f t="shared" si="0"/>
        <v>6565.4592</v>
      </c>
    </row>
    <row r="16" spans="1:18">
      <c r="A16" s="3" t="s">
        <v>28</v>
      </c>
      <c r="B16" s="3" t="str">
        <f>VLOOKUP(A16,员工资料!A:C,2,FALSE)</f>
        <v>男</v>
      </c>
      <c r="C16" s="3" t="str">
        <f>VLOOKUP(A16,员工资料!A:C,3,FALSE)</f>
        <v>劳务工</v>
      </c>
      <c r="D16" s="4">
        <v>4775</v>
      </c>
      <c r="E16" s="4">
        <v>383</v>
      </c>
      <c r="F16" s="4">
        <v>230</v>
      </c>
      <c r="G16" s="4">
        <v>917</v>
      </c>
      <c r="H16" s="4">
        <v>283</v>
      </c>
      <c r="I16" s="4">
        <v>361</v>
      </c>
      <c r="J16" s="4">
        <v>87</v>
      </c>
      <c r="K16" s="4">
        <v>555.92</v>
      </c>
      <c r="L16" s="4">
        <v>416.94</v>
      </c>
      <c r="M16" s="4">
        <v>43.48</v>
      </c>
      <c r="N16" s="4">
        <v>150.24</v>
      </c>
      <c r="O16" s="4">
        <f t="shared" si="1"/>
        <v>195.6336</v>
      </c>
      <c r="P16" s="4">
        <f t="shared" si="2"/>
        <v>6862</v>
      </c>
      <c r="Q16" s="4">
        <f t="shared" si="3"/>
        <v>1362.2136</v>
      </c>
      <c r="R16" s="4">
        <f t="shared" si="0"/>
        <v>5499.7864</v>
      </c>
    </row>
    <row r="17" spans="1:18">
      <c r="A17" s="3" t="s">
        <v>19</v>
      </c>
      <c r="B17" s="3" t="str">
        <f>VLOOKUP(A17,员工资料!A:C,2,FALSE)</f>
        <v>男</v>
      </c>
      <c r="C17" s="3" t="str">
        <f>VLOOKUP(A17,员工资料!A:C,3,FALSE)</f>
        <v>合同工</v>
      </c>
      <c r="D17" s="4">
        <v>4042</v>
      </c>
      <c r="E17" s="4">
        <v>201</v>
      </c>
      <c r="F17" s="4">
        <v>110</v>
      </c>
      <c r="G17" s="4">
        <v>630</v>
      </c>
      <c r="H17" s="4">
        <v>246</v>
      </c>
      <c r="I17" s="4">
        <v>288</v>
      </c>
      <c r="J17" s="4">
        <v>87</v>
      </c>
      <c r="K17" s="4">
        <v>441.36</v>
      </c>
      <c r="L17" s="4">
        <v>331.02</v>
      </c>
      <c r="M17" s="4">
        <v>29.5</v>
      </c>
      <c r="N17" s="4">
        <v>108.88</v>
      </c>
      <c r="O17" s="4">
        <f t="shared" si="1"/>
        <v>101.5392</v>
      </c>
      <c r="P17" s="4">
        <f t="shared" si="2"/>
        <v>5430</v>
      </c>
      <c r="Q17" s="4">
        <f t="shared" si="3"/>
        <v>1012.2992</v>
      </c>
      <c r="R17" s="4">
        <f t="shared" si="0"/>
        <v>4417.7008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8.8888888888888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4" width="8.8888888888888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5500</v>
      </c>
      <c r="E2" s="4">
        <v>273</v>
      </c>
      <c r="F2" s="4">
        <v>110</v>
      </c>
      <c r="G2" s="4">
        <v>1116</v>
      </c>
      <c r="H2" s="4">
        <v>337</v>
      </c>
      <c r="I2" s="4">
        <v>489</v>
      </c>
      <c r="J2" s="4">
        <v>81</v>
      </c>
      <c r="K2" s="4">
        <v>626</v>
      </c>
      <c r="L2" s="4">
        <v>469.5</v>
      </c>
      <c r="M2" s="4">
        <v>46.5</v>
      </c>
      <c r="N2" s="4">
        <v>164.16</v>
      </c>
      <c r="O2" s="4">
        <f>IF(P2-SUM(K2:N2)&lt;=2000,0,IF(P2-SUM(K2:N2)&lt;=4000,0+(P2-SUM(K2:N2)-2000)*0.03,IF(P2-SUM(K2:N2)&lt;=8000,0+2000*0.03+(P2-SUM(K2:N2)-4000)*0.08,0+2000*0.03+4000*0.08+(P2-SUM(K2:N2)-8000)*0.1)))</f>
        <v>255.0272</v>
      </c>
      <c r="P2" s="4">
        <f>D2+E2+F2+G2+H2+I2-J2</f>
        <v>7744</v>
      </c>
      <c r="Q2" s="4">
        <f>K2+L2+M2+N2+O2</f>
        <v>1561.1872</v>
      </c>
      <c r="R2" s="4">
        <f t="shared" ref="R2:R17" si="0">P2-Q2</f>
        <v>6182.8128</v>
      </c>
    </row>
    <row r="3" spans="1:18">
      <c r="A3" s="3" t="s">
        <v>20</v>
      </c>
      <c r="B3" s="3" t="str">
        <f>VLOOKUP(A3,员工资料!A:C,2,FALSE)</f>
        <v>女</v>
      </c>
      <c r="C3" s="3" t="str">
        <f>VLOOKUP(A3,员工资料!A:C,3,FALSE)</f>
        <v>合同工</v>
      </c>
      <c r="D3" s="4">
        <v>4842</v>
      </c>
      <c r="E3" s="4">
        <v>502</v>
      </c>
      <c r="F3" s="4">
        <v>280</v>
      </c>
      <c r="G3" s="4">
        <v>694</v>
      </c>
      <c r="H3" s="4">
        <v>216</v>
      </c>
      <c r="I3" s="4">
        <v>339</v>
      </c>
      <c r="J3" s="4">
        <v>16</v>
      </c>
      <c r="K3" s="4">
        <v>549.84</v>
      </c>
      <c r="L3" s="4">
        <v>412.38</v>
      </c>
      <c r="M3" s="4">
        <v>40.62</v>
      </c>
      <c r="N3" s="4">
        <v>122.32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198.5472</v>
      </c>
      <c r="P3" s="4">
        <f t="shared" ref="P3:P17" si="2">D3+E3+F3+G3+H3+I3-J3</f>
        <v>6857</v>
      </c>
      <c r="Q3" s="4">
        <f t="shared" ref="Q3:Q17" si="3">K3+L3+M3+N3+O3</f>
        <v>1323.7072</v>
      </c>
      <c r="R3" s="4">
        <f t="shared" si="0"/>
        <v>5533.2928</v>
      </c>
    </row>
    <row r="4" spans="1:18">
      <c r="A4" s="3" t="s">
        <v>21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5434</v>
      </c>
      <c r="E4" s="4">
        <v>296</v>
      </c>
      <c r="F4" s="4">
        <v>150</v>
      </c>
      <c r="G4" s="4">
        <v>699</v>
      </c>
      <c r="H4" s="4">
        <v>345</v>
      </c>
      <c r="I4" s="4">
        <v>411</v>
      </c>
      <c r="J4" s="4">
        <v>62</v>
      </c>
      <c r="K4" s="4">
        <v>586.8</v>
      </c>
      <c r="L4" s="4">
        <v>440.1</v>
      </c>
      <c r="M4" s="4">
        <v>39.26</v>
      </c>
      <c r="N4" s="4">
        <v>133.36</v>
      </c>
      <c r="O4" s="4">
        <f t="shared" si="1"/>
        <v>225.8784</v>
      </c>
      <c r="P4" s="4">
        <f t="shared" si="2"/>
        <v>7273</v>
      </c>
      <c r="Q4" s="4">
        <f t="shared" si="3"/>
        <v>1425.3984</v>
      </c>
      <c r="R4" s="4">
        <f t="shared" si="0"/>
        <v>5847.6016</v>
      </c>
    </row>
    <row r="5" spans="1:18">
      <c r="A5" s="3" t="s">
        <v>22</v>
      </c>
      <c r="B5" s="3" t="str">
        <f>VLOOKUP(A5,员工资料!A:C,2,FALSE)</f>
        <v>男</v>
      </c>
      <c r="C5" s="3" t="str">
        <f>VLOOKUP(A5,员工资料!A:C,3,FALSE)</f>
        <v>合同工</v>
      </c>
      <c r="D5" s="4">
        <v>5443</v>
      </c>
      <c r="E5" s="4">
        <v>379</v>
      </c>
      <c r="F5" s="4">
        <v>50</v>
      </c>
      <c r="G5" s="4">
        <v>980</v>
      </c>
      <c r="H5" s="4">
        <v>259</v>
      </c>
      <c r="I5" s="4">
        <v>417</v>
      </c>
      <c r="J5" s="4">
        <v>53</v>
      </c>
      <c r="K5" s="4">
        <v>602.24</v>
      </c>
      <c r="L5" s="4">
        <v>451.68</v>
      </c>
      <c r="M5" s="4">
        <v>42.76</v>
      </c>
      <c r="N5" s="4">
        <v>140.72</v>
      </c>
      <c r="O5" s="4">
        <f t="shared" si="1"/>
        <v>239.008</v>
      </c>
      <c r="P5" s="4">
        <f t="shared" si="2"/>
        <v>7475</v>
      </c>
      <c r="Q5" s="4">
        <f t="shared" si="3"/>
        <v>1476.408</v>
      </c>
      <c r="R5" s="4">
        <f t="shared" si="0"/>
        <v>5998.592</v>
      </c>
    </row>
    <row r="6" spans="1:18">
      <c r="A6" s="3" t="s">
        <v>23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3530</v>
      </c>
      <c r="E6" s="4">
        <v>427</v>
      </c>
      <c r="F6" s="4">
        <v>60</v>
      </c>
      <c r="G6" s="4">
        <v>976</v>
      </c>
      <c r="H6" s="4">
        <v>496</v>
      </c>
      <c r="I6" s="4">
        <v>431</v>
      </c>
      <c r="J6" s="4">
        <v>29</v>
      </c>
      <c r="K6" s="4">
        <v>473.6</v>
      </c>
      <c r="L6" s="4">
        <v>355.2</v>
      </c>
      <c r="M6" s="4">
        <v>47.8</v>
      </c>
      <c r="N6" s="4">
        <v>157.04</v>
      </c>
      <c r="O6" s="4">
        <f t="shared" si="1"/>
        <v>128.5888</v>
      </c>
      <c r="P6" s="4">
        <f t="shared" si="2"/>
        <v>5891</v>
      </c>
      <c r="Q6" s="4">
        <f t="shared" si="3"/>
        <v>1162.2288</v>
      </c>
      <c r="R6" s="4">
        <f t="shared" si="0"/>
        <v>4728.7712</v>
      </c>
    </row>
    <row r="7" spans="1:18">
      <c r="A7" s="3" t="s">
        <v>31</v>
      </c>
      <c r="B7" s="3" t="str">
        <f>VLOOKUP(A7,员工资料!A:C,2,FALSE)</f>
        <v>男</v>
      </c>
      <c r="C7" s="3" t="str">
        <f>VLOOKUP(A7,员工资料!A:C,3,FALSE)</f>
        <v>劳务工</v>
      </c>
      <c r="D7" s="4">
        <v>2977</v>
      </c>
      <c r="E7" s="4">
        <v>281</v>
      </c>
      <c r="F7" s="4">
        <v>220</v>
      </c>
      <c r="G7" s="4">
        <v>1244</v>
      </c>
      <c r="H7" s="4">
        <v>505</v>
      </c>
      <c r="I7" s="4">
        <v>511</v>
      </c>
      <c r="J7" s="4">
        <v>130</v>
      </c>
      <c r="K7" s="4">
        <v>459.04</v>
      </c>
      <c r="L7" s="4">
        <v>344.28</v>
      </c>
      <c r="M7" s="4">
        <v>56.18</v>
      </c>
      <c r="N7" s="4">
        <v>206.48</v>
      </c>
      <c r="O7" s="4">
        <f t="shared" si="1"/>
        <v>103.3616</v>
      </c>
      <c r="P7" s="4">
        <f t="shared" si="2"/>
        <v>5608</v>
      </c>
      <c r="Q7" s="4">
        <f t="shared" si="3"/>
        <v>1169.3416</v>
      </c>
      <c r="R7" s="4">
        <f t="shared" si="0"/>
        <v>4438.6584</v>
      </c>
    </row>
    <row r="8" spans="1:18">
      <c r="A8" s="3" t="s">
        <v>26</v>
      </c>
      <c r="B8" s="3" t="str">
        <f>VLOOKUP(A8,员工资料!A:C,2,FALSE)</f>
        <v>男</v>
      </c>
      <c r="C8" s="3" t="str">
        <f>VLOOKUP(A8,员工资料!A:C,3,FALSE)</f>
        <v>劳务工</v>
      </c>
      <c r="D8" s="4">
        <v>3028</v>
      </c>
      <c r="E8" s="4">
        <v>290</v>
      </c>
      <c r="F8" s="4">
        <v>240</v>
      </c>
      <c r="G8" s="4">
        <v>905</v>
      </c>
      <c r="H8" s="4">
        <v>292</v>
      </c>
      <c r="I8" s="4">
        <v>540</v>
      </c>
      <c r="J8" s="4">
        <v>54</v>
      </c>
      <c r="K8" s="4">
        <v>423.6</v>
      </c>
      <c r="L8" s="4">
        <v>317.7</v>
      </c>
      <c r="M8" s="4">
        <v>45.34</v>
      </c>
      <c r="N8" s="4">
        <v>161.28</v>
      </c>
      <c r="O8" s="4">
        <f t="shared" si="1"/>
        <v>83.4464</v>
      </c>
      <c r="P8" s="4">
        <f t="shared" si="2"/>
        <v>5241</v>
      </c>
      <c r="Q8" s="4">
        <f t="shared" si="3"/>
        <v>1031.3664</v>
      </c>
      <c r="R8" s="4">
        <f t="shared" si="0"/>
        <v>4209.6336</v>
      </c>
    </row>
    <row r="9" spans="1:18">
      <c r="A9" s="3" t="s">
        <v>27</v>
      </c>
      <c r="B9" s="3" t="str">
        <f>VLOOKUP(A9,员工资料!A:C,2,FALSE)</f>
        <v>男</v>
      </c>
      <c r="C9" s="3" t="str">
        <f>VLOOKUP(A9,员工资料!A:C,3,FALSE)</f>
        <v>劳务工</v>
      </c>
      <c r="D9" s="4">
        <v>4587</v>
      </c>
      <c r="E9" s="4">
        <v>443</v>
      </c>
      <c r="F9" s="4">
        <v>180</v>
      </c>
      <c r="G9" s="4">
        <v>1041</v>
      </c>
      <c r="H9" s="4">
        <v>420</v>
      </c>
      <c r="I9" s="4">
        <v>529</v>
      </c>
      <c r="J9" s="4">
        <v>76</v>
      </c>
      <c r="K9" s="4">
        <v>576</v>
      </c>
      <c r="L9" s="4">
        <v>432</v>
      </c>
      <c r="M9" s="4">
        <v>53.78</v>
      </c>
      <c r="N9" s="4">
        <v>179.68</v>
      </c>
      <c r="O9" s="4">
        <f t="shared" si="1"/>
        <v>210.6032</v>
      </c>
      <c r="P9" s="4">
        <f t="shared" si="2"/>
        <v>7124</v>
      </c>
      <c r="Q9" s="4">
        <f t="shared" si="3"/>
        <v>1452.0632</v>
      </c>
      <c r="R9" s="4">
        <f t="shared" si="0"/>
        <v>5671.9368</v>
      </c>
    </row>
    <row r="10" spans="1:18">
      <c r="A10" s="3" t="s">
        <v>29</v>
      </c>
      <c r="B10" s="3" t="str">
        <f>VLOOKUP(A10,员工资料!A:C,2,FALSE)</f>
        <v>女</v>
      </c>
      <c r="C10" s="3" t="str">
        <f>VLOOKUP(A10,员工资料!A:C,3,FALSE)</f>
        <v>劳务工</v>
      </c>
      <c r="D10" s="4">
        <v>4956</v>
      </c>
      <c r="E10" s="4">
        <v>598</v>
      </c>
      <c r="F10" s="4">
        <v>100</v>
      </c>
      <c r="G10" s="4">
        <v>833</v>
      </c>
      <c r="H10" s="4">
        <v>483</v>
      </c>
      <c r="I10" s="4">
        <v>465</v>
      </c>
      <c r="J10" s="4">
        <v>46</v>
      </c>
      <c r="K10" s="4">
        <v>594.8</v>
      </c>
      <c r="L10" s="4">
        <v>446.1</v>
      </c>
      <c r="M10" s="4">
        <v>49.58</v>
      </c>
      <c r="N10" s="4">
        <v>150.48</v>
      </c>
      <c r="O10" s="4">
        <f t="shared" si="1"/>
        <v>231.8432</v>
      </c>
      <c r="P10" s="4">
        <f t="shared" si="2"/>
        <v>7389</v>
      </c>
      <c r="Q10" s="4">
        <f t="shared" si="3"/>
        <v>1472.8032</v>
      </c>
      <c r="R10" s="4">
        <f t="shared" si="0"/>
        <v>5916.1968</v>
      </c>
    </row>
    <row r="11" spans="1:18">
      <c r="A11" s="3" t="s">
        <v>30</v>
      </c>
      <c r="B11" s="3" t="str">
        <f>VLOOKUP(A11,员工资料!A:C,2,FALSE)</f>
        <v>女</v>
      </c>
      <c r="C11" s="3" t="str">
        <f>VLOOKUP(A11,员工资料!A:C,3,FALSE)</f>
        <v>劳务工</v>
      </c>
      <c r="D11" s="4">
        <v>6142</v>
      </c>
      <c r="E11" s="4">
        <v>314</v>
      </c>
      <c r="F11" s="4">
        <v>250</v>
      </c>
      <c r="G11" s="4">
        <v>716</v>
      </c>
      <c r="H11" s="4">
        <v>324</v>
      </c>
      <c r="I11" s="4">
        <v>321</v>
      </c>
      <c r="J11" s="4">
        <v>79</v>
      </c>
      <c r="K11" s="4">
        <v>645.36</v>
      </c>
      <c r="L11" s="4">
        <v>484.02</v>
      </c>
      <c r="M11" s="4">
        <v>38.5</v>
      </c>
      <c r="N11" s="4">
        <v>135.2</v>
      </c>
      <c r="O11" s="4">
        <f t="shared" si="1"/>
        <v>274.7936</v>
      </c>
      <c r="P11" s="4">
        <f t="shared" si="2"/>
        <v>7988</v>
      </c>
      <c r="Q11" s="4">
        <f t="shared" si="3"/>
        <v>1577.8736</v>
      </c>
      <c r="R11" s="4">
        <f t="shared" si="0"/>
        <v>6410.1264</v>
      </c>
    </row>
    <row r="12" spans="1:18">
      <c r="A12" s="3" t="s">
        <v>25</v>
      </c>
      <c r="B12" s="3" t="str">
        <f>VLOOKUP(A12,员工资料!A:C,2,FALSE)</f>
        <v>女</v>
      </c>
      <c r="C12" s="3" t="str">
        <f>VLOOKUP(A12,员工资料!A:C,3,FALSE)</f>
        <v>劳务工</v>
      </c>
      <c r="D12" s="4">
        <v>3101</v>
      </c>
      <c r="E12" s="4">
        <v>410</v>
      </c>
      <c r="F12" s="4">
        <v>80</v>
      </c>
      <c r="G12" s="4">
        <v>828</v>
      </c>
      <c r="H12" s="4">
        <v>537</v>
      </c>
      <c r="I12" s="4">
        <v>508</v>
      </c>
      <c r="J12" s="4">
        <v>189</v>
      </c>
      <c r="K12" s="4">
        <v>437.12</v>
      </c>
      <c r="L12" s="4">
        <v>327.84</v>
      </c>
      <c r="M12" s="4">
        <v>48.86</v>
      </c>
      <c r="N12" s="4">
        <v>164.8</v>
      </c>
      <c r="O12" s="4">
        <f t="shared" si="1"/>
        <v>83.7104</v>
      </c>
      <c r="P12" s="4">
        <f t="shared" si="2"/>
        <v>5275</v>
      </c>
      <c r="Q12" s="4">
        <f t="shared" si="3"/>
        <v>1062.3304</v>
      </c>
      <c r="R12" s="4">
        <f t="shared" si="0"/>
        <v>4212.6696</v>
      </c>
    </row>
    <row r="13" spans="1:18">
      <c r="A13" s="3" t="s">
        <v>32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2698</v>
      </c>
      <c r="E13" s="4">
        <v>416</v>
      </c>
      <c r="F13" s="4">
        <v>270</v>
      </c>
      <c r="G13" s="4">
        <v>1104</v>
      </c>
      <c r="H13" s="4">
        <v>479</v>
      </c>
      <c r="I13" s="4">
        <v>257</v>
      </c>
      <c r="J13" s="4">
        <v>106</v>
      </c>
      <c r="K13" s="4">
        <v>417.92</v>
      </c>
      <c r="L13" s="4">
        <v>313.44</v>
      </c>
      <c r="M13" s="4">
        <v>51.24</v>
      </c>
      <c r="N13" s="4">
        <v>177.28</v>
      </c>
      <c r="O13" s="4">
        <f t="shared" si="1"/>
        <v>72.6496</v>
      </c>
      <c r="P13" s="4">
        <f t="shared" si="2"/>
        <v>5118</v>
      </c>
      <c r="Q13" s="4">
        <f t="shared" si="3"/>
        <v>1032.5296</v>
      </c>
      <c r="R13" s="4">
        <f t="shared" si="0"/>
        <v>4085.4704</v>
      </c>
    </row>
    <row r="14" spans="1:18">
      <c r="A14" s="3" t="s">
        <v>33</v>
      </c>
      <c r="B14" s="3" t="str">
        <f>VLOOKUP(A14,员工资料!A:C,2,FALSE)</f>
        <v>男</v>
      </c>
      <c r="C14" s="3" t="str">
        <f>VLOOKUP(A14,员工资料!A:C,3,FALSE)</f>
        <v>劳务工</v>
      </c>
      <c r="D14" s="4">
        <v>6583</v>
      </c>
      <c r="E14" s="4">
        <v>502</v>
      </c>
      <c r="F14" s="4">
        <v>230</v>
      </c>
      <c r="G14" s="4">
        <v>750</v>
      </c>
      <c r="H14" s="4">
        <v>519</v>
      </c>
      <c r="I14" s="4">
        <v>362</v>
      </c>
      <c r="J14" s="4">
        <v>87</v>
      </c>
      <c r="K14" s="4">
        <v>715.68</v>
      </c>
      <c r="L14" s="4">
        <v>536.76</v>
      </c>
      <c r="M14" s="4">
        <v>47.26</v>
      </c>
      <c r="N14" s="4">
        <v>155.84</v>
      </c>
      <c r="O14" s="4">
        <f t="shared" si="1"/>
        <v>332.2768</v>
      </c>
      <c r="P14" s="4">
        <f t="shared" si="2"/>
        <v>8859</v>
      </c>
      <c r="Q14" s="4">
        <f t="shared" si="3"/>
        <v>1787.8168</v>
      </c>
      <c r="R14" s="4">
        <f t="shared" si="0"/>
        <v>7071.1832</v>
      </c>
    </row>
    <row r="15" spans="1:18">
      <c r="A15" s="3" t="s">
        <v>24</v>
      </c>
      <c r="B15" s="3" t="str">
        <f>VLOOKUP(A15,员工资料!A:C,2,FALSE)</f>
        <v>女</v>
      </c>
      <c r="C15" s="3" t="str">
        <f>VLOOKUP(A15,员工资料!A:C,3,FALSE)</f>
        <v>合同工</v>
      </c>
      <c r="D15" s="4">
        <v>5725</v>
      </c>
      <c r="E15" s="4">
        <v>471</v>
      </c>
      <c r="F15" s="4">
        <v>200</v>
      </c>
      <c r="G15" s="4">
        <v>798</v>
      </c>
      <c r="H15" s="4">
        <v>322</v>
      </c>
      <c r="I15" s="4">
        <v>340</v>
      </c>
      <c r="J15" s="4">
        <v>87</v>
      </c>
      <c r="K15" s="4">
        <v>628.48</v>
      </c>
      <c r="L15" s="4">
        <v>471.36</v>
      </c>
      <c r="M15" s="4">
        <v>42.62</v>
      </c>
      <c r="N15" s="4">
        <v>139.76</v>
      </c>
      <c r="O15" s="4">
        <f t="shared" si="1"/>
        <v>258.9424</v>
      </c>
      <c r="P15" s="4">
        <f t="shared" si="2"/>
        <v>7769</v>
      </c>
      <c r="Q15" s="4">
        <f t="shared" si="3"/>
        <v>1541.1624</v>
      </c>
      <c r="R15" s="4">
        <f t="shared" si="0"/>
        <v>6227.8376</v>
      </c>
    </row>
    <row r="16" spans="1:18">
      <c r="A16" s="3" t="s">
        <v>28</v>
      </c>
      <c r="B16" s="3" t="str">
        <f>VLOOKUP(A16,员工资料!A:C,2,FALSE)</f>
        <v>男</v>
      </c>
      <c r="C16" s="3" t="str">
        <f>VLOOKUP(A16,员工资料!A:C,3,FALSE)</f>
        <v>劳务工</v>
      </c>
      <c r="D16" s="4">
        <v>4366</v>
      </c>
      <c r="E16" s="4">
        <v>250</v>
      </c>
      <c r="F16" s="4">
        <v>160</v>
      </c>
      <c r="G16" s="4">
        <v>837</v>
      </c>
      <c r="H16" s="4">
        <v>200</v>
      </c>
      <c r="I16" s="4">
        <v>264</v>
      </c>
      <c r="J16" s="4">
        <v>87</v>
      </c>
      <c r="K16" s="4">
        <v>486.16</v>
      </c>
      <c r="L16" s="4">
        <v>364.62</v>
      </c>
      <c r="M16" s="4">
        <v>34.22</v>
      </c>
      <c r="N16" s="4">
        <v>123.84</v>
      </c>
      <c r="O16" s="4">
        <f t="shared" si="1"/>
        <v>138.4928</v>
      </c>
      <c r="P16" s="4">
        <f t="shared" si="2"/>
        <v>5990</v>
      </c>
      <c r="Q16" s="4">
        <f t="shared" si="3"/>
        <v>1147.3328</v>
      </c>
      <c r="R16" s="4">
        <f t="shared" si="0"/>
        <v>4842.6672</v>
      </c>
    </row>
    <row r="17" spans="1:18">
      <c r="A17" s="3" t="s">
        <v>19</v>
      </c>
      <c r="B17" s="3" t="str">
        <f>VLOOKUP(A17,员工资料!A:C,2,FALSE)</f>
        <v>男</v>
      </c>
      <c r="C17" s="3" t="str">
        <f>VLOOKUP(A17,员工资料!A:C,3,FALSE)</f>
        <v>合同工</v>
      </c>
      <c r="D17" s="4">
        <v>4737</v>
      </c>
      <c r="E17" s="4">
        <v>515</v>
      </c>
      <c r="F17" s="4">
        <v>60</v>
      </c>
      <c r="G17" s="4">
        <v>1113</v>
      </c>
      <c r="H17" s="4">
        <v>297</v>
      </c>
      <c r="I17" s="4">
        <v>585</v>
      </c>
      <c r="J17" s="4">
        <v>87</v>
      </c>
      <c r="K17" s="4">
        <v>584.56</v>
      </c>
      <c r="L17" s="4">
        <v>438.42</v>
      </c>
      <c r="M17" s="4">
        <v>51.4</v>
      </c>
      <c r="N17" s="4">
        <v>171.36</v>
      </c>
      <c r="O17" s="4">
        <f t="shared" si="1"/>
        <v>217.9408</v>
      </c>
      <c r="P17" s="4">
        <f t="shared" si="2"/>
        <v>7220</v>
      </c>
      <c r="Q17" s="4">
        <f t="shared" si="3"/>
        <v>1463.6808</v>
      </c>
      <c r="R17" s="4">
        <f t="shared" si="0"/>
        <v>5756.3192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E9" sqref="E9"/>
    </sheetView>
  </sheetViews>
  <sheetFormatPr defaultColWidth="9" defaultRowHeight="16.5"/>
  <cols>
    <col min="1" max="8" width="8.68888888888889" style="3" customWidth="1"/>
    <col min="9" max="9" width="8.77777777777778" style="3" customWidth="1"/>
    <col min="10" max="18" width="8.68888888888889" style="3" customWidth="1"/>
    <col min="19" max="16383" width="8.88888888888889" style="2"/>
    <col min="16384" max="16384" width="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3" t="str">
        <f>VLOOKUP(A2,员工资料!A:C,2,FALSE)</f>
        <v>男</v>
      </c>
      <c r="C2" s="3" t="str">
        <f>VLOOKUP(A2,员工资料!A:C,3,FALSE)</f>
        <v>合同工</v>
      </c>
      <c r="D2" s="4">
        <v>5230</v>
      </c>
      <c r="E2" s="4">
        <v>442</v>
      </c>
      <c r="F2" s="4">
        <v>280</v>
      </c>
      <c r="G2" s="4">
        <v>998</v>
      </c>
      <c r="H2" s="4">
        <v>212</v>
      </c>
      <c r="I2" s="4">
        <v>534</v>
      </c>
      <c r="J2" s="4">
        <v>81</v>
      </c>
      <c r="K2" s="4">
        <v>615.68</v>
      </c>
      <c r="L2" s="4">
        <v>461.76</v>
      </c>
      <c r="M2" s="4">
        <v>49.32</v>
      </c>
      <c r="N2" s="4">
        <v>161.92</v>
      </c>
      <c r="O2" s="4">
        <f>IF(P2-SUM(K2:N2)&lt;=2000,0,IF(P2-SUM(K2:N2)&lt;=4000,0+(P2-SUM(K2:N2)-2000)*0.03,IF(P2-SUM(K2:N2)&lt;=8000,0+2000*0.03+(P2-SUM(K2:N2)-4000)*0.08,0+2000*0.03+4000*0.08+(P2-SUM(K2:N2)-8000)*0.1)))</f>
        <v>246.1056</v>
      </c>
      <c r="P2" s="4">
        <f>D2+E2+F2+G2+H2+I2-J2</f>
        <v>7615</v>
      </c>
      <c r="Q2" s="4">
        <f>K2+L2+M2+N2+O2</f>
        <v>1534.7856</v>
      </c>
      <c r="R2" s="4">
        <f t="shared" ref="R2:R17" si="0">P2-Q2</f>
        <v>6080.2144</v>
      </c>
    </row>
    <row r="3" spans="1:18">
      <c r="A3" s="3" t="s">
        <v>20</v>
      </c>
      <c r="B3" s="3" t="str">
        <f>VLOOKUP(A3,员工资料!A:C,2,FALSE)</f>
        <v>女</v>
      </c>
      <c r="C3" s="3" t="str">
        <f>VLOOKUP(A3,员工资料!A:C,3,FALSE)</f>
        <v>合同工</v>
      </c>
      <c r="D3" s="4">
        <v>6258</v>
      </c>
      <c r="E3" s="4">
        <v>487</v>
      </c>
      <c r="F3" s="4">
        <v>190</v>
      </c>
      <c r="G3" s="4">
        <v>639</v>
      </c>
      <c r="H3" s="4">
        <v>569</v>
      </c>
      <c r="I3" s="4">
        <v>272</v>
      </c>
      <c r="J3" s="4">
        <v>16</v>
      </c>
      <c r="K3" s="4">
        <v>673.2</v>
      </c>
      <c r="L3" s="4">
        <v>504.9</v>
      </c>
      <c r="M3" s="4">
        <v>43.14</v>
      </c>
      <c r="N3" s="4">
        <v>133.6</v>
      </c>
      <c r="O3" s="4">
        <f t="shared" ref="O3:O17" si="1">IF(P3-SUM(K3:N3)&lt;=2000,0,IF(P3-SUM(K3:N3)&lt;=4000,0+(P3-SUM(K3:N3)-2000)*0.03,IF(P3-SUM(K3:N3)&lt;=8000,0+2000*0.03+(P3-SUM(K3:N3)-4000)*0.08,0+2000*0.03+4000*0.08+(P3-SUM(K3:N3)-8000)*0.1)))</f>
        <v>303.5328</v>
      </c>
      <c r="P3" s="4">
        <f t="shared" ref="P3:P17" si="2">D3+E3+F3+G3+H3+I3-J3</f>
        <v>8399</v>
      </c>
      <c r="Q3" s="4">
        <f t="shared" ref="Q3:Q17" si="3">K3+L3+M3+N3+O3</f>
        <v>1658.3728</v>
      </c>
      <c r="R3" s="4">
        <f t="shared" si="0"/>
        <v>6740.6272</v>
      </c>
    </row>
    <row r="4" spans="1:18">
      <c r="A4" s="3" t="s">
        <v>21</v>
      </c>
      <c r="B4" s="3" t="str">
        <f>VLOOKUP(A4,员工资料!A:C,2,FALSE)</f>
        <v>女</v>
      </c>
      <c r="C4" s="3" t="str">
        <f>VLOOKUP(A4,员工资料!A:C,3,FALSE)</f>
        <v>合同工</v>
      </c>
      <c r="D4" s="4">
        <v>5740</v>
      </c>
      <c r="E4" s="4">
        <v>324</v>
      </c>
      <c r="F4" s="4">
        <v>90</v>
      </c>
      <c r="G4" s="4">
        <v>1002</v>
      </c>
      <c r="H4" s="4">
        <v>552</v>
      </c>
      <c r="I4" s="4">
        <v>248</v>
      </c>
      <c r="J4" s="4">
        <v>62</v>
      </c>
      <c r="K4" s="4">
        <v>636.48</v>
      </c>
      <c r="L4" s="4">
        <v>477.36</v>
      </c>
      <c r="M4" s="4">
        <v>45.56</v>
      </c>
      <c r="N4" s="4">
        <v>156.32</v>
      </c>
      <c r="O4" s="4">
        <f t="shared" si="1"/>
        <v>266.2624</v>
      </c>
      <c r="P4" s="4">
        <f t="shared" si="2"/>
        <v>7894</v>
      </c>
      <c r="Q4" s="4">
        <f t="shared" si="3"/>
        <v>1581.9824</v>
      </c>
      <c r="R4" s="4">
        <f t="shared" si="0"/>
        <v>6312.0176</v>
      </c>
    </row>
    <row r="5" spans="1:18">
      <c r="A5" s="3" t="s">
        <v>22</v>
      </c>
      <c r="B5" s="3" t="str">
        <f>VLOOKUP(A5,员工资料!A:C,2,FALSE)</f>
        <v>男</v>
      </c>
      <c r="C5" s="3" t="str">
        <f>VLOOKUP(A5,员工资料!A:C,3,FALSE)</f>
        <v>合同工</v>
      </c>
      <c r="D5" s="4">
        <v>5093</v>
      </c>
      <c r="E5" s="4">
        <v>268</v>
      </c>
      <c r="F5" s="4">
        <v>150</v>
      </c>
      <c r="G5" s="4">
        <v>962</v>
      </c>
      <c r="H5" s="4">
        <v>563</v>
      </c>
      <c r="I5" s="4">
        <v>424</v>
      </c>
      <c r="J5" s="4">
        <v>53</v>
      </c>
      <c r="K5" s="4">
        <v>596.8</v>
      </c>
      <c r="L5" s="4">
        <v>447.6</v>
      </c>
      <c r="M5" s="4">
        <v>48.4</v>
      </c>
      <c r="N5" s="4">
        <v>172.16</v>
      </c>
      <c r="O5" s="4">
        <f t="shared" si="1"/>
        <v>231.3632</v>
      </c>
      <c r="P5" s="4">
        <f t="shared" si="2"/>
        <v>7407</v>
      </c>
      <c r="Q5" s="4">
        <f t="shared" si="3"/>
        <v>1496.3232</v>
      </c>
      <c r="R5" s="4">
        <f t="shared" si="0"/>
        <v>5910.6768</v>
      </c>
    </row>
    <row r="6" spans="1:18">
      <c r="A6" s="3" t="s">
        <v>23</v>
      </c>
      <c r="B6" s="3" t="str">
        <f>VLOOKUP(A6,员工资料!A:C,2,FALSE)</f>
        <v>男</v>
      </c>
      <c r="C6" s="3" t="str">
        <f>VLOOKUP(A6,员工资料!A:C,3,FALSE)</f>
        <v>合同工</v>
      </c>
      <c r="D6" s="4">
        <v>4355</v>
      </c>
      <c r="E6" s="4">
        <v>304</v>
      </c>
      <c r="F6" s="4">
        <v>200</v>
      </c>
      <c r="G6" s="4">
        <v>1049</v>
      </c>
      <c r="H6" s="4">
        <v>222</v>
      </c>
      <c r="I6" s="4">
        <v>411</v>
      </c>
      <c r="J6" s="4">
        <v>29</v>
      </c>
      <c r="K6" s="4">
        <v>523.28</v>
      </c>
      <c r="L6" s="4">
        <v>392.46</v>
      </c>
      <c r="M6" s="4">
        <v>43.72</v>
      </c>
      <c r="N6" s="4">
        <v>150.56</v>
      </c>
      <c r="O6" s="4">
        <f t="shared" si="1"/>
        <v>172.1584</v>
      </c>
      <c r="P6" s="4">
        <f t="shared" si="2"/>
        <v>6512</v>
      </c>
      <c r="Q6" s="4">
        <f t="shared" si="3"/>
        <v>1282.1784</v>
      </c>
      <c r="R6" s="4">
        <f t="shared" si="0"/>
        <v>5229.8216</v>
      </c>
    </row>
    <row r="7" spans="1:18">
      <c r="A7" s="3" t="s">
        <v>31</v>
      </c>
      <c r="B7" s="3" t="str">
        <f>VLOOKUP(A7,员工资料!A:C,2,FALSE)</f>
        <v>男</v>
      </c>
      <c r="C7" s="3" t="str">
        <f>VLOOKUP(A7,员工资料!A:C,3,FALSE)</f>
        <v>劳务工</v>
      </c>
      <c r="D7" s="4">
        <v>2839</v>
      </c>
      <c r="E7" s="4">
        <v>512</v>
      </c>
      <c r="F7" s="4">
        <v>220</v>
      </c>
      <c r="G7" s="4">
        <v>1148</v>
      </c>
      <c r="H7" s="4">
        <v>268</v>
      </c>
      <c r="I7" s="4">
        <v>548</v>
      </c>
      <c r="J7" s="4">
        <v>130</v>
      </c>
      <c r="K7" s="4">
        <v>442.8</v>
      </c>
      <c r="L7" s="4">
        <v>332.1</v>
      </c>
      <c r="M7" s="4">
        <v>54.88</v>
      </c>
      <c r="N7" s="4">
        <v>182.8</v>
      </c>
      <c r="O7" s="4">
        <f t="shared" si="1"/>
        <v>91.3936</v>
      </c>
      <c r="P7" s="4">
        <f t="shared" si="2"/>
        <v>5405</v>
      </c>
      <c r="Q7" s="4">
        <f t="shared" si="3"/>
        <v>1103.9736</v>
      </c>
      <c r="R7" s="4">
        <f t="shared" si="0"/>
        <v>4301.0264</v>
      </c>
    </row>
    <row r="8" spans="1:18">
      <c r="A8" s="3" t="s">
        <v>26</v>
      </c>
      <c r="B8" s="3" t="str">
        <f>VLOOKUP(A8,员工资料!A:C,2,FALSE)</f>
        <v>男</v>
      </c>
      <c r="C8" s="3" t="str">
        <f>VLOOKUP(A8,员工资料!A:C,3,FALSE)</f>
        <v>劳务工</v>
      </c>
      <c r="D8" s="4">
        <v>3201</v>
      </c>
      <c r="E8" s="4">
        <v>474</v>
      </c>
      <c r="F8" s="4">
        <v>210</v>
      </c>
      <c r="G8" s="4">
        <v>1120</v>
      </c>
      <c r="H8" s="4">
        <v>510</v>
      </c>
      <c r="I8" s="4">
        <v>478</v>
      </c>
      <c r="J8" s="4">
        <v>54</v>
      </c>
      <c r="K8" s="4">
        <v>479.44</v>
      </c>
      <c r="L8" s="4">
        <v>359.58</v>
      </c>
      <c r="M8" s="4">
        <v>55.84</v>
      </c>
      <c r="N8" s="4">
        <v>188.56</v>
      </c>
      <c r="O8" s="4">
        <f t="shared" si="1"/>
        <v>128.4464</v>
      </c>
      <c r="P8" s="4">
        <f t="shared" si="2"/>
        <v>5939</v>
      </c>
      <c r="Q8" s="4">
        <f t="shared" si="3"/>
        <v>1211.8664</v>
      </c>
      <c r="R8" s="4">
        <f t="shared" si="0"/>
        <v>4727.1336</v>
      </c>
    </row>
    <row r="9" spans="1:18">
      <c r="A9" s="3" t="s">
        <v>27</v>
      </c>
      <c r="B9" s="3" t="str">
        <f>VLOOKUP(A9,员工资料!A:C,2,FALSE)</f>
        <v>男</v>
      </c>
      <c r="C9" s="3" t="str">
        <f>VLOOKUP(A9,员工资料!A:C,3,FALSE)</f>
        <v>劳务工</v>
      </c>
      <c r="D9" s="4">
        <v>5760</v>
      </c>
      <c r="E9" s="4">
        <v>301</v>
      </c>
      <c r="F9" s="4">
        <v>220</v>
      </c>
      <c r="G9" s="4">
        <v>1043</v>
      </c>
      <c r="H9" s="4">
        <v>587</v>
      </c>
      <c r="I9" s="4">
        <v>228</v>
      </c>
      <c r="J9" s="4">
        <v>76</v>
      </c>
      <c r="K9" s="4">
        <v>651.12</v>
      </c>
      <c r="L9" s="4">
        <v>488.34</v>
      </c>
      <c r="M9" s="4">
        <v>49.1</v>
      </c>
      <c r="N9" s="4">
        <v>172.32</v>
      </c>
      <c r="O9" s="4">
        <f t="shared" si="1"/>
        <v>276.1696</v>
      </c>
      <c r="P9" s="4">
        <f t="shared" si="2"/>
        <v>8063</v>
      </c>
      <c r="Q9" s="4">
        <f t="shared" si="3"/>
        <v>1637.0496</v>
      </c>
      <c r="R9" s="4">
        <f t="shared" si="0"/>
        <v>6425.9504</v>
      </c>
    </row>
    <row r="10" spans="1:18">
      <c r="A10" s="3" t="s">
        <v>29</v>
      </c>
      <c r="B10" s="3" t="str">
        <f>VLOOKUP(A10,员工资料!A:C,2,FALSE)</f>
        <v>女</v>
      </c>
      <c r="C10" s="3" t="str">
        <f>VLOOKUP(A10,员工资料!A:C,3,FALSE)</f>
        <v>劳务工</v>
      </c>
      <c r="D10" s="4">
        <v>4729</v>
      </c>
      <c r="E10" s="4">
        <v>583</v>
      </c>
      <c r="F10" s="4">
        <v>280</v>
      </c>
      <c r="G10" s="4">
        <v>692</v>
      </c>
      <c r="H10" s="4">
        <v>497</v>
      </c>
      <c r="I10" s="4">
        <v>241</v>
      </c>
      <c r="J10" s="4">
        <v>46</v>
      </c>
      <c r="K10" s="4">
        <v>561.76</v>
      </c>
      <c r="L10" s="4">
        <v>421.32</v>
      </c>
      <c r="M10" s="4">
        <v>45.86</v>
      </c>
      <c r="N10" s="4">
        <v>136.8</v>
      </c>
      <c r="O10" s="4">
        <f t="shared" si="1"/>
        <v>204.8208</v>
      </c>
      <c r="P10" s="4">
        <f t="shared" si="2"/>
        <v>6976</v>
      </c>
      <c r="Q10" s="4">
        <f t="shared" si="3"/>
        <v>1370.5608</v>
      </c>
      <c r="R10" s="4">
        <f t="shared" si="0"/>
        <v>5605.4392</v>
      </c>
    </row>
    <row r="11" spans="1:18">
      <c r="A11" s="3" t="s">
        <v>30</v>
      </c>
      <c r="B11" s="3" t="str">
        <f>VLOOKUP(A11,员工资料!A:C,2,FALSE)</f>
        <v>女</v>
      </c>
      <c r="C11" s="3" t="str">
        <f>VLOOKUP(A11,员工资料!A:C,3,FALSE)</f>
        <v>劳务工</v>
      </c>
      <c r="D11" s="4">
        <v>3218</v>
      </c>
      <c r="E11" s="4">
        <v>314</v>
      </c>
      <c r="F11" s="4">
        <v>50</v>
      </c>
      <c r="G11" s="4">
        <v>995</v>
      </c>
      <c r="H11" s="4">
        <v>549</v>
      </c>
      <c r="I11" s="4">
        <v>448</v>
      </c>
      <c r="J11" s="4">
        <v>79</v>
      </c>
      <c r="K11" s="4">
        <v>445.92</v>
      </c>
      <c r="L11" s="4">
        <v>334.44</v>
      </c>
      <c r="M11" s="4">
        <v>47.12</v>
      </c>
      <c r="N11" s="4">
        <v>169.68</v>
      </c>
      <c r="O11" s="4">
        <f t="shared" si="1"/>
        <v>99.8272</v>
      </c>
      <c r="P11" s="4">
        <f t="shared" si="2"/>
        <v>5495</v>
      </c>
      <c r="Q11" s="4">
        <f t="shared" si="3"/>
        <v>1096.9872</v>
      </c>
      <c r="R11" s="4">
        <f t="shared" si="0"/>
        <v>4398.0128</v>
      </c>
    </row>
    <row r="12" spans="1:18">
      <c r="A12" s="3" t="s">
        <v>25</v>
      </c>
      <c r="B12" s="3" t="str">
        <f>VLOOKUP(A12,员工资料!A:C,2,FALSE)</f>
        <v>女</v>
      </c>
      <c r="C12" s="3" t="str">
        <f>VLOOKUP(A12,员工资料!A:C,3,FALSE)</f>
        <v>劳务工</v>
      </c>
      <c r="D12" s="4">
        <v>2638</v>
      </c>
      <c r="E12" s="4">
        <v>448</v>
      </c>
      <c r="F12" s="4">
        <v>250</v>
      </c>
      <c r="G12" s="4">
        <v>904</v>
      </c>
      <c r="H12" s="4">
        <v>251</v>
      </c>
      <c r="I12" s="4">
        <v>551</v>
      </c>
      <c r="J12" s="4">
        <v>189</v>
      </c>
      <c r="K12" s="4">
        <v>403.36</v>
      </c>
      <c r="L12" s="4">
        <v>302.52</v>
      </c>
      <c r="M12" s="4">
        <v>49.68</v>
      </c>
      <c r="N12" s="4">
        <v>165.04</v>
      </c>
      <c r="O12" s="4">
        <f t="shared" si="1"/>
        <v>57.972</v>
      </c>
      <c r="P12" s="4">
        <f t="shared" si="2"/>
        <v>4853</v>
      </c>
      <c r="Q12" s="4">
        <f t="shared" si="3"/>
        <v>978.572</v>
      </c>
      <c r="R12" s="4">
        <f t="shared" si="0"/>
        <v>3874.428</v>
      </c>
    </row>
    <row r="13" spans="1:18">
      <c r="A13" s="3" t="s">
        <v>32</v>
      </c>
      <c r="B13" s="3" t="str">
        <f>VLOOKUP(A13,员工资料!A:C,2,FALSE)</f>
        <v>女</v>
      </c>
      <c r="C13" s="3" t="str">
        <f>VLOOKUP(A13,员工资料!A:C,3,FALSE)</f>
        <v>劳务工</v>
      </c>
      <c r="D13" s="4">
        <v>5528</v>
      </c>
      <c r="E13" s="4">
        <v>212</v>
      </c>
      <c r="F13" s="4">
        <v>190</v>
      </c>
      <c r="G13" s="4">
        <v>1120</v>
      </c>
      <c r="H13" s="4">
        <v>202</v>
      </c>
      <c r="I13" s="4">
        <v>510</v>
      </c>
      <c r="J13" s="4">
        <v>106</v>
      </c>
      <c r="K13" s="4">
        <v>620.96</v>
      </c>
      <c r="L13" s="4">
        <v>465.72</v>
      </c>
      <c r="M13" s="4">
        <v>45.4</v>
      </c>
      <c r="N13" s="4">
        <v>170.24</v>
      </c>
      <c r="O13" s="4">
        <f t="shared" si="1"/>
        <v>248.2944</v>
      </c>
      <c r="P13" s="4">
        <f t="shared" si="2"/>
        <v>7656</v>
      </c>
      <c r="Q13" s="4">
        <f t="shared" si="3"/>
        <v>1550.6144</v>
      </c>
      <c r="R13" s="4">
        <f t="shared" si="0"/>
        <v>6105.3856</v>
      </c>
    </row>
    <row r="14" spans="1:18">
      <c r="A14" s="3" t="s">
        <v>33</v>
      </c>
      <c r="B14" s="3" t="str">
        <f>VLOOKUP(A14,员工资料!A:C,2,FALSE)</f>
        <v>男</v>
      </c>
      <c r="C14" s="3" t="str">
        <f>VLOOKUP(A14,员工资料!A:C,3,FALSE)</f>
        <v>劳务工</v>
      </c>
      <c r="D14" s="4">
        <v>4548</v>
      </c>
      <c r="E14" s="4">
        <v>280</v>
      </c>
      <c r="F14" s="4">
        <v>60</v>
      </c>
      <c r="G14" s="4">
        <v>935</v>
      </c>
      <c r="H14" s="4">
        <v>401</v>
      </c>
      <c r="I14" s="4">
        <v>334</v>
      </c>
      <c r="J14" s="4">
        <v>87</v>
      </c>
      <c r="K14" s="4">
        <v>524.64</v>
      </c>
      <c r="L14" s="4">
        <v>393.48</v>
      </c>
      <c r="M14" s="4">
        <v>40.2</v>
      </c>
      <c r="N14" s="4">
        <v>145.36</v>
      </c>
      <c r="O14" s="4">
        <f t="shared" si="1"/>
        <v>169.3856</v>
      </c>
      <c r="P14" s="4">
        <f t="shared" si="2"/>
        <v>6471</v>
      </c>
      <c r="Q14" s="4">
        <f t="shared" si="3"/>
        <v>1273.0656</v>
      </c>
      <c r="R14" s="4">
        <f t="shared" si="0"/>
        <v>5197.9344</v>
      </c>
    </row>
    <row r="15" spans="1:18">
      <c r="A15" s="3" t="s">
        <v>24</v>
      </c>
      <c r="B15" s="3" t="str">
        <f>VLOOKUP(A15,员工资料!A:C,2,FALSE)</f>
        <v>女</v>
      </c>
      <c r="C15" s="3" t="str">
        <f>VLOOKUP(A15,员工资料!A:C,3,FALSE)</f>
        <v>合同工</v>
      </c>
      <c r="D15" s="4">
        <v>5373</v>
      </c>
      <c r="E15" s="4">
        <v>428</v>
      </c>
      <c r="F15" s="4">
        <v>240</v>
      </c>
      <c r="G15" s="4">
        <v>996</v>
      </c>
      <c r="H15" s="4">
        <v>452</v>
      </c>
      <c r="I15" s="4">
        <v>310</v>
      </c>
      <c r="J15" s="4">
        <v>87</v>
      </c>
      <c r="K15" s="4">
        <v>623.92</v>
      </c>
      <c r="L15" s="4">
        <v>467.94</v>
      </c>
      <c r="M15" s="4">
        <v>48.52</v>
      </c>
      <c r="N15" s="4">
        <v>166.8</v>
      </c>
      <c r="O15" s="4">
        <f t="shared" si="1"/>
        <v>252.3856</v>
      </c>
      <c r="P15" s="4">
        <f t="shared" si="2"/>
        <v>7712</v>
      </c>
      <c r="Q15" s="4">
        <f t="shared" si="3"/>
        <v>1559.5656</v>
      </c>
      <c r="R15" s="4">
        <f t="shared" si="0"/>
        <v>6152.4344</v>
      </c>
    </row>
    <row r="16" spans="1:18">
      <c r="A16" s="3" t="s">
        <v>28</v>
      </c>
      <c r="B16" s="3" t="str">
        <f>VLOOKUP(A16,员工资料!A:C,2,FALSE)</f>
        <v>男</v>
      </c>
      <c r="C16" s="3" t="str">
        <f>VLOOKUP(A16,员工资料!A:C,3,FALSE)</f>
        <v>劳务工</v>
      </c>
      <c r="D16" s="4">
        <v>6082</v>
      </c>
      <c r="E16" s="4">
        <v>468</v>
      </c>
      <c r="F16" s="4">
        <v>260</v>
      </c>
      <c r="G16" s="4">
        <v>978</v>
      </c>
      <c r="H16" s="4">
        <v>512</v>
      </c>
      <c r="I16" s="4">
        <v>304</v>
      </c>
      <c r="J16" s="4">
        <v>87</v>
      </c>
      <c r="K16" s="4">
        <v>688.32</v>
      </c>
      <c r="L16" s="4">
        <v>516.24</v>
      </c>
      <c r="M16" s="4">
        <v>50.44</v>
      </c>
      <c r="N16" s="4">
        <v>171.28</v>
      </c>
      <c r="O16" s="4">
        <f t="shared" si="1"/>
        <v>307.2576</v>
      </c>
      <c r="P16" s="4">
        <f t="shared" si="2"/>
        <v>8517</v>
      </c>
      <c r="Q16" s="4">
        <f t="shared" si="3"/>
        <v>1733.5376</v>
      </c>
      <c r="R16" s="4">
        <f t="shared" si="0"/>
        <v>6783.4624</v>
      </c>
    </row>
    <row r="17" spans="1:18">
      <c r="A17" s="3" t="s">
        <v>19</v>
      </c>
      <c r="B17" s="3" t="str">
        <f>VLOOKUP(A17,员工资料!A:C,2,FALSE)</f>
        <v>男</v>
      </c>
      <c r="C17" s="3" t="str">
        <f>VLOOKUP(A17,员工资料!A:C,3,FALSE)</f>
        <v>合同工</v>
      </c>
      <c r="D17" s="4">
        <v>6589</v>
      </c>
      <c r="E17" s="4">
        <v>596</v>
      </c>
      <c r="F17" s="4">
        <v>90</v>
      </c>
      <c r="G17" s="4">
        <v>901</v>
      </c>
      <c r="H17" s="4">
        <v>407</v>
      </c>
      <c r="I17" s="4">
        <v>301</v>
      </c>
      <c r="J17" s="4">
        <v>87</v>
      </c>
      <c r="K17" s="4">
        <v>710.72</v>
      </c>
      <c r="L17" s="4">
        <v>533.04</v>
      </c>
      <c r="M17" s="4">
        <v>45.9</v>
      </c>
      <c r="N17" s="4">
        <v>142.88</v>
      </c>
      <c r="O17" s="4">
        <f t="shared" si="1"/>
        <v>329.1568</v>
      </c>
      <c r="P17" s="4">
        <f t="shared" si="2"/>
        <v>8797</v>
      </c>
      <c r="Q17" s="4">
        <f t="shared" si="3"/>
        <v>1761.6968</v>
      </c>
      <c r="R17" s="4">
        <f t="shared" si="0"/>
        <v>7035.3032</v>
      </c>
    </row>
  </sheetData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8" sqref="B8"/>
    </sheetView>
  </sheetViews>
  <sheetFormatPr defaultColWidth="8.88888888888889" defaultRowHeight="16.5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18</v>
      </c>
      <c r="B2" s="2" t="s">
        <v>47</v>
      </c>
      <c r="C2" s="2" t="s">
        <v>48</v>
      </c>
    </row>
    <row r="3" spans="1:3">
      <c r="A3" s="2" t="s">
        <v>19</v>
      </c>
      <c r="B3" s="2" t="s">
        <v>47</v>
      </c>
      <c r="C3" s="2" t="s">
        <v>48</v>
      </c>
    </row>
    <row r="4" spans="1:3">
      <c r="A4" s="2" t="s">
        <v>25</v>
      </c>
      <c r="B4" s="2" t="s">
        <v>50</v>
      </c>
      <c r="C4" s="2" t="s">
        <v>49</v>
      </c>
    </row>
    <row r="5" spans="1:3">
      <c r="A5" s="2" t="s">
        <v>26</v>
      </c>
      <c r="B5" s="2" t="s">
        <v>47</v>
      </c>
      <c r="C5" s="2" t="s">
        <v>49</v>
      </c>
    </row>
    <row r="6" spans="1:3">
      <c r="A6" s="2" t="s">
        <v>20</v>
      </c>
      <c r="B6" s="2" t="s">
        <v>50</v>
      </c>
      <c r="C6" s="2" t="s">
        <v>48</v>
      </c>
    </row>
    <row r="7" spans="1:3">
      <c r="A7" s="2" t="s">
        <v>21</v>
      </c>
      <c r="B7" s="2" t="s">
        <v>50</v>
      </c>
      <c r="C7" s="2" t="s">
        <v>48</v>
      </c>
    </row>
    <row r="8" spans="1:3">
      <c r="A8" s="2" t="s">
        <v>27</v>
      </c>
      <c r="B8" s="2" t="s">
        <v>47</v>
      </c>
      <c r="C8" s="2" t="s">
        <v>49</v>
      </c>
    </row>
    <row r="9" spans="1:3">
      <c r="A9" s="2" t="s">
        <v>22</v>
      </c>
      <c r="B9" s="2" t="s">
        <v>47</v>
      </c>
      <c r="C9" s="2" t="s">
        <v>48</v>
      </c>
    </row>
    <row r="10" spans="1:3">
      <c r="A10" s="2" t="s">
        <v>28</v>
      </c>
      <c r="B10" s="2" t="s">
        <v>47</v>
      </c>
      <c r="C10" s="2" t="s">
        <v>49</v>
      </c>
    </row>
    <row r="11" spans="1:3">
      <c r="A11" s="2" t="s">
        <v>23</v>
      </c>
      <c r="B11" s="2" t="s">
        <v>47</v>
      </c>
      <c r="C11" s="2" t="s">
        <v>48</v>
      </c>
    </row>
    <row r="12" spans="1:3">
      <c r="A12" s="2" t="s">
        <v>29</v>
      </c>
      <c r="B12" s="2" t="s">
        <v>50</v>
      </c>
      <c r="C12" s="2" t="s">
        <v>49</v>
      </c>
    </row>
    <row r="13" spans="1:3">
      <c r="A13" s="2" t="s">
        <v>30</v>
      </c>
      <c r="B13" s="2" t="s">
        <v>50</v>
      </c>
      <c r="C13" s="2" t="s">
        <v>49</v>
      </c>
    </row>
    <row r="14" spans="1:3">
      <c r="A14" s="2" t="s">
        <v>31</v>
      </c>
      <c r="B14" s="2" t="s">
        <v>47</v>
      </c>
      <c r="C14" s="2" t="s">
        <v>49</v>
      </c>
    </row>
    <row r="15" spans="1:3">
      <c r="A15" s="2" t="s">
        <v>32</v>
      </c>
      <c r="B15" s="2" t="s">
        <v>50</v>
      </c>
      <c r="C15" s="2" t="s">
        <v>49</v>
      </c>
    </row>
    <row r="16" spans="1:3">
      <c r="A16" s="2" t="s">
        <v>33</v>
      </c>
      <c r="B16" s="2" t="s">
        <v>47</v>
      </c>
      <c r="C16" s="2" t="s">
        <v>49</v>
      </c>
    </row>
    <row r="17" spans="1:3">
      <c r="A17" s="2" t="s">
        <v>24</v>
      </c>
      <c r="B17" s="2" t="s">
        <v>50</v>
      </c>
      <c r="C17" s="2" t="s">
        <v>48</v>
      </c>
    </row>
    <row r="18" spans="1:3">
      <c r="A18" s="2" t="s">
        <v>42</v>
      </c>
      <c r="B18" s="2" t="s">
        <v>47</v>
      </c>
      <c r="C18" s="2" t="s">
        <v>48</v>
      </c>
    </row>
    <row r="19" spans="1:3">
      <c r="A19" s="2" t="s">
        <v>43</v>
      </c>
      <c r="B19" s="2" t="s">
        <v>47</v>
      </c>
      <c r="C19" s="2" t="s">
        <v>48</v>
      </c>
    </row>
    <row r="20" spans="1:3">
      <c r="A20" s="2" t="s">
        <v>44</v>
      </c>
      <c r="B20" s="2" t="s">
        <v>47</v>
      </c>
      <c r="C20" s="2" t="s">
        <v>49</v>
      </c>
    </row>
    <row r="21" spans="1:3">
      <c r="A21" s="2" t="s">
        <v>45</v>
      </c>
      <c r="B21" s="2" t="s">
        <v>47</v>
      </c>
      <c r="C21" s="2" t="s">
        <v>49</v>
      </c>
    </row>
  </sheetData>
  <sheetProtection sheet="1" objects="1"/>
  <sortState ref="A2:C22">
    <sortCondition ref="A2:A22"/>
  </sortState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87"/>
  <sheetViews>
    <sheetView tabSelected="1" workbookViewId="0">
      <selection activeCell="A13" sqref="A8:A23"/>
      <pivotSelection pane="bottomRight" showHeader="1" extendable="1" axis="axisRow" activeRow="12" previousRow="12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ColWidth="9.22962962962963" defaultRowHeight="16.5"/>
  <cols>
    <col min="1" max="1" width="8.68888888888889"/>
    <col min="2" max="2" width="10.2296296296296"/>
    <col min="3" max="4" width="8.77037037037037"/>
    <col min="5" max="5" width="8.22962962962963"/>
    <col min="6" max="6" width="8.77037037037037"/>
    <col min="7" max="7" width="4.84444444444444"/>
    <col min="8" max="8" width="8.68888888888889"/>
    <col min="9" max="9" width="9.55555555555556"/>
    <col min="10" max="10" width="8.55555555555556"/>
    <col min="11" max="11" width="9.92592592592593"/>
    <col min="12" max="12" width="10.2296296296296"/>
    <col min="13" max="15" width="13.5407407407407"/>
    <col min="16" max="28" width="12.6148148148148"/>
    <col min="29" max="30" width="9.92592592592593"/>
    <col min="31" max="31" width="5.45925925925926"/>
  </cols>
  <sheetData>
    <row r="4" spans="1:13">
      <c r="A4" t="s">
        <v>51</v>
      </c>
      <c r="B4" t="s">
        <v>52</v>
      </c>
      <c r="H4" t="s">
        <v>51</v>
      </c>
      <c r="I4" t="s">
        <v>52</v>
      </c>
      <c r="L4" t="s">
        <v>51</v>
      </c>
      <c r="M4" t="s">
        <v>52</v>
      </c>
    </row>
    <row r="6" spans="1:13">
      <c r="A6" t="s">
        <v>53</v>
      </c>
      <c r="B6" t="s">
        <v>54</v>
      </c>
      <c r="H6" t="s">
        <v>0</v>
      </c>
      <c r="I6" t="s">
        <v>55</v>
      </c>
      <c r="J6" t="s">
        <v>56</v>
      </c>
      <c r="L6" t="s">
        <v>57</v>
      </c>
      <c r="M6" t="s">
        <v>58</v>
      </c>
    </row>
    <row r="7" spans="1:15">
      <c r="A7" t="s">
        <v>0</v>
      </c>
      <c r="B7" t="s">
        <v>10</v>
      </c>
      <c r="C7" t="s">
        <v>7</v>
      </c>
      <c r="D7" t="s">
        <v>11</v>
      </c>
      <c r="E7" t="s">
        <v>12</v>
      </c>
      <c r="F7" t="s">
        <v>13</v>
      </c>
      <c r="H7" t="s">
        <v>19</v>
      </c>
      <c r="J7" s="1">
        <v>1456.83749333333</v>
      </c>
      <c r="L7" t="s">
        <v>2</v>
      </c>
      <c r="M7" t="s">
        <v>15</v>
      </c>
      <c r="N7" t="s">
        <v>16</v>
      </c>
      <c r="O7" t="s">
        <v>17</v>
      </c>
    </row>
    <row r="8" spans="1:15">
      <c r="A8" t="s">
        <v>18</v>
      </c>
      <c r="B8" s="1">
        <v>6538</v>
      </c>
      <c r="C8" s="1">
        <v>4437</v>
      </c>
      <c r="D8" s="1">
        <v>4903.5</v>
      </c>
      <c r="E8" s="1">
        <v>591.06</v>
      </c>
      <c r="F8" s="1">
        <v>1986.16</v>
      </c>
      <c r="I8" t="s">
        <v>3</v>
      </c>
      <c r="J8" s="1">
        <v>4563.33333333333</v>
      </c>
      <c r="L8" t="s">
        <v>48</v>
      </c>
      <c r="M8" s="1">
        <v>6869.05952380952</v>
      </c>
      <c r="N8" s="1">
        <v>1371.64150952381</v>
      </c>
      <c r="O8" s="1">
        <v>5497.41801428572</v>
      </c>
    </row>
    <row r="9" spans="1:15">
      <c r="A9" t="s">
        <v>19</v>
      </c>
      <c r="B9" s="1">
        <v>6770.88</v>
      </c>
      <c r="C9" s="1">
        <v>5009</v>
      </c>
      <c r="D9" s="1">
        <v>5078.16</v>
      </c>
      <c r="E9" s="1">
        <v>548.04</v>
      </c>
      <c r="F9" s="1">
        <v>1824.4</v>
      </c>
      <c r="I9" t="s">
        <v>4</v>
      </c>
      <c r="J9" s="1">
        <v>401.333333333333</v>
      </c>
      <c r="L9" t="s">
        <v>49</v>
      </c>
      <c r="M9" s="1">
        <v>6840.99074074074</v>
      </c>
      <c r="N9" s="1">
        <v>1369.50023888889</v>
      </c>
      <c r="O9" s="1">
        <v>5471.49050185185</v>
      </c>
    </row>
    <row r="10" spans="1:15">
      <c r="A10" t="s">
        <v>25</v>
      </c>
      <c r="B10" s="1">
        <v>6477.36</v>
      </c>
      <c r="C10" s="1">
        <v>4692</v>
      </c>
      <c r="D10" s="1">
        <v>4858.02</v>
      </c>
      <c r="E10" s="1">
        <v>549.14</v>
      </c>
      <c r="F10" s="1">
        <v>1818.72</v>
      </c>
      <c r="I10" t="s">
        <v>5</v>
      </c>
      <c r="J10" s="1">
        <v>170</v>
      </c>
      <c r="L10" t="s">
        <v>59</v>
      </c>
      <c r="M10" s="1">
        <v>6853.27083333333</v>
      </c>
      <c r="N10" s="1">
        <v>1370.43704479167</v>
      </c>
      <c r="O10" s="1">
        <v>5482.83378854167</v>
      </c>
    </row>
    <row r="11" spans="1:10">
      <c r="A11" t="s">
        <v>26</v>
      </c>
      <c r="B11" s="1">
        <v>6253.36</v>
      </c>
      <c r="C11" s="1">
        <v>5059</v>
      </c>
      <c r="D11" s="1">
        <v>4690.02</v>
      </c>
      <c r="E11" s="1">
        <v>549</v>
      </c>
      <c r="F11" s="1">
        <v>1853.04</v>
      </c>
      <c r="I11" t="s">
        <v>6</v>
      </c>
      <c r="J11" s="1">
        <v>805.5</v>
      </c>
    </row>
    <row r="12" spans="1:10">
      <c r="A12" t="s">
        <v>20</v>
      </c>
      <c r="B12" s="1">
        <v>6783.12</v>
      </c>
      <c r="C12" s="1">
        <v>4711</v>
      </c>
      <c r="D12" s="1">
        <v>5087.34</v>
      </c>
      <c r="E12" s="1">
        <v>592.18</v>
      </c>
      <c r="F12" s="1">
        <v>1977.68</v>
      </c>
      <c r="I12" t="s">
        <v>8</v>
      </c>
      <c r="J12" s="1">
        <v>487.166666666667</v>
      </c>
    </row>
    <row r="13" spans="1:10">
      <c r="A13" t="s">
        <v>21</v>
      </c>
      <c r="B13" s="1">
        <v>6474.16</v>
      </c>
      <c r="C13" s="1">
        <v>5131</v>
      </c>
      <c r="D13" s="1">
        <v>4855.62</v>
      </c>
      <c r="E13" s="1">
        <v>556.54</v>
      </c>
      <c r="F13" s="1">
        <v>1832.64</v>
      </c>
      <c r="I13" t="s">
        <v>9</v>
      </c>
      <c r="J13" s="1">
        <v>53.1666666666667</v>
      </c>
    </row>
    <row r="14" spans="1:10">
      <c r="A14" t="s">
        <v>27</v>
      </c>
      <c r="B14" s="1">
        <v>6964</v>
      </c>
      <c r="C14" s="1">
        <v>4950</v>
      </c>
      <c r="D14" s="1">
        <v>5223</v>
      </c>
      <c r="E14" s="1">
        <v>606.62</v>
      </c>
      <c r="F14" s="1">
        <v>2026.32</v>
      </c>
      <c r="I14" t="s">
        <v>13</v>
      </c>
      <c r="J14" s="1">
        <v>152.026666666667</v>
      </c>
    </row>
    <row r="15" spans="1:10">
      <c r="A15" t="s">
        <v>22</v>
      </c>
      <c r="B15" s="1">
        <v>6445.04</v>
      </c>
      <c r="C15" s="1">
        <v>4983</v>
      </c>
      <c r="D15" s="1">
        <v>4833.78</v>
      </c>
      <c r="E15" s="1">
        <v>576.86</v>
      </c>
      <c r="F15" s="1">
        <v>1915.84</v>
      </c>
      <c r="I15" t="s">
        <v>11</v>
      </c>
      <c r="J15" s="1">
        <v>411.14</v>
      </c>
    </row>
    <row r="16" spans="1:10">
      <c r="A16" t="s">
        <v>28</v>
      </c>
      <c r="B16" s="1">
        <v>6777.68</v>
      </c>
      <c r="C16" s="1">
        <v>4244</v>
      </c>
      <c r="D16" s="1">
        <v>5083.26</v>
      </c>
      <c r="E16" s="1">
        <v>555.52</v>
      </c>
      <c r="F16" s="1">
        <v>1821.6</v>
      </c>
      <c r="I16" t="s">
        <v>12</v>
      </c>
      <c r="J16" s="1">
        <v>46.0333333333333</v>
      </c>
    </row>
    <row r="17" spans="1:10">
      <c r="A17" t="s">
        <v>23</v>
      </c>
      <c r="B17" s="1">
        <v>6708.96</v>
      </c>
      <c r="C17" s="1">
        <v>4303</v>
      </c>
      <c r="D17" s="1">
        <v>5031.72</v>
      </c>
      <c r="E17" s="1">
        <v>553.14</v>
      </c>
      <c r="F17" s="1">
        <v>1838.08</v>
      </c>
      <c r="I17" t="s">
        <v>7</v>
      </c>
      <c r="J17" s="1">
        <v>425</v>
      </c>
    </row>
    <row r="18" spans="1:10">
      <c r="A18" t="s">
        <v>29</v>
      </c>
      <c r="B18" s="1">
        <v>6722</v>
      </c>
      <c r="C18" s="1">
        <v>4977</v>
      </c>
      <c r="D18" s="1">
        <v>5041.5</v>
      </c>
      <c r="E18" s="1">
        <v>570.04</v>
      </c>
      <c r="F18" s="1">
        <v>1846.4</v>
      </c>
      <c r="I18" t="s">
        <v>10</v>
      </c>
      <c r="J18" s="1">
        <v>548.186666666667</v>
      </c>
    </row>
    <row r="19" spans="1:10">
      <c r="A19" t="s">
        <v>30</v>
      </c>
      <c r="B19" s="1">
        <v>6889.28</v>
      </c>
      <c r="C19" s="1">
        <v>4439</v>
      </c>
      <c r="D19" s="1">
        <v>5166.96</v>
      </c>
      <c r="E19" s="1">
        <v>552.6</v>
      </c>
      <c r="F19" s="1">
        <v>1888.4</v>
      </c>
      <c r="I19" t="s">
        <v>14</v>
      </c>
      <c r="J19" s="1">
        <v>191.3424</v>
      </c>
    </row>
    <row r="20" spans="1:10">
      <c r="A20" t="s">
        <v>31</v>
      </c>
      <c r="B20" s="1">
        <v>6578.72</v>
      </c>
      <c r="C20" s="1">
        <v>5155</v>
      </c>
      <c r="D20" s="1">
        <v>4934.04</v>
      </c>
      <c r="E20" s="1">
        <v>612.16</v>
      </c>
      <c r="F20" s="1">
        <v>2109.28</v>
      </c>
      <c r="I20" t="s">
        <v>15</v>
      </c>
      <c r="J20" s="1">
        <v>6799.16666666667</v>
      </c>
    </row>
    <row r="21" spans="1:10">
      <c r="A21" t="s">
        <v>32</v>
      </c>
      <c r="B21" s="1">
        <v>6279.2</v>
      </c>
      <c r="C21" s="1">
        <v>4526</v>
      </c>
      <c r="D21" s="1">
        <v>4709.4</v>
      </c>
      <c r="E21" s="1">
        <v>575.46</v>
      </c>
      <c r="F21" s="1">
        <v>1998.88</v>
      </c>
      <c r="I21" t="s">
        <v>16</v>
      </c>
      <c r="J21" s="1">
        <v>1348.72906666667</v>
      </c>
    </row>
    <row r="22" spans="1:10">
      <c r="A22" t="s">
        <v>33</v>
      </c>
      <c r="B22" s="1">
        <v>6862.8</v>
      </c>
      <c r="C22" s="1">
        <v>4556</v>
      </c>
      <c r="D22" s="1">
        <v>5147.1</v>
      </c>
      <c r="E22" s="1">
        <v>557.18</v>
      </c>
      <c r="F22" s="1">
        <v>1879.68</v>
      </c>
      <c r="I22" t="s">
        <v>17</v>
      </c>
      <c r="J22" s="1">
        <v>5450.4376</v>
      </c>
    </row>
    <row r="23" spans="1:10">
      <c r="A23" t="s">
        <v>24</v>
      </c>
      <c r="B23" s="1">
        <v>6880.72</v>
      </c>
      <c r="C23" s="1">
        <v>4028</v>
      </c>
      <c r="D23" s="1">
        <v>5160.54</v>
      </c>
      <c r="E23" s="1">
        <v>564.92</v>
      </c>
      <c r="F23" s="1">
        <v>1888.56</v>
      </c>
      <c r="H23" t="s">
        <v>26</v>
      </c>
      <c r="J23" s="1">
        <v>1453.73120888889</v>
      </c>
    </row>
    <row r="24" spans="9:10">
      <c r="I24" t="s">
        <v>3</v>
      </c>
      <c r="J24" s="1">
        <v>4610.5</v>
      </c>
    </row>
    <row r="25" spans="9:10">
      <c r="I25" t="s">
        <v>4</v>
      </c>
      <c r="J25" s="1">
        <v>445.166666666667</v>
      </c>
    </row>
    <row r="26" spans="9:10">
      <c r="I26" t="s">
        <v>5</v>
      </c>
      <c r="J26" s="1">
        <v>161.666666666667</v>
      </c>
    </row>
    <row r="27" spans="9:10">
      <c r="I27" t="s">
        <v>6</v>
      </c>
      <c r="J27" s="1">
        <v>806.666666666667</v>
      </c>
    </row>
    <row r="28" spans="9:10">
      <c r="I28" t="s">
        <v>8</v>
      </c>
      <c r="J28" s="1">
        <v>420.666666666667</v>
      </c>
    </row>
    <row r="29" spans="9:10">
      <c r="I29" t="s">
        <v>9</v>
      </c>
      <c r="J29" s="1">
        <v>63</v>
      </c>
    </row>
    <row r="30" spans="9:10">
      <c r="I30" t="s">
        <v>13</v>
      </c>
      <c r="J30" s="1">
        <v>145.106666666667</v>
      </c>
    </row>
    <row r="31" spans="9:10">
      <c r="I31" t="s">
        <v>11</v>
      </c>
      <c r="J31" s="1">
        <v>410.61</v>
      </c>
    </row>
    <row r="32" spans="9:10">
      <c r="I32" t="s">
        <v>12</v>
      </c>
      <c r="J32" s="1">
        <v>44.66</v>
      </c>
    </row>
    <row r="33" spans="9:10">
      <c r="I33" t="s">
        <v>7</v>
      </c>
      <c r="J33" s="1">
        <v>398.833333333333</v>
      </c>
    </row>
    <row r="34" spans="9:10">
      <c r="I34" t="s">
        <v>10</v>
      </c>
      <c r="J34" s="1">
        <v>547.48</v>
      </c>
    </row>
    <row r="35" spans="9:10">
      <c r="I35" t="s">
        <v>14</v>
      </c>
      <c r="J35" s="1">
        <v>190.611466666667</v>
      </c>
    </row>
    <row r="36" spans="9:10">
      <c r="I36" t="s">
        <v>15</v>
      </c>
      <c r="J36" s="1">
        <v>6780.5</v>
      </c>
    </row>
    <row r="37" spans="9:10">
      <c r="I37" t="s">
        <v>16</v>
      </c>
      <c r="J37" s="1">
        <v>1338.46813333333</v>
      </c>
    </row>
    <row r="38" spans="9:10">
      <c r="I38" t="s">
        <v>17</v>
      </c>
      <c r="J38" s="1">
        <v>5442.03186666667</v>
      </c>
    </row>
    <row r="39" spans="8:10">
      <c r="H39" t="s">
        <v>21</v>
      </c>
      <c r="J39" s="1">
        <v>1408.72234666667</v>
      </c>
    </row>
    <row r="40" spans="9:10">
      <c r="I40" t="s">
        <v>3</v>
      </c>
      <c r="J40" s="1">
        <v>4288.33333333333</v>
      </c>
    </row>
    <row r="41" spans="9:10">
      <c r="I41" t="s">
        <v>4</v>
      </c>
      <c r="J41" s="1">
        <v>400.333333333333</v>
      </c>
    </row>
    <row r="42" spans="9:10">
      <c r="I42" t="s">
        <v>5</v>
      </c>
      <c r="J42" s="1">
        <v>188.333333333333</v>
      </c>
    </row>
    <row r="43" spans="9:10">
      <c r="I43" t="s">
        <v>6</v>
      </c>
      <c r="J43" s="1">
        <v>914.166666666667</v>
      </c>
    </row>
    <row r="44" spans="9:10">
      <c r="I44" t="s">
        <v>8</v>
      </c>
      <c r="J44" s="1">
        <v>379.833333333333</v>
      </c>
    </row>
    <row r="45" spans="9:10">
      <c r="I45" t="s">
        <v>9</v>
      </c>
      <c r="J45" s="1">
        <v>65.1666666666667</v>
      </c>
    </row>
    <row r="46" spans="9:10">
      <c r="I46" t="s">
        <v>13</v>
      </c>
      <c r="J46" s="1">
        <v>159.346666666667</v>
      </c>
    </row>
    <row r="47" spans="9:10">
      <c r="I47" t="s">
        <v>11</v>
      </c>
      <c r="J47" s="1">
        <v>397.73</v>
      </c>
    </row>
    <row r="48" spans="9:10">
      <c r="I48" t="s">
        <v>12</v>
      </c>
      <c r="J48" s="1">
        <v>47.8433333333333</v>
      </c>
    </row>
    <row r="49" spans="9:10">
      <c r="I49" t="s">
        <v>7</v>
      </c>
      <c r="J49" s="1">
        <v>457.833333333333</v>
      </c>
    </row>
    <row r="50" spans="9:10">
      <c r="I50" t="s">
        <v>10</v>
      </c>
      <c r="J50" s="1">
        <v>530.306666666667</v>
      </c>
    </row>
    <row r="51" spans="9:10">
      <c r="I51" t="s">
        <v>14</v>
      </c>
      <c r="J51" s="1">
        <v>174.2752</v>
      </c>
    </row>
    <row r="52" spans="9:10">
      <c r="I52" t="s">
        <v>15</v>
      </c>
      <c r="J52" s="1">
        <v>6563.66666666667</v>
      </c>
    </row>
    <row r="53" spans="9:10">
      <c r="I53" t="s">
        <v>16</v>
      </c>
      <c r="J53" s="1">
        <v>1309.50186666667</v>
      </c>
    </row>
    <row r="54" spans="9:10">
      <c r="I54" t="s">
        <v>17</v>
      </c>
      <c r="J54" s="1">
        <v>5254.1648</v>
      </c>
    </row>
    <row r="55" spans="8:10">
      <c r="H55" t="s">
        <v>22</v>
      </c>
      <c r="J55" s="1">
        <v>1510.35512888889</v>
      </c>
    </row>
    <row r="56" spans="9:10">
      <c r="I56" t="s">
        <v>3</v>
      </c>
      <c r="J56" s="1">
        <v>4632.5</v>
      </c>
    </row>
    <row r="57" spans="9:10">
      <c r="I57" t="s">
        <v>4</v>
      </c>
      <c r="J57" s="1">
        <v>435.666666666667</v>
      </c>
    </row>
    <row r="58" spans="9:10">
      <c r="I58" t="s">
        <v>5</v>
      </c>
      <c r="J58" s="1">
        <v>238.333333333333</v>
      </c>
    </row>
    <row r="59" spans="9:10">
      <c r="I59" t="s">
        <v>6</v>
      </c>
      <c r="J59" s="1">
        <v>1017.16666666667</v>
      </c>
    </row>
    <row r="60" spans="9:10">
      <c r="I60" t="s">
        <v>8</v>
      </c>
      <c r="J60" s="1">
        <v>352.833333333333</v>
      </c>
    </row>
    <row r="61" spans="9:10">
      <c r="I61" t="s">
        <v>9</v>
      </c>
      <c r="J61" s="1">
        <v>54.5</v>
      </c>
    </row>
    <row r="62" spans="9:10">
      <c r="I62" t="s">
        <v>13</v>
      </c>
      <c r="J62" s="1">
        <v>166.706666666667</v>
      </c>
    </row>
    <row r="63" spans="9:10">
      <c r="I63" t="s">
        <v>11</v>
      </c>
      <c r="J63" s="1">
        <v>425.85</v>
      </c>
    </row>
    <row r="64" spans="9:10">
      <c r="I64" t="s">
        <v>12</v>
      </c>
      <c r="J64" s="1">
        <v>50.39</v>
      </c>
    </row>
    <row r="65" spans="9:10">
      <c r="I65" t="s">
        <v>7</v>
      </c>
      <c r="J65" s="1">
        <v>421</v>
      </c>
    </row>
    <row r="66" spans="9:10">
      <c r="I66" t="s">
        <v>10</v>
      </c>
      <c r="J66" s="1">
        <v>567.8</v>
      </c>
    </row>
    <row r="67" spans="9:10">
      <c r="I67" t="s">
        <v>14</v>
      </c>
      <c r="J67" s="1">
        <v>206.580266666667</v>
      </c>
    </row>
    <row r="68" spans="9:10">
      <c r="I68" t="s">
        <v>15</v>
      </c>
      <c r="J68" s="1">
        <v>7043</v>
      </c>
    </row>
    <row r="69" spans="9:10">
      <c r="I69" t="s">
        <v>16</v>
      </c>
      <c r="J69" s="1">
        <v>1417.32693333333</v>
      </c>
    </row>
    <row r="70" spans="9:10">
      <c r="I70" t="s">
        <v>17</v>
      </c>
      <c r="J70" s="1">
        <v>5625.67306666667</v>
      </c>
    </row>
    <row r="71" spans="8:10">
      <c r="H71" t="s">
        <v>23</v>
      </c>
      <c r="J71" s="1">
        <v>1525.48204444444</v>
      </c>
    </row>
    <row r="72" spans="9:10">
      <c r="I72" t="s">
        <v>3</v>
      </c>
      <c r="J72" s="1">
        <v>4833.66666666667</v>
      </c>
    </row>
    <row r="73" spans="9:10">
      <c r="I73" t="s">
        <v>4</v>
      </c>
      <c r="J73" s="1">
        <v>404.666666666667</v>
      </c>
    </row>
    <row r="74" spans="9:10">
      <c r="I74" t="s">
        <v>5</v>
      </c>
      <c r="J74" s="1">
        <v>210</v>
      </c>
    </row>
    <row r="75" spans="9:10">
      <c r="I75" t="s">
        <v>6</v>
      </c>
      <c r="J75" s="1">
        <v>845.666666666667</v>
      </c>
    </row>
    <row r="76" spans="9:10">
      <c r="I76" t="s">
        <v>8</v>
      </c>
      <c r="J76" s="1">
        <v>500</v>
      </c>
    </row>
    <row r="77" spans="9:10">
      <c r="I77" t="s">
        <v>9</v>
      </c>
      <c r="J77" s="1">
        <v>29</v>
      </c>
    </row>
    <row r="78" spans="9:10">
      <c r="I78" t="s">
        <v>13</v>
      </c>
      <c r="J78" s="1">
        <v>154.08</v>
      </c>
    </row>
    <row r="79" spans="9:10">
      <c r="I79" t="s">
        <v>11</v>
      </c>
      <c r="J79" s="1">
        <v>429.86</v>
      </c>
    </row>
    <row r="80" spans="9:10">
      <c r="I80" t="s">
        <v>12</v>
      </c>
      <c r="J80" s="1">
        <v>46.6133333333333</v>
      </c>
    </row>
    <row r="81" spans="9:10">
      <c r="I81" t="s">
        <v>7</v>
      </c>
      <c r="J81" s="1">
        <v>370.333333333333</v>
      </c>
    </row>
    <row r="82" spans="9:10">
      <c r="I82" t="s">
        <v>10</v>
      </c>
      <c r="J82" s="1">
        <v>573.146666666667</v>
      </c>
    </row>
    <row r="83" spans="9:10">
      <c r="I83" t="s">
        <v>14</v>
      </c>
      <c r="J83" s="1">
        <v>214.530666666667</v>
      </c>
    </row>
    <row r="84" spans="9:10">
      <c r="I84" t="s">
        <v>15</v>
      </c>
      <c r="J84" s="1">
        <v>7135.33333333333</v>
      </c>
    </row>
    <row r="85" spans="9:10">
      <c r="I85" t="s">
        <v>16</v>
      </c>
      <c r="J85" s="1">
        <v>1418.23066666667</v>
      </c>
    </row>
    <row r="86" spans="9:10">
      <c r="I86" t="s">
        <v>17</v>
      </c>
      <c r="J86" s="1">
        <v>5717.10266666667</v>
      </c>
    </row>
    <row r="87" spans="8:10">
      <c r="H87" t="s">
        <v>59</v>
      </c>
      <c r="J87" s="1">
        <v>1471.02564444444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��Hh�O
</file>

<file path=customXml/item3.xml>��
</file>

<file path=customXml/item4.xml>��
</file>

<file path=customXml/item5.xml>��>y�O;`��>y�O;`��;`�Npe;`�Npe
</file>

<file path=customXml/item6.xml>��
</file>

<file path=customXml/item7.xml>��Hh�OHh�Og�N�YT'`+RTT�y{|�W,g�]D��\MO�]D��]���]D�e�4�;S�ue��RVYё��Rcb>k�^�ST��OO?blQ�yё{Q��Oi�;S�u�Oi�1YN�Oi�*N�N@b�_z�^cbT���[�ST��
</file>

<file path=customXml/item8.xml>��
</file>

<file path=customXml/item9.xml>��
</file>

<file path=customXml/item10.xml>��
</file>

<file path=customXml/item11.xml>��
</file>

<file path=customXml/item12.xml>��Hh�Og�N�YT'`+RTT�y{|�W,g�]D��\MO�]D��]���]D�e�4�;S�ue��RVYё��Rcb>k�^�ST��OO?blQ�yё{Q��Oi�;S�u�Oi�1YN�Oi�*N�N@b�_z�^cbT���[�ST��g�N�YT'`+RTT�y{|�W,g�]D��\MO�]D��]���]D�e�4�;S�ue��RVYё��Rcb>k�^�ST��OO?blQ�yё{Q��Oi�;S�u�Oi�1YN�Oi�*N�N@b�_z�^cbT���[�ST��
</file>

<file path=customXml/item13.xml>��
</file>

<file path=customXml/item14.xml>��Hh�O
</file>

<file path=customXml/item15.xml>��>y�O;`��>y�O;`��;`�Npe;`�Npe
</file>

<file path=customXml/item16.xml>��
</file>

<file path=customXml/item17.xml>��
</file>

<file path=customXml/item18.xml>��Hh�OHh�Og�N�YT'`+RTT�y{|�W,g�]D��\MO�]D��]���]D�e�4�;S�ue��RVYё��Rcb>k�^�ST��OO?blQ�yё{Q��Oi�;S�u�Oi�1YN�Oi�*N�N@b�_z�^cbT���[�ST��g�N�YT'`+RTT�y{|�W,g�]D��\MO�]D��]���]D�e�4�;S�ue��RVYё��Rcb>k�^�ST��OO?blQ�yё{Q��Oi�;S�u�Oi�1YN�Oi�*N�N@b�_z�^cbT���[�ST��
</file>

<file path=customXml/item19.xml>��
</file>

<file path=customXml/item20.xml>��>y�O;`��>y�O;`��;`�Npe;`�Npe
</file>

<file path=customXml/item21.xml>��Hh�O
</file>

<file path=customXml/itemProps1.xml><?xml version="1.0" encoding="utf-8"?>
<ds:datastoreItem xmlns:ds="http://schemas.openxmlformats.org/officeDocument/2006/customXml" ds:itemID="{D7F3B7DD-EEDD-40E8-B6B1-024003839C62}">
  <ds:schemaRefs/>
</ds:datastoreItem>
</file>

<file path=customXml/itemProps2.xml><?xml version="1.0" encoding="utf-8"?>
<ds:datastoreItem xmlns:ds="http://schemas.openxmlformats.org/officeDocument/2006/customXml" ds:itemID="{8D284211-62E9-4CB5-A7EE-3D2E97E2E608}">
  <ds:schemaRefs/>
</ds:datastoreItem>
</file>

<file path=customXml/itemProps3.xml><?xml version="1.0" encoding="utf-8"?>
<ds:datastoreItem xmlns:ds="http://schemas.openxmlformats.org/officeDocument/2006/customXml" ds:itemID="{77F598A9-60F1-4865-AB2F-FCB957C2BB42}">
  <ds:schemaRefs/>
</ds:datastoreItem>
</file>

<file path=customXml/itemProps4.xml><?xml version="1.0" encoding="utf-8"?>
<ds:datastoreItem xmlns:ds="http://schemas.openxmlformats.org/officeDocument/2006/customXml" ds:itemID="{985583C9-1A9A-4606-BA5B-615C7ECB58B7}">
  <ds:schemaRefs/>
</ds:datastoreItem>
</file>

<file path=customXml/itemProps5.xml><?xml version="1.0" encoding="utf-8"?>
<ds:datastoreItem xmlns:ds="http://schemas.openxmlformats.org/officeDocument/2006/customXml" ds:itemID="{780131F9-8A90-4804-860B-A7744BD8AEEA}">
  <ds:schemaRefs/>
</ds:datastoreItem>
</file>

<file path=customXml/itemProps6.xml><?xml version="1.0" encoding="utf-8"?>
<ds:datastoreItem xmlns:ds="http://schemas.openxmlformats.org/officeDocument/2006/customXml" ds:itemID="{21E3C44C-E817-402E-87D5-041186E36C86}">
  <ds:schemaRefs/>
</ds:datastoreItem>
</file>

<file path=customXml/itemProps7.xml><?xml version="1.0" encoding="utf-8"?>
<ds:datastoreItem xmlns:ds="http://schemas.openxmlformats.org/officeDocument/2006/customXml" ds:itemID="{FE8BA76D-BE1E-4D42-9577-61729CB946E2}">
  <ds:schemaRefs/>
</ds:datastoreItem>
</file>

<file path=customXml/itemProps8.xml><?xml version="1.0" encoding="utf-8"?>
<ds:datastoreItem xmlns:ds="http://schemas.openxmlformats.org/officeDocument/2006/customXml" ds:itemID="{EED7F5DF-0A45-416E-8BDA-2000FBCE51D7}">
  <ds:schemaRefs/>
</ds:datastoreItem>
</file>

<file path=customXml/itemProps9.xml><?xml version="1.0" encoding="utf-8"?>
<ds:datastoreItem xmlns:ds="http://schemas.openxmlformats.org/officeDocument/2006/customXml" ds:itemID="{5C5769D3-BDDB-4EE3-B0CD-0E0B872E122F}">
  <ds:schemaRefs/>
</ds:datastoreItem>
</file>

<file path=customXml/itemProps10.xml><?xml version="1.0" encoding="utf-8"?>
<ds:datastoreItem xmlns:ds="http://schemas.openxmlformats.org/officeDocument/2006/customXml" ds:itemID="{79643332-9D24-4C13-B84B-7269A04B5F6A}">
  <ds:schemaRefs/>
</ds:datastoreItem>
</file>

<file path=customXml/itemProps11.xml><?xml version="1.0" encoding="utf-8"?>
<ds:datastoreItem xmlns:ds="http://schemas.openxmlformats.org/officeDocument/2006/customXml" ds:itemID="{5024C5AC-40F3-40A6-8FAA-B432C361B6D5}">
  <ds:schemaRefs/>
</ds:datastoreItem>
</file>

<file path=customXml/itemProps12.xml><?xml version="1.0" encoding="utf-8"?>
<ds:datastoreItem xmlns:ds="http://schemas.openxmlformats.org/officeDocument/2006/customXml" ds:itemID="{CA415786-6684-471D-A003-C640215CFF42}">
  <ds:schemaRefs/>
</ds:datastoreItem>
</file>

<file path=customXml/itemProps13.xml><?xml version="1.0" encoding="utf-8"?>
<ds:datastoreItem xmlns:ds="http://schemas.openxmlformats.org/officeDocument/2006/customXml" ds:itemID="{86AD5B97-93CA-4B2E-B700-61B13679C920}">
  <ds:schemaRefs/>
</ds:datastoreItem>
</file>

<file path=customXml/itemProps14.xml><?xml version="1.0" encoding="utf-8"?>
<ds:datastoreItem xmlns:ds="http://schemas.openxmlformats.org/officeDocument/2006/customXml" ds:itemID="{1C97ED0C-0A20-4A07-993F-C4FAC641BAD0}">
  <ds:schemaRefs/>
</ds:datastoreItem>
</file>

<file path=customXml/itemProps15.xml><?xml version="1.0" encoding="utf-8"?>
<ds:datastoreItem xmlns:ds="http://schemas.openxmlformats.org/officeDocument/2006/customXml" ds:itemID="{6B562D1C-6582-42D2-A8D6-C0820F00292D}">
  <ds:schemaRefs/>
</ds:datastoreItem>
</file>

<file path=customXml/itemProps16.xml><?xml version="1.0" encoding="utf-8"?>
<ds:datastoreItem xmlns:ds="http://schemas.openxmlformats.org/officeDocument/2006/customXml" ds:itemID="{0DC270C2-732B-4451-BE5F-35E34700BDB3}">
  <ds:schemaRefs/>
</ds:datastoreItem>
</file>

<file path=customXml/itemProps17.xml><?xml version="1.0" encoding="utf-8"?>
<ds:datastoreItem xmlns:ds="http://schemas.openxmlformats.org/officeDocument/2006/customXml" ds:itemID="{357C24C3-FF21-4E30-A33A-5EBB15C0B9B1}">
  <ds:schemaRefs/>
</ds:datastoreItem>
</file>

<file path=customXml/itemProps18.xml><?xml version="1.0" encoding="utf-8"?>
<ds:datastoreItem xmlns:ds="http://schemas.openxmlformats.org/officeDocument/2006/customXml" ds:itemID="{2A39566B-BFB3-4316-BA70-39D8552E29C0}">
  <ds:schemaRefs/>
</ds:datastoreItem>
</file>

<file path=customXml/itemProps19.xml><?xml version="1.0" encoding="utf-8"?>
<ds:datastoreItem xmlns:ds="http://schemas.openxmlformats.org/officeDocument/2006/customXml" ds:itemID="{39F91328-C17E-4788-8E54-3C418E6C0C76}">
  <ds:schemaRefs/>
</ds:datastoreItem>
</file>

<file path=customXml/itemProps20.xml><?xml version="1.0" encoding="utf-8"?>
<ds:datastoreItem xmlns:ds="http://schemas.openxmlformats.org/officeDocument/2006/customXml" ds:itemID="{C770B9F8-3B92-440E-9083-341BCDA56939}">
  <ds:schemaRefs/>
</ds:datastoreItem>
</file>

<file path=customXml/itemProps21.xml><?xml version="1.0" encoding="utf-8"?>
<ds:datastoreItem xmlns:ds="http://schemas.openxmlformats.org/officeDocument/2006/customXml" ds:itemID="{E49E7611-ED50-42A0-864C-80C83D8FE5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员工资料</vt:lpstr>
      <vt:lpstr>工资数据分析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韩小良</dc:creator>
  <cp:lastModifiedBy>安</cp:lastModifiedBy>
  <dcterms:created xsi:type="dcterms:W3CDTF">2018-02-17T11:46:00Z</dcterms:created>
  <dcterms:modified xsi:type="dcterms:W3CDTF">2021-05-21T03:38:05Z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