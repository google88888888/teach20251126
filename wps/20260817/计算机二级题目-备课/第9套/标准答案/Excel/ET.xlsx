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 firstSheet="1" activeTab="1"/>
  </bookViews>
  <sheets>
    <sheet name="原始数据" sheetId="1" state="hidden" r:id="rId1"/>
    <sheet name="访客登记表" sheetId="2" r:id="rId2"/>
    <sheet name="统计" sheetId="4" r:id="rId3"/>
    <sheet name="分析" sheetId="5" r:id="rId4"/>
  </sheets>
  <calcPr calcId="144525"/>
  <pivotCaches>
    <pivotCache cacheId="0" r:id="rId5"/>
  </pivotCaches>
</workbook>
</file>

<file path=xl/comments1.xml><?xml version="1.0" encoding="utf-8"?>
<comments xmlns="http://schemas.openxmlformats.org/spreadsheetml/2006/main">
  <authors>
    <author>万涛</author>
  </authors>
  <commentList>
    <comment ref="F1" authorId="0">
      <text>
        <r>
          <rPr>
            <b/>
            <sz val="9"/>
            <rFont val="宋体"/>
            <charset val="134"/>
          </rPr>
          <t>注意:</t>
        </r>
        <r>
          <rPr>
            <sz val="9"/>
            <rFont val="宋体"/>
            <charset val="134"/>
          </rPr>
          <t xml:space="preserve">
请使用WPS预设的“常用公式”计算“性别”</t>
        </r>
      </text>
    </comment>
    <comment ref="G1" authorId="0">
      <text>
        <r>
          <rPr>
            <b/>
            <sz val="9"/>
            <rFont val="宋体"/>
            <charset val="134"/>
          </rPr>
          <t>注意:</t>
        </r>
        <r>
          <rPr>
            <sz val="9"/>
            <rFont val="宋体"/>
            <charset val="134"/>
          </rPr>
          <t xml:space="preserve">
请使用WPS预设的“常用公式”计算“出生日期”</t>
        </r>
      </text>
    </comment>
    <comment ref="H1" authorId="0">
      <text>
        <r>
          <rPr>
            <b/>
            <sz val="9"/>
            <rFont val="宋体"/>
            <charset val="134"/>
          </rPr>
          <t>注意:</t>
        </r>
        <r>
          <rPr>
            <sz val="9"/>
            <rFont val="宋体"/>
            <charset val="134"/>
          </rPr>
          <t xml:space="preserve">
请使用DATEDIF函数计算“周岁”，注意，请以B列“登记日期”为参照进行比较</t>
        </r>
      </text>
    </comment>
    <comment ref="P1" authorId="0">
      <text>
        <r>
          <rPr>
            <b/>
            <sz val="9"/>
            <rFont val="宋体"/>
            <charset val="134"/>
          </rPr>
          <t>提示:</t>
        </r>
        <r>
          <rPr>
            <sz val="9"/>
            <rFont val="宋体"/>
            <charset val="134"/>
          </rPr>
          <t xml:space="preserve">
体温&gt;37.3℃视为异常</t>
        </r>
      </text>
    </comment>
    <comment ref="Q1" authorId="0">
      <text>
        <r>
          <rPr>
            <b/>
            <sz val="9"/>
            <rFont val="宋体"/>
            <charset val="134"/>
          </rPr>
          <t>注意:</t>
        </r>
        <r>
          <rPr>
            <sz val="9"/>
            <rFont val="宋体"/>
            <charset val="134"/>
          </rPr>
          <t xml:space="preserve">
若【中高风险为“是”】或【行程码为“红”】或【体温“&gt;37.3”】则标记为“异常”，否则“正常”</t>
        </r>
      </text>
    </comment>
  </commentList>
</comments>
</file>

<file path=xl/sharedStrings.xml><?xml version="1.0" encoding="utf-8"?>
<sst xmlns="http://schemas.openxmlformats.org/spreadsheetml/2006/main" count="662" uniqueCount="171">
  <si>
    <t>序号</t>
  </si>
  <si>
    <t>登记日期</t>
  </si>
  <si>
    <t>姓名</t>
  </si>
  <si>
    <t>联系方式</t>
  </si>
  <si>
    <t>身份证号码</t>
  </si>
  <si>
    <t>来访时间</t>
  </si>
  <si>
    <t>离开时间</t>
  </si>
  <si>
    <t>来访事项</t>
  </si>
  <si>
    <t>出发地</t>
  </si>
  <si>
    <t>中高风险</t>
  </si>
  <si>
    <t>行程码</t>
  </si>
  <si>
    <t>体温</t>
  </si>
  <si>
    <t>戴宗</t>
  </si>
  <si>
    <t>321324200011074566</t>
  </si>
  <si>
    <t>公务</t>
  </si>
  <si>
    <t>江苏</t>
  </si>
  <si>
    <t>否</t>
  </si>
  <si>
    <t>绿色</t>
  </si>
  <si>
    <t>孟康</t>
  </si>
  <si>
    <t>230521196806219714</t>
  </si>
  <si>
    <t>黑龙江</t>
  </si>
  <si>
    <t>公孙胜</t>
  </si>
  <si>
    <t>460106198310045139</t>
  </si>
  <si>
    <t>活动</t>
  </si>
  <si>
    <t>海南</t>
  </si>
  <si>
    <t>凌振</t>
  </si>
  <si>
    <t>210214196402054534</t>
  </si>
  <si>
    <t>会议</t>
  </si>
  <si>
    <t>辽宁</t>
  </si>
  <si>
    <t>李逵</t>
  </si>
  <si>
    <t>500233196703197561</t>
  </si>
  <si>
    <t>重庆</t>
  </si>
  <si>
    <t>焦挺</t>
  </si>
  <si>
    <t>640522196311105136</t>
  </si>
  <si>
    <t>参观</t>
  </si>
  <si>
    <t>宁夏</t>
  </si>
  <si>
    <t>丁得孙</t>
  </si>
  <si>
    <t>640501198707026271</t>
  </si>
  <si>
    <t>鲁智深</t>
  </si>
  <si>
    <t>15222419840811016X</t>
  </si>
  <si>
    <t>内蒙古</t>
  </si>
  <si>
    <t>关胜</t>
  </si>
  <si>
    <t>623026199007132632</t>
  </si>
  <si>
    <t>甘肃</t>
  </si>
  <si>
    <t>黄信</t>
  </si>
  <si>
    <t>51140219890322602X</t>
  </si>
  <si>
    <t>四川</t>
  </si>
  <si>
    <t>卢俊义</t>
  </si>
  <si>
    <t>610702198901248136</t>
  </si>
  <si>
    <t>陕西</t>
  </si>
  <si>
    <t>马麟</t>
  </si>
  <si>
    <t>451301196405143144</t>
  </si>
  <si>
    <t>广西</t>
  </si>
  <si>
    <t>侯健</t>
  </si>
  <si>
    <t>350901196110184983</t>
  </si>
  <si>
    <t>福建</t>
  </si>
  <si>
    <t>陶宗旺</t>
  </si>
  <si>
    <t>513328196602082377</t>
  </si>
  <si>
    <t>李忠</t>
  </si>
  <si>
    <t>410423199608211214</t>
  </si>
  <si>
    <t>河南</t>
  </si>
  <si>
    <t>单廷珪</t>
  </si>
  <si>
    <t>654025199610121225</t>
  </si>
  <si>
    <t>新疆</t>
  </si>
  <si>
    <t>孔亮</t>
  </si>
  <si>
    <t>532922199710187900</t>
  </si>
  <si>
    <t>云南</t>
  </si>
  <si>
    <t>是</t>
  </si>
  <si>
    <t>穆弘</t>
  </si>
  <si>
    <t>410602198304209291</t>
  </si>
  <si>
    <t>蒋敬</t>
  </si>
  <si>
    <t>441701196505275873</t>
  </si>
  <si>
    <t>广东</t>
  </si>
  <si>
    <t>刘唐</t>
  </si>
  <si>
    <t>140108199604144944</t>
  </si>
  <si>
    <t>山西</t>
  </si>
  <si>
    <t>郭盛</t>
  </si>
  <si>
    <t>341103196801241594</t>
  </si>
  <si>
    <t>安徽</t>
  </si>
  <si>
    <t>段景住</t>
  </si>
  <si>
    <t>150105198809163880</t>
  </si>
  <si>
    <t>解珍</t>
  </si>
  <si>
    <t>430822196709049696</t>
  </si>
  <si>
    <t>湖南</t>
  </si>
  <si>
    <t>解宝</t>
  </si>
  <si>
    <t>130532199110207079</t>
  </si>
  <si>
    <t>河北</t>
  </si>
  <si>
    <t>穆春</t>
  </si>
  <si>
    <t>140725199704021262</t>
  </si>
  <si>
    <t>龚旺</t>
  </si>
  <si>
    <t>37162519620608074X</t>
  </si>
  <si>
    <t>山东</t>
  </si>
  <si>
    <t>秦明</t>
  </si>
  <si>
    <t>632222197807272833</t>
  </si>
  <si>
    <t>青海</t>
  </si>
  <si>
    <t>韩滔</t>
  </si>
  <si>
    <t>33078420000405614X</t>
  </si>
  <si>
    <t>浙江</t>
  </si>
  <si>
    <t>黄色</t>
  </si>
  <si>
    <t>花荣</t>
  </si>
  <si>
    <t>500101196409168608</t>
  </si>
  <si>
    <t>杜兴</t>
  </si>
  <si>
    <t>13028319690615200X</t>
  </si>
  <si>
    <t>雷横</t>
  </si>
  <si>
    <t>500116198510131563</t>
  </si>
  <si>
    <t>皇甫端</t>
  </si>
  <si>
    <t>140521199001253853</t>
  </si>
  <si>
    <t>蔡庆</t>
  </si>
  <si>
    <t>41132819820822756X</t>
  </si>
  <si>
    <t>金大坚</t>
  </si>
  <si>
    <t>370704199205214458</t>
  </si>
  <si>
    <t>郝思文</t>
  </si>
  <si>
    <t>610430199407228328</t>
  </si>
  <si>
    <t>宋江</t>
  </si>
  <si>
    <t>230921197611260684</t>
  </si>
  <si>
    <t>曹正</t>
  </si>
  <si>
    <t>220284198809053509</t>
  </si>
  <si>
    <t>吉林</t>
  </si>
  <si>
    <t>张青</t>
  </si>
  <si>
    <t>141031198304188325</t>
  </si>
  <si>
    <t>杜迁</t>
  </si>
  <si>
    <t>640181199003109225</t>
  </si>
  <si>
    <t>陈达</t>
  </si>
  <si>
    <t>441803198301180204</t>
  </si>
  <si>
    <t>欧鹏</t>
  </si>
  <si>
    <t>34100419731112311X</t>
  </si>
  <si>
    <t>彭玘</t>
  </si>
  <si>
    <t>140881197508050776</t>
  </si>
  <si>
    <t>柴进</t>
  </si>
  <si>
    <t>130130199309255073</t>
  </si>
  <si>
    <t>林冲</t>
  </si>
  <si>
    <t>532901199408270728</t>
  </si>
  <si>
    <t>红色</t>
  </si>
  <si>
    <t>吕方</t>
  </si>
  <si>
    <t>37162219700704790X</t>
  </si>
  <si>
    <t>董平</t>
  </si>
  <si>
    <t>130926198206210125</t>
  </si>
  <si>
    <t>李俊</t>
  </si>
  <si>
    <t>65432519871111144X</t>
  </si>
  <si>
    <t>邓飞</t>
  </si>
  <si>
    <t>410782198808227773</t>
  </si>
  <si>
    <t>呼延灼</t>
  </si>
  <si>
    <t>430482199410189131</t>
  </si>
  <si>
    <t>裴宣</t>
  </si>
  <si>
    <t>360722198803038446</t>
  </si>
  <si>
    <t>江西</t>
  </si>
  <si>
    <t>性别</t>
  </si>
  <si>
    <t>出生日期</t>
  </si>
  <si>
    <t>登记年龄</t>
  </si>
  <si>
    <t>来访时长</t>
  </si>
  <si>
    <t>状态</t>
  </si>
  <si>
    <t>321324199812024566</t>
  </si>
  <si>
    <t>绿</t>
  </si>
  <si>
    <t>红</t>
  </si>
  <si>
    <t xml:space="preserve">           来访事项
统计项目</t>
  </si>
  <si>
    <t>总计</t>
  </si>
  <si>
    <t>次数</t>
  </si>
  <si>
    <t>异常</t>
  </si>
  <si>
    <t>时长</t>
  </si>
  <si>
    <t>(全部)</t>
  </si>
  <si>
    <t>计数项:序号</t>
  </si>
  <si>
    <t>8时</t>
  </si>
  <si>
    <t>9时</t>
  </si>
  <si>
    <t>10时</t>
  </si>
  <si>
    <t>11时</t>
  </si>
  <si>
    <t>12时</t>
  </si>
  <si>
    <t>13时</t>
  </si>
  <si>
    <t>14时</t>
  </si>
  <si>
    <t>15时</t>
  </si>
  <si>
    <t>16时</t>
  </si>
  <si>
    <t>17时</t>
  </si>
</sst>
</file>

<file path=xl/styles.xml><?xml version="1.0" encoding="utf-8"?>
<styleSheet xmlns="http://schemas.openxmlformats.org/spreadsheetml/2006/main">
  <numFmts count="13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&quot;年&quot;mm&quot;月&quot;dd&quot;日&quot;;@"/>
    <numFmt numFmtId="177" formatCode="[m]&quot;分&quot;&quot;钟&quot;;@"/>
    <numFmt numFmtId="178" formatCode="General&quot;次&quot;"/>
    <numFmt numFmtId="179" formatCode="yyyy/mm/dd;@"/>
    <numFmt numFmtId="180" formatCode="[$-409]hh:mm\ AM/PM;@"/>
    <numFmt numFmtId="181" formatCode="h:mm;@"/>
    <numFmt numFmtId="182" formatCode="h&quot;时&quot;mm&quot;分&quot;;@"/>
    <numFmt numFmtId="183" formatCode="0.0_ "/>
    <numFmt numFmtId="184" formatCode="yyyy/m/d;@"/>
  </numFmts>
  <fonts count="23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9">
    <border>
      <left/>
      <right/>
      <top/>
      <bottom/>
      <diagonal/>
    </border>
    <border diagonalDown="1">
      <left style="thin">
        <color theme="8" tint="0.399975585192419"/>
      </left>
      <right style="thin">
        <color theme="8" tint="0.399975585192419"/>
      </right>
      <top style="thin">
        <color theme="8" tint="0.399975585192419"/>
      </top>
      <bottom style="thin">
        <color theme="8" tint="0.399975585192419"/>
      </bottom>
      <diagonal style="thin">
        <color theme="8" tint="0.399975585192419"/>
      </diagonal>
    </border>
    <border>
      <left style="thin">
        <color theme="8" tint="0.399975585192419"/>
      </left>
      <right style="thin">
        <color theme="8" tint="0.399975585192419"/>
      </right>
      <top style="thin">
        <color theme="8" tint="0.399975585192419"/>
      </top>
      <bottom style="thin">
        <color theme="8" tint="0.399975585192419"/>
      </bottom>
      <diagonal/>
    </border>
    <border>
      <left style="thin">
        <color theme="8" tint="0.399975585192419"/>
      </left>
      <right style="thin">
        <color theme="8" tint="0.399975585192419"/>
      </right>
      <top style="thin">
        <color theme="8" tint="0.399975585192419"/>
      </top>
      <bottom/>
      <diagonal/>
    </border>
    <border>
      <left style="thin">
        <color theme="8" tint="0.399975585192419"/>
      </left>
      <right style="thin">
        <color theme="8" tint="0.399975585192419"/>
      </right>
      <top/>
      <bottom style="thin">
        <color theme="8" tint="0.399975585192419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24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6" borderId="14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4" fillId="0" borderId="12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15" borderId="13" applyNumberFormat="0" applyAlignment="0" applyProtection="0">
      <alignment vertical="center"/>
    </xf>
    <xf numFmtId="0" fontId="18" fillId="15" borderId="17" applyNumberFormat="0" applyAlignment="0" applyProtection="0">
      <alignment vertical="center"/>
    </xf>
    <xf numFmtId="0" fontId="3" fillId="6" borderId="11" applyNumberForma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left" vertical="center"/>
    </xf>
    <xf numFmtId="0" fontId="0" fillId="3" borderId="2" xfId="0" applyFont="1" applyFill="1" applyBorder="1" applyAlignment="1">
      <alignment horizontal="left" vertical="center"/>
    </xf>
    <xf numFmtId="178" fontId="0" fillId="3" borderId="2" xfId="0" applyNumberFormat="1" applyFont="1" applyFill="1" applyBorder="1">
      <alignment vertical="center"/>
    </xf>
    <xf numFmtId="0" fontId="0" fillId="3" borderId="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178" fontId="0" fillId="0" borderId="2" xfId="0" applyNumberFormat="1" applyFont="1" applyFill="1" applyBorder="1">
      <alignment vertical="center"/>
    </xf>
    <xf numFmtId="177" fontId="0" fillId="3" borderId="2" xfId="0" applyNumberFormat="1" applyFont="1" applyFill="1" applyBorder="1">
      <alignment vertical="center"/>
    </xf>
    <xf numFmtId="177" fontId="0" fillId="0" borderId="2" xfId="0" applyNumberFormat="1" applyFont="1" applyFill="1" applyBorder="1">
      <alignment vertical="center"/>
    </xf>
    <xf numFmtId="176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0" fontId="1" fillId="2" borderId="5" xfId="0" applyFont="1" applyFill="1" applyBorder="1">
      <alignment vertical="center"/>
    </xf>
    <xf numFmtId="176" fontId="1" fillId="2" borderId="6" xfId="0" applyNumberFormat="1" applyFont="1" applyFill="1" applyBorder="1">
      <alignment vertical="center"/>
    </xf>
    <xf numFmtId="0" fontId="1" fillId="2" borderId="6" xfId="0" applyFont="1" applyFill="1" applyBorder="1">
      <alignment vertical="center"/>
    </xf>
    <xf numFmtId="179" fontId="1" fillId="2" borderId="6" xfId="0" applyNumberFormat="1" applyFont="1" applyFill="1" applyBorder="1">
      <alignment vertical="center"/>
    </xf>
    <xf numFmtId="0" fontId="0" fillId="0" borderId="7" xfId="0" applyFont="1" applyFill="1" applyBorder="1">
      <alignment vertical="center"/>
    </xf>
    <xf numFmtId="176" fontId="0" fillId="0" borderId="8" xfId="0" applyNumberFormat="1" applyFont="1" applyFill="1" applyBorder="1">
      <alignment vertical="center"/>
    </xf>
    <xf numFmtId="0" fontId="0" fillId="0" borderId="8" xfId="0" applyFont="1" applyFill="1" applyBorder="1">
      <alignment vertical="center"/>
    </xf>
    <xf numFmtId="179" fontId="0" fillId="0" borderId="8" xfId="0" applyNumberFormat="1" applyFont="1" applyFill="1" applyBorder="1">
      <alignment vertical="center"/>
    </xf>
    <xf numFmtId="180" fontId="1" fillId="2" borderId="6" xfId="0" applyNumberFormat="1" applyFont="1" applyFill="1" applyBorder="1">
      <alignment vertical="center"/>
    </xf>
    <xf numFmtId="182" fontId="1" fillId="2" borderId="6" xfId="0" applyNumberFormat="1" applyFont="1" applyFill="1" applyBorder="1">
      <alignment vertical="center"/>
    </xf>
    <xf numFmtId="183" fontId="1" fillId="2" borderId="6" xfId="0" applyNumberFormat="1" applyFont="1" applyFill="1" applyBorder="1">
      <alignment vertical="center"/>
    </xf>
    <xf numFmtId="180" fontId="0" fillId="0" borderId="8" xfId="0" applyNumberFormat="1" applyFont="1" applyFill="1" applyBorder="1">
      <alignment vertical="center"/>
    </xf>
    <xf numFmtId="182" fontId="0" fillId="0" borderId="8" xfId="0" applyNumberFormat="1" applyFont="1" applyFill="1" applyBorder="1">
      <alignment vertical="center"/>
    </xf>
    <xf numFmtId="183" fontId="0" fillId="0" borderId="8" xfId="0" applyNumberFormat="1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0" fillId="0" borderId="10" xfId="0" applyFont="1" applyFill="1" applyBorder="1">
      <alignment vertical="center"/>
    </xf>
    <xf numFmtId="184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[ET.xlsx]分析!数据透视表1</c:name>
    <c:fmtId val="0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分析!$B$3:$B$4</c:f>
              <c:strCache>
                <c:ptCount val="1"/>
                <c:pt idx="0">
                  <c:v>参观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分析!$A$5:$A$15</c:f>
              <c:strCache>
                <c:ptCount val="10"/>
                <c:pt idx="0">
                  <c:v>8时</c:v>
                </c:pt>
                <c:pt idx="1">
                  <c:v>9时</c:v>
                </c:pt>
                <c:pt idx="2">
                  <c:v>10时</c:v>
                </c:pt>
                <c:pt idx="3">
                  <c:v>11时</c:v>
                </c:pt>
                <c:pt idx="4">
                  <c:v>12时</c:v>
                </c:pt>
                <c:pt idx="5">
                  <c:v>13时</c:v>
                </c:pt>
                <c:pt idx="6">
                  <c:v>14时</c:v>
                </c:pt>
                <c:pt idx="7">
                  <c:v>15时</c:v>
                </c:pt>
                <c:pt idx="8">
                  <c:v>16时</c:v>
                </c:pt>
                <c:pt idx="9">
                  <c:v>17时</c:v>
                </c:pt>
              </c:strCache>
            </c:strRef>
          </c:cat>
          <c:val>
            <c:numRef>
              <c:f>分析!$B$5:$B$15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ser>
          <c:idx val="1"/>
          <c:order val="1"/>
          <c:tx>
            <c:strRef>
              <c:f>分析!$C$3:$C$4</c:f>
              <c:strCache>
                <c:ptCount val="1"/>
                <c:pt idx="0">
                  <c:v>公务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分析!$A$5:$A$15</c:f>
              <c:strCache>
                <c:ptCount val="10"/>
                <c:pt idx="0">
                  <c:v>8时</c:v>
                </c:pt>
                <c:pt idx="1">
                  <c:v>9时</c:v>
                </c:pt>
                <c:pt idx="2">
                  <c:v>10时</c:v>
                </c:pt>
                <c:pt idx="3">
                  <c:v>11时</c:v>
                </c:pt>
                <c:pt idx="4">
                  <c:v>12时</c:v>
                </c:pt>
                <c:pt idx="5">
                  <c:v>13时</c:v>
                </c:pt>
                <c:pt idx="6">
                  <c:v>14时</c:v>
                </c:pt>
                <c:pt idx="7">
                  <c:v>15时</c:v>
                </c:pt>
                <c:pt idx="8">
                  <c:v>16时</c:v>
                </c:pt>
                <c:pt idx="9">
                  <c:v>17时</c:v>
                </c:pt>
              </c:strCache>
            </c:strRef>
          </c:cat>
          <c:val>
            <c:numRef>
              <c:f>分析!$C$5:$C$15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9">
                  <c:v>2</c:v>
                </c:pt>
              </c:numCache>
            </c:numRef>
          </c:val>
        </c:ser>
        <c:ser>
          <c:idx val="2"/>
          <c:order val="2"/>
          <c:tx>
            <c:strRef>
              <c:f>分析!$D$3:$D$4</c:f>
              <c:strCache>
                <c:ptCount val="1"/>
                <c:pt idx="0">
                  <c:v>会议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分析!$A$5:$A$15</c:f>
              <c:strCache>
                <c:ptCount val="10"/>
                <c:pt idx="0">
                  <c:v>8时</c:v>
                </c:pt>
                <c:pt idx="1">
                  <c:v>9时</c:v>
                </c:pt>
                <c:pt idx="2">
                  <c:v>10时</c:v>
                </c:pt>
                <c:pt idx="3">
                  <c:v>11时</c:v>
                </c:pt>
                <c:pt idx="4">
                  <c:v>12时</c:v>
                </c:pt>
                <c:pt idx="5">
                  <c:v>13时</c:v>
                </c:pt>
                <c:pt idx="6">
                  <c:v>14时</c:v>
                </c:pt>
                <c:pt idx="7">
                  <c:v>15时</c:v>
                </c:pt>
                <c:pt idx="8">
                  <c:v>16时</c:v>
                </c:pt>
                <c:pt idx="9">
                  <c:v>17时</c:v>
                </c:pt>
              </c:strCache>
            </c:strRef>
          </c:cat>
          <c:val>
            <c:numRef>
              <c:f>分析!$D$5:$D$15</c:f>
              <c:numCache>
                <c:formatCode>General</c:formatCode>
                <c:ptCount val="10"/>
                <c:pt idx="1">
                  <c:v>5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</c:numCache>
            </c:numRef>
          </c:val>
        </c:ser>
        <c:ser>
          <c:idx val="3"/>
          <c:order val="3"/>
          <c:tx>
            <c:strRef>
              <c:f>分析!$E$3:$E$4</c:f>
              <c:strCache>
                <c:ptCount val="1"/>
                <c:pt idx="0">
                  <c:v>活动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分析!$A$5:$A$15</c:f>
              <c:strCache>
                <c:ptCount val="10"/>
                <c:pt idx="0">
                  <c:v>8时</c:v>
                </c:pt>
                <c:pt idx="1">
                  <c:v>9时</c:v>
                </c:pt>
                <c:pt idx="2">
                  <c:v>10时</c:v>
                </c:pt>
                <c:pt idx="3">
                  <c:v>11时</c:v>
                </c:pt>
                <c:pt idx="4">
                  <c:v>12时</c:v>
                </c:pt>
                <c:pt idx="5">
                  <c:v>13时</c:v>
                </c:pt>
                <c:pt idx="6">
                  <c:v>14时</c:v>
                </c:pt>
                <c:pt idx="7">
                  <c:v>15时</c:v>
                </c:pt>
                <c:pt idx="8">
                  <c:v>16时</c:v>
                </c:pt>
                <c:pt idx="9">
                  <c:v>17时</c:v>
                </c:pt>
              </c:strCache>
            </c:strRef>
          </c:cat>
          <c:val>
            <c:numRef>
              <c:f>分析!$E$5:$E$15</c:f>
              <c:numCache>
                <c:formatCode>General</c:formatCode>
                <c:ptCount val="10"/>
                <c:pt idx="1">
                  <c:v>1</c:v>
                </c:pt>
                <c:pt idx="2">
                  <c:v>2</c:v>
                </c:pt>
                <c:pt idx="8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533589762"/>
        <c:axId val="491132088"/>
      </c:barChart>
      <c:catAx>
        <c:axId val="5335897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1132088"/>
        <c:crosses val="autoZero"/>
        <c:auto val="1"/>
        <c:lblAlgn val="ctr"/>
        <c:lblOffset val="100"/>
        <c:noMultiLvlLbl val="0"/>
      </c:catAx>
      <c:valAx>
        <c:axId val="491132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5897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97790</xdr:colOff>
      <xdr:row>0</xdr:row>
      <xdr:rowOff>66040</xdr:rowOff>
    </xdr:from>
    <xdr:to>
      <xdr:col>14</xdr:col>
      <xdr:colOff>367030</xdr:colOff>
      <xdr:row>15</xdr:row>
      <xdr:rowOff>66040</xdr:rowOff>
    </xdr:to>
    <xdr:graphicFrame>
      <xdr:nvGraphicFramePr>
        <xdr:cNvPr id="2" name="图表 1"/>
        <xdr:cNvGraphicFramePr/>
      </xdr:nvGraphicFramePr>
      <xdr:xfrm>
        <a:off x="5756275" y="66040"/>
        <a:ext cx="4918710" cy="2571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19.9292476852" refreshedBy="小黑老师" recordCount="50">
  <cacheSource type="worksheet">
    <worksheetSource ref="A1:Q51" sheet="访客登记表"/>
  </cacheSource>
  <cacheFields count="17">
    <cacheField name="序号" numFmtId="0">
      <sharedItems containsSemiMixedTypes="0" containsString="0" containsNumber="1" containsInteger="1" minValue="0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登记日期" numFmtId="176">
      <sharedItems containsSemiMixedTypes="0" containsString="0" containsNonDate="0" containsDate="1" minDate="2021-12-01T00:00:00" maxDate="2021-12-31T00:00:00" count="31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</cacheField>
    <cacheField name="姓名" numFmtId="0">
      <sharedItems count="50">
        <s v="戴宗"/>
        <s v="孟康"/>
        <s v="公孙胜"/>
        <s v="凌振"/>
        <s v="李逵"/>
        <s v="焦挺"/>
        <s v="丁得孙"/>
        <s v="鲁智深"/>
        <s v="关胜"/>
        <s v="黄信"/>
        <s v="卢俊义"/>
        <s v="马麟"/>
        <s v="侯健"/>
        <s v="陶宗旺"/>
        <s v="李忠"/>
        <s v="单廷珪"/>
        <s v="孔亮"/>
        <s v="穆弘"/>
        <s v="蒋敬"/>
        <s v="刘唐"/>
        <s v="郭盛"/>
        <s v="段景住"/>
        <s v="解珍"/>
        <s v="解宝"/>
        <s v="穆春"/>
        <s v="龚旺"/>
        <s v="秦明"/>
        <s v="韩滔"/>
        <s v="花荣"/>
        <s v="杜兴"/>
        <s v="雷横"/>
        <s v="皇甫端"/>
        <s v="蔡庆"/>
        <s v="金大坚"/>
        <s v="郝思文"/>
        <s v="宋江"/>
        <s v="曹正"/>
        <s v="张青"/>
        <s v="杜迁"/>
        <s v="陈达"/>
        <s v="欧鹏"/>
        <s v="彭玘"/>
        <s v="柴进"/>
        <s v="林冲"/>
        <s v="吕方"/>
        <s v="董平"/>
        <s v="李俊"/>
        <s v="邓飞"/>
        <s v="呼延灼"/>
        <s v="裴宣"/>
      </sharedItems>
    </cacheField>
    <cacheField name="联系方式" numFmtId="0">
      <sharedItems containsSemiMixedTypes="0" containsString="0" containsNumber="1" containsInteger="1" minValue="0" maxValue="18983294429" count="50">
        <n v="18919740281"/>
        <n v="18017790961"/>
        <n v="13946452803"/>
        <n v="18922377085"/>
        <n v="18982673804"/>
        <n v="18374932202"/>
        <n v="13970900341"/>
        <n v="18363080059"/>
        <n v="18948664407"/>
        <n v="18375241082"/>
        <n v="18979423639"/>
        <n v="13530808253"/>
        <n v="18932425755"/>
        <n v="13963764813"/>
        <n v="13597820387"/>
        <n v="18963216477"/>
        <n v="18983294429"/>
        <n v="18031281009"/>
        <n v="13923911063"/>
        <n v="18980021633"/>
        <n v="13936987308"/>
        <n v="18070794929"/>
        <n v="18081575437"/>
        <n v="13951483411"/>
        <n v="18356691562"/>
        <n v="13953045850"/>
        <n v="18064012321"/>
        <n v="18981912821"/>
        <n v="13964897518"/>
        <n v="18310954137"/>
        <n v="13980010308"/>
        <n v="18034632148"/>
        <n v="18939051837"/>
        <n v="18970147497"/>
        <n v="18098676123"/>
        <n v="13575512011"/>
        <n v="18917985634"/>
        <n v="18098922345"/>
        <n v="13541644618"/>
        <n v="13929131117"/>
        <n v="18086484404"/>
        <n v="18910563581"/>
        <n v="13910540324"/>
        <n v="18399006720"/>
        <n v="18076867897"/>
        <n v="13965267961"/>
        <n v="18049626271"/>
        <n v="18057313680"/>
        <n v="13922279189"/>
        <n v="18964475696"/>
      </sharedItems>
    </cacheField>
    <cacheField name="身份证号码" numFmtId="0">
      <sharedItems count="50">
        <s v="321324199812024566"/>
        <s v="230521196806219714"/>
        <s v="460106198310045139"/>
        <s v="210214196402054534"/>
        <s v="500233196703197561"/>
        <s v="640522196311105136"/>
        <s v="640501198707026271"/>
        <s v="15222419840811016X"/>
        <s v="623026199007132632"/>
        <s v="51140219890322602X"/>
        <s v="610702198901248136"/>
        <s v="451301196405143144"/>
        <s v="350901196110184983"/>
        <s v="513328196602082377"/>
        <s v="410423199608211214"/>
        <s v="654025199610121225"/>
        <s v="532922199710187900"/>
        <s v="410602198304209291"/>
        <s v="441701196505275873"/>
        <s v="140108199604144944"/>
        <s v="341103196801241594"/>
        <s v="150105198809163880"/>
        <s v="430822196709049696"/>
        <s v="130532199110207079"/>
        <s v="140725199704021262"/>
        <s v="37162519620608074X"/>
        <s v="632222197807272833"/>
        <s v="33078420000405614X"/>
        <s v="500101196409168608"/>
        <s v="13028319690615200X"/>
        <s v="500116198510131563"/>
        <s v="140521199001253853"/>
        <s v="41132819820822756X"/>
        <s v="370704199205214458"/>
        <s v="610430199407228328"/>
        <s v="230921197611260684"/>
        <s v="220284198809053509"/>
        <s v="141031198304188325"/>
        <s v="640181199003109225"/>
        <s v="441803198301180204"/>
        <s v="34100419731112311X"/>
        <s v="140881197508050776"/>
        <s v="130130199309255073"/>
        <s v="532901199408270728"/>
        <s v="37162219700704790X"/>
        <s v="130926198206210125"/>
        <s v="65432519871111144X"/>
        <s v="410782198808227773"/>
        <s v="430482199410189131"/>
        <s v="360722198803038446"/>
      </sharedItems>
    </cacheField>
    <cacheField name="性别" numFmtId="0">
      <sharedItems count="2">
        <s v="女"/>
        <s v="男"/>
      </sharedItems>
    </cacheField>
    <cacheField name="出生日期" numFmtId="179">
      <sharedItems count="50">
        <s v="1998-12-02"/>
        <s v="1968-06-21"/>
        <s v="1983-10-04"/>
        <s v="1964-02-05"/>
        <s v="1967-03-19"/>
        <s v="1963-11-10"/>
        <s v="1987-07-02"/>
        <s v="1984-08-11"/>
        <s v="1990-07-13"/>
        <s v="1989-03-22"/>
        <s v="1989-01-24"/>
        <s v="1964-05-14"/>
        <s v="1961-10-18"/>
        <s v="1966-02-08"/>
        <s v="1996-08-21"/>
        <s v="1996-10-12"/>
        <s v="1997-10-18"/>
        <s v="1983-04-20"/>
        <s v="1965-05-27"/>
        <s v="1996-04-14"/>
        <s v="1968-01-24"/>
        <s v="1988-09-16"/>
        <s v="1967-09-04"/>
        <s v="1991-10-20"/>
        <s v="1997-04-02"/>
        <s v="1962-06-08"/>
        <s v="1978-07-27"/>
        <s v="2000-04-05"/>
        <s v="1964-09-16"/>
        <s v="1969-06-15"/>
        <s v="1985-10-13"/>
        <s v="1990-01-25"/>
        <s v="1982-08-22"/>
        <s v="1992-05-21"/>
        <s v="1994-07-22"/>
        <s v="1976-11-26"/>
        <s v="1988-09-05"/>
        <s v="1983-04-18"/>
        <s v="1990-03-10"/>
        <s v="1983-01-18"/>
        <s v="1973-11-12"/>
        <s v="1975-08-05"/>
        <s v="1993-09-25"/>
        <s v="1994-08-27"/>
        <s v="1970-07-04"/>
        <s v="1982-06-21"/>
        <s v="1987-11-11"/>
        <s v="1988-08-22"/>
        <s v="1994-10-18"/>
        <s v="1988-03-03"/>
      </sharedItems>
    </cacheField>
    <cacheField name="登记年龄" numFmtId="0">
      <sharedItems containsSemiMixedTypes="0" containsString="0" containsNumber="1" containsInteger="1" minValue="0" maxValue="60" count="30">
        <n v="22"/>
        <n v="53"/>
        <n v="38"/>
        <n v="57"/>
        <n v="54"/>
        <n v="58"/>
        <n v="34"/>
        <n v="37"/>
        <n v="31"/>
        <n v="32"/>
        <n v="60"/>
        <n v="55"/>
        <n v="25"/>
        <n v="24"/>
        <n v="56"/>
        <n v="33"/>
        <n v="30"/>
        <n v="59"/>
        <n v="43"/>
        <n v="21"/>
        <n v="52"/>
        <n v="36"/>
        <n v="39"/>
        <n v="29"/>
        <n v="27"/>
        <n v="45"/>
        <n v="48"/>
        <n v="46"/>
        <n v="28"/>
        <n v="51"/>
      </sharedItems>
    </cacheField>
    <cacheField name="来访时间" numFmtId="0">
      <sharedItems containsSemiMixedTypes="0" containsString="0" containsNonDate="0" containsDate="1" minDate="1899-12-30T08:34:00" maxDate="1899-12-30T17:32:00" count="44">
        <d v="1899-12-30T15:55:00"/>
        <d v="1899-12-30T08:34:00"/>
        <d v="1899-12-30T09:11:00"/>
        <d v="1899-12-30T10:43:00"/>
        <d v="1899-12-30T11:37:00"/>
        <d v="1899-12-30T14:08:00"/>
        <d v="1899-12-30T16:23:00"/>
        <d v="1899-12-30T15:52:00"/>
        <d v="1899-12-30T09:34:00"/>
        <d v="1899-12-30T10:02:00"/>
        <d v="1899-12-30T15:26:00"/>
        <d v="1899-12-30T16:20:00"/>
        <d v="1899-12-30T09:00:00"/>
        <d v="1899-12-30T11:20:00"/>
        <d v="1899-12-30T15:46:00"/>
        <d v="1899-12-30T10:35:00"/>
        <d v="1899-12-30T16:29:00"/>
        <d v="1899-12-30T08:40:00"/>
        <d v="1899-12-30T14:00:00"/>
        <d v="1899-12-30T11:10:00"/>
        <d v="1899-12-30T09:15:00"/>
        <d v="1899-12-30T10:30:00"/>
        <d v="1899-12-30T15:00:00"/>
        <d v="1899-12-30T17:00:00"/>
        <d v="1899-12-30T10:50:00"/>
        <d v="1899-12-30T08:45:00"/>
        <d v="1899-12-30T14:50:00"/>
        <d v="1899-12-30T16:22:00"/>
        <d v="1899-12-30T14:15:00"/>
        <d v="1899-12-30T12:30:00"/>
        <d v="1899-12-30T13:05:00"/>
        <d v="1899-12-30T15:05:00"/>
        <d v="1899-12-30T10:54:00"/>
        <d v="1899-12-30T15:35:00"/>
        <d v="1899-12-30T09:13:00"/>
        <d v="1899-12-30T09:40:00"/>
        <d v="1899-12-30T13:30:00"/>
        <d v="1899-12-30T14:29:00"/>
        <d v="1899-12-30T15:33:00"/>
        <d v="1899-12-30T16:00:00"/>
        <d v="1899-12-30T17:32:00"/>
        <d v="1899-12-30T09:50:00"/>
        <d v="1899-12-30T14:42:00"/>
        <d v="1899-12-30T15:34:00"/>
      </sharedItems>
      <fieldGroup base="8">
        <rangePr groupBy="hours" startDate="1899-12-30T08:34:00" endDate="1899-12-30T17:32:00" groupInterval="1"/>
        <groupItems count="26">
          <s v="&lt;1900/1/0"/>
          <s v="0时"/>
          <s v="1时"/>
          <s v="2时"/>
          <s v="3时"/>
          <s v="4时"/>
          <s v="5时"/>
          <s v="6时"/>
          <s v="7时"/>
          <s v="8时"/>
          <s v="9时"/>
          <s v="10时"/>
          <s v="11时"/>
          <s v="12时"/>
          <s v="13时"/>
          <s v="14时"/>
          <s v="15时"/>
          <s v="16时"/>
          <s v="17时"/>
          <s v="18时"/>
          <s v="19时"/>
          <s v="20时"/>
          <s v="21时"/>
          <s v="22时"/>
          <s v="23时"/>
          <s v="&gt;1900/1/0"/>
        </groupItems>
      </fieldGroup>
    </cacheField>
    <cacheField name="离开时间" numFmtId="180">
      <sharedItems containsSemiMixedTypes="0" containsString="0" containsNonDate="0" containsDate="1" minDate="1899-12-30T09:53:00" maxDate="1899-12-30T19:26:00" count="48">
        <d v="1899-12-30T18:51:00"/>
        <d v="1899-12-30T10:08:00"/>
        <d v="1899-12-30T14:13:00"/>
        <d v="1899-12-30T13:51:00"/>
        <d v="1899-12-30T17:59:00"/>
        <d v="1899-12-30T14:48:00"/>
        <d v="1899-12-30T18:50:00"/>
        <d v="1899-12-30T17:52:00"/>
        <d v="1899-12-30T16:19:00"/>
        <d v="1899-12-30T10:55:00"/>
        <d v="1899-12-30T18:09:00"/>
        <d v="1899-12-30T18:19:00"/>
        <d v="1899-12-30T10:45:00"/>
        <d v="1899-12-30T14:02:00"/>
        <d v="1899-12-30T17:44:00"/>
        <d v="1899-12-30T17:48:00"/>
        <d v="1899-12-30T11:13:00"/>
        <d v="1899-12-30T18:14:00"/>
        <d v="1899-12-30T11:27:00"/>
        <d v="1899-12-30T16:43:00"/>
        <d v="1899-12-30T12:11:00"/>
        <d v="1899-12-30T13:07:00"/>
        <d v="1899-12-30T18:21:00"/>
        <d v="1899-12-30T17:32:00"/>
        <d v="1899-12-30T15:01:00"/>
        <d v="1899-12-30T16:32:00"/>
        <d v="1899-12-30T18:46:00"/>
        <d v="1899-12-30T11:57:00"/>
        <d v="1899-12-30T12:43:00"/>
        <d v="1899-12-30T17:01:00"/>
        <d v="1899-12-30T17:37:00"/>
        <d v="1899-12-30T17:49:00"/>
        <d v="1899-12-30T17:25:00"/>
        <d v="1899-12-30T19:26:00"/>
        <d v="1899-12-30T16:14:00"/>
        <d v="1899-12-30T19:11:00"/>
        <d v="1899-12-30T17:24:00"/>
        <d v="1899-12-30T13:35:00"/>
        <d v="1899-12-30T12:01:00"/>
        <d v="1899-12-30T13:59:00"/>
        <d v="1899-12-30T16:11:00"/>
        <d v="1899-12-30T18:24:00"/>
        <d v="1899-12-30T18:35:00"/>
        <d v="1899-12-30T12:21:00"/>
        <d v="1899-12-30T17:54:00"/>
        <d v="1899-12-30T11:44:00"/>
        <d v="1899-12-30T17:02:00"/>
        <d v="1899-12-30T09:53:00"/>
      </sharedItems>
    </cacheField>
    <cacheField name="来访时长" numFmtId="182">
      <sharedItems containsSemiMixedTypes="0" containsString="0" containsNonDate="0" containsDate="1" minDate="1899-12-30T00:29:00" maxDate="1899-12-30T08:17:00" count="46">
        <d v="1899-12-30T02:56:00"/>
        <d v="1899-12-30T01:34:00"/>
        <d v="1899-12-30T05:02:00"/>
        <d v="1899-12-30T03:08:00"/>
        <d v="1899-12-30T06:22:00"/>
        <d v="1899-12-30T00:40:00"/>
        <d v="1899-12-30T02:27:00"/>
        <d v="1899-12-30T02:00:00"/>
        <d v="1899-12-30T06:45:00"/>
        <d v="1899-12-30T00:53:00"/>
        <d v="1899-12-30T02:43:00"/>
        <d v="1899-12-30T01:59:00"/>
        <d v="1899-12-30T01:45:00"/>
        <d v="1899-12-30T02:42:00"/>
        <d v="1899-12-30T01:21:00"/>
        <d v="1899-12-30T02:02:00"/>
        <d v="1899-12-30T00:38:00"/>
        <d v="1899-12-30T02:47:00"/>
        <d v="1899-12-30T01:01:00"/>
        <d v="1899-12-30T03:52:00"/>
        <d v="1899-12-30T07:22:00"/>
        <d v="1899-12-30T03:21:00"/>
        <d v="1899-12-30T00:32:00"/>
        <d v="1899-12-30T04:11:00"/>
        <d v="1899-12-30T07:32:00"/>
        <d v="1899-12-30T03:46:00"/>
        <d v="1899-12-30T03:12:00"/>
        <d v="1899-12-30T01:23:00"/>
        <d v="1899-12-30T02:11:00"/>
        <d v="1899-12-30T01:15:00"/>
        <d v="1899-12-30T03:34:00"/>
        <d v="1899-12-30T04:55:00"/>
        <d v="1899-12-30T06:21:00"/>
        <d v="1899-12-30T01:09:00"/>
        <d v="1899-12-30T08:17:00"/>
        <d v="1899-12-30T01:49:00"/>
        <d v="1899-12-30T04:22:00"/>
        <d v="1899-12-30T02:21:00"/>
        <d v="1899-12-30T00:29:00"/>
        <d v="1899-12-30T01:42:00"/>
        <d v="1899-12-30T02:51:00"/>
        <d v="1899-12-30T03:26:00"/>
        <d v="1899-12-30T01:03:00"/>
        <d v="1899-12-30T02:31:00"/>
        <d v="1899-12-30T00:34:00"/>
        <d v="1899-12-30T01:28:00"/>
      </sharedItems>
    </cacheField>
    <cacheField name="来访事项" numFmtId="0">
      <sharedItems count="4">
        <s v="公务"/>
        <s v="活动"/>
        <s v="会议"/>
        <s v="参观"/>
      </sharedItems>
    </cacheField>
    <cacheField name="出发地" numFmtId="0">
      <sharedItems count="25">
        <s v="江苏"/>
        <s v="黑龙江"/>
        <s v="海南"/>
        <s v="辽宁"/>
        <s v="重庆"/>
        <s v="宁夏"/>
        <s v="内蒙古"/>
        <s v="甘肃"/>
        <s v="四川"/>
        <s v="陕西"/>
        <s v="广西"/>
        <s v="福建"/>
        <s v="河南"/>
        <s v="新疆"/>
        <s v="云南"/>
        <s v="广东"/>
        <s v="山西"/>
        <s v="安徽"/>
        <s v="湖南"/>
        <s v="河北"/>
        <s v="山东"/>
        <s v="青海"/>
        <s v="浙江"/>
        <s v="吉林"/>
        <s v="江西"/>
      </sharedItems>
    </cacheField>
    <cacheField name="中高风险" numFmtId="0">
      <sharedItems count="2">
        <s v="否"/>
        <s v="是"/>
      </sharedItems>
    </cacheField>
    <cacheField name="行程码" numFmtId="0">
      <sharedItems count="2">
        <s v="绿"/>
        <s v="红"/>
      </sharedItems>
    </cacheField>
    <cacheField name="体温" numFmtId="183">
      <sharedItems containsSemiMixedTypes="0" containsString="0" containsNumber="1" minValue="0" maxValue="38.1" count="18">
        <n v="36"/>
        <n v="36.5"/>
        <n v="36.2"/>
        <n v="36.8"/>
        <n v="35.9"/>
        <n v="36.7"/>
        <n v="36.1"/>
        <n v="36.4"/>
        <n v="36.9"/>
        <n v="36.3"/>
        <n v="37.4"/>
        <n v="37"/>
        <n v="37.1"/>
        <n v="36.6"/>
        <n v="37.5"/>
        <n v="35.8"/>
        <n v="37.2"/>
        <n v="38.1"/>
      </sharedItems>
    </cacheField>
    <cacheField name="状态" numFmtId="0">
      <sharedItems count="2">
        <s v="正常"/>
        <s v="异常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0"/>
    <x v="1"/>
    <x v="0"/>
    <x v="0"/>
    <x v="1"/>
    <x v="0"/>
  </r>
  <r>
    <x v="2"/>
    <x v="2"/>
    <x v="2"/>
    <x v="2"/>
    <x v="2"/>
    <x v="1"/>
    <x v="2"/>
    <x v="2"/>
    <x v="2"/>
    <x v="2"/>
    <x v="2"/>
    <x v="1"/>
    <x v="2"/>
    <x v="0"/>
    <x v="0"/>
    <x v="2"/>
    <x v="0"/>
  </r>
  <r>
    <x v="3"/>
    <x v="2"/>
    <x v="3"/>
    <x v="3"/>
    <x v="3"/>
    <x v="1"/>
    <x v="3"/>
    <x v="3"/>
    <x v="3"/>
    <x v="3"/>
    <x v="3"/>
    <x v="2"/>
    <x v="3"/>
    <x v="0"/>
    <x v="0"/>
    <x v="3"/>
    <x v="0"/>
  </r>
  <r>
    <x v="4"/>
    <x v="3"/>
    <x v="4"/>
    <x v="4"/>
    <x v="4"/>
    <x v="0"/>
    <x v="4"/>
    <x v="4"/>
    <x v="4"/>
    <x v="4"/>
    <x v="4"/>
    <x v="0"/>
    <x v="4"/>
    <x v="0"/>
    <x v="0"/>
    <x v="4"/>
    <x v="0"/>
  </r>
  <r>
    <x v="5"/>
    <x v="3"/>
    <x v="5"/>
    <x v="5"/>
    <x v="5"/>
    <x v="1"/>
    <x v="5"/>
    <x v="5"/>
    <x v="5"/>
    <x v="5"/>
    <x v="5"/>
    <x v="3"/>
    <x v="5"/>
    <x v="0"/>
    <x v="0"/>
    <x v="5"/>
    <x v="0"/>
  </r>
  <r>
    <x v="6"/>
    <x v="3"/>
    <x v="6"/>
    <x v="6"/>
    <x v="6"/>
    <x v="1"/>
    <x v="6"/>
    <x v="6"/>
    <x v="6"/>
    <x v="6"/>
    <x v="6"/>
    <x v="1"/>
    <x v="5"/>
    <x v="0"/>
    <x v="0"/>
    <x v="0"/>
    <x v="0"/>
  </r>
  <r>
    <x v="7"/>
    <x v="3"/>
    <x v="7"/>
    <x v="7"/>
    <x v="7"/>
    <x v="0"/>
    <x v="7"/>
    <x v="7"/>
    <x v="7"/>
    <x v="7"/>
    <x v="7"/>
    <x v="3"/>
    <x v="6"/>
    <x v="0"/>
    <x v="0"/>
    <x v="6"/>
    <x v="0"/>
  </r>
  <r>
    <x v="8"/>
    <x v="4"/>
    <x v="8"/>
    <x v="8"/>
    <x v="8"/>
    <x v="1"/>
    <x v="8"/>
    <x v="8"/>
    <x v="8"/>
    <x v="8"/>
    <x v="8"/>
    <x v="2"/>
    <x v="7"/>
    <x v="0"/>
    <x v="0"/>
    <x v="7"/>
    <x v="0"/>
  </r>
  <r>
    <x v="9"/>
    <x v="5"/>
    <x v="9"/>
    <x v="9"/>
    <x v="9"/>
    <x v="0"/>
    <x v="9"/>
    <x v="9"/>
    <x v="9"/>
    <x v="9"/>
    <x v="9"/>
    <x v="0"/>
    <x v="8"/>
    <x v="0"/>
    <x v="0"/>
    <x v="8"/>
    <x v="0"/>
  </r>
  <r>
    <x v="10"/>
    <x v="6"/>
    <x v="10"/>
    <x v="10"/>
    <x v="10"/>
    <x v="1"/>
    <x v="10"/>
    <x v="9"/>
    <x v="10"/>
    <x v="10"/>
    <x v="10"/>
    <x v="2"/>
    <x v="9"/>
    <x v="0"/>
    <x v="0"/>
    <x v="9"/>
    <x v="0"/>
  </r>
  <r>
    <x v="11"/>
    <x v="6"/>
    <x v="11"/>
    <x v="11"/>
    <x v="11"/>
    <x v="0"/>
    <x v="11"/>
    <x v="3"/>
    <x v="11"/>
    <x v="11"/>
    <x v="11"/>
    <x v="1"/>
    <x v="10"/>
    <x v="0"/>
    <x v="0"/>
    <x v="10"/>
    <x v="1"/>
  </r>
  <r>
    <x v="12"/>
    <x v="7"/>
    <x v="12"/>
    <x v="12"/>
    <x v="12"/>
    <x v="0"/>
    <x v="12"/>
    <x v="10"/>
    <x v="12"/>
    <x v="12"/>
    <x v="12"/>
    <x v="0"/>
    <x v="11"/>
    <x v="0"/>
    <x v="0"/>
    <x v="11"/>
    <x v="0"/>
  </r>
  <r>
    <x v="13"/>
    <x v="7"/>
    <x v="13"/>
    <x v="13"/>
    <x v="13"/>
    <x v="1"/>
    <x v="13"/>
    <x v="11"/>
    <x v="13"/>
    <x v="13"/>
    <x v="13"/>
    <x v="0"/>
    <x v="8"/>
    <x v="0"/>
    <x v="0"/>
    <x v="1"/>
    <x v="0"/>
  </r>
  <r>
    <x v="14"/>
    <x v="8"/>
    <x v="14"/>
    <x v="14"/>
    <x v="14"/>
    <x v="1"/>
    <x v="14"/>
    <x v="12"/>
    <x v="6"/>
    <x v="14"/>
    <x v="14"/>
    <x v="3"/>
    <x v="12"/>
    <x v="0"/>
    <x v="0"/>
    <x v="9"/>
    <x v="0"/>
  </r>
  <r>
    <x v="15"/>
    <x v="9"/>
    <x v="15"/>
    <x v="15"/>
    <x v="15"/>
    <x v="0"/>
    <x v="15"/>
    <x v="12"/>
    <x v="14"/>
    <x v="15"/>
    <x v="15"/>
    <x v="2"/>
    <x v="13"/>
    <x v="0"/>
    <x v="0"/>
    <x v="3"/>
    <x v="0"/>
  </r>
  <r>
    <x v="16"/>
    <x v="10"/>
    <x v="16"/>
    <x v="16"/>
    <x v="16"/>
    <x v="0"/>
    <x v="16"/>
    <x v="13"/>
    <x v="15"/>
    <x v="16"/>
    <x v="16"/>
    <x v="3"/>
    <x v="14"/>
    <x v="1"/>
    <x v="0"/>
    <x v="4"/>
    <x v="1"/>
  </r>
  <r>
    <x v="17"/>
    <x v="10"/>
    <x v="17"/>
    <x v="17"/>
    <x v="17"/>
    <x v="1"/>
    <x v="17"/>
    <x v="2"/>
    <x v="16"/>
    <x v="17"/>
    <x v="12"/>
    <x v="2"/>
    <x v="12"/>
    <x v="0"/>
    <x v="0"/>
    <x v="8"/>
    <x v="0"/>
  </r>
  <r>
    <x v="18"/>
    <x v="11"/>
    <x v="18"/>
    <x v="18"/>
    <x v="18"/>
    <x v="1"/>
    <x v="18"/>
    <x v="14"/>
    <x v="17"/>
    <x v="18"/>
    <x v="17"/>
    <x v="3"/>
    <x v="15"/>
    <x v="0"/>
    <x v="0"/>
    <x v="12"/>
    <x v="0"/>
  </r>
  <r>
    <x v="19"/>
    <x v="11"/>
    <x v="19"/>
    <x v="19"/>
    <x v="19"/>
    <x v="0"/>
    <x v="19"/>
    <x v="12"/>
    <x v="18"/>
    <x v="19"/>
    <x v="10"/>
    <x v="2"/>
    <x v="16"/>
    <x v="0"/>
    <x v="0"/>
    <x v="12"/>
    <x v="0"/>
  </r>
  <r>
    <x v="20"/>
    <x v="12"/>
    <x v="20"/>
    <x v="20"/>
    <x v="20"/>
    <x v="1"/>
    <x v="20"/>
    <x v="1"/>
    <x v="19"/>
    <x v="20"/>
    <x v="18"/>
    <x v="0"/>
    <x v="17"/>
    <x v="0"/>
    <x v="0"/>
    <x v="13"/>
    <x v="0"/>
  </r>
  <r>
    <x v="21"/>
    <x v="13"/>
    <x v="21"/>
    <x v="21"/>
    <x v="21"/>
    <x v="0"/>
    <x v="21"/>
    <x v="15"/>
    <x v="20"/>
    <x v="21"/>
    <x v="19"/>
    <x v="2"/>
    <x v="6"/>
    <x v="0"/>
    <x v="0"/>
    <x v="4"/>
    <x v="0"/>
  </r>
  <r>
    <x v="22"/>
    <x v="14"/>
    <x v="22"/>
    <x v="22"/>
    <x v="22"/>
    <x v="1"/>
    <x v="22"/>
    <x v="4"/>
    <x v="21"/>
    <x v="7"/>
    <x v="20"/>
    <x v="1"/>
    <x v="18"/>
    <x v="0"/>
    <x v="0"/>
    <x v="2"/>
    <x v="0"/>
  </r>
  <r>
    <x v="23"/>
    <x v="14"/>
    <x v="23"/>
    <x v="23"/>
    <x v="23"/>
    <x v="1"/>
    <x v="23"/>
    <x v="16"/>
    <x v="22"/>
    <x v="22"/>
    <x v="21"/>
    <x v="2"/>
    <x v="19"/>
    <x v="0"/>
    <x v="0"/>
    <x v="13"/>
    <x v="0"/>
  </r>
  <r>
    <x v="24"/>
    <x v="15"/>
    <x v="24"/>
    <x v="24"/>
    <x v="24"/>
    <x v="0"/>
    <x v="24"/>
    <x v="13"/>
    <x v="23"/>
    <x v="23"/>
    <x v="22"/>
    <x v="0"/>
    <x v="16"/>
    <x v="0"/>
    <x v="0"/>
    <x v="0"/>
    <x v="0"/>
  </r>
  <r>
    <x v="25"/>
    <x v="16"/>
    <x v="25"/>
    <x v="25"/>
    <x v="25"/>
    <x v="0"/>
    <x v="25"/>
    <x v="17"/>
    <x v="24"/>
    <x v="24"/>
    <x v="23"/>
    <x v="0"/>
    <x v="20"/>
    <x v="0"/>
    <x v="0"/>
    <x v="6"/>
    <x v="0"/>
  </r>
  <r>
    <x v="26"/>
    <x v="17"/>
    <x v="26"/>
    <x v="26"/>
    <x v="26"/>
    <x v="1"/>
    <x v="26"/>
    <x v="18"/>
    <x v="12"/>
    <x v="25"/>
    <x v="24"/>
    <x v="2"/>
    <x v="21"/>
    <x v="0"/>
    <x v="0"/>
    <x v="11"/>
    <x v="0"/>
  </r>
  <r>
    <x v="27"/>
    <x v="17"/>
    <x v="27"/>
    <x v="27"/>
    <x v="27"/>
    <x v="0"/>
    <x v="27"/>
    <x v="19"/>
    <x v="22"/>
    <x v="26"/>
    <x v="25"/>
    <x v="2"/>
    <x v="22"/>
    <x v="1"/>
    <x v="1"/>
    <x v="2"/>
    <x v="1"/>
  </r>
  <r>
    <x v="28"/>
    <x v="18"/>
    <x v="28"/>
    <x v="28"/>
    <x v="28"/>
    <x v="0"/>
    <x v="28"/>
    <x v="3"/>
    <x v="25"/>
    <x v="27"/>
    <x v="26"/>
    <x v="3"/>
    <x v="4"/>
    <x v="0"/>
    <x v="0"/>
    <x v="5"/>
    <x v="0"/>
  </r>
  <r>
    <x v="29"/>
    <x v="18"/>
    <x v="29"/>
    <x v="29"/>
    <x v="29"/>
    <x v="0"/>
    <x v="29"/>
    <x v="20"/>
    <x v="13"/>
    <x v="28"/>
    <x v="27"/>
    <x v="0"/>
    <x v="19"/>
    <x v="0"/>
    <x v="0"/>
    <x v="0"/>
    <x v="0"/>
  </r>
  <r>
    <x v="30"/>
    <x v="18"/>
    <x v="30"/>
    <x v="30"/>
    <x v="30"/>
    <x v="0"/>
    <x v="30"/>
    <x v="21"/>
    <x v="26"/>
    <x v="29"/>
    <x v="28"/>
    <x v="0"/>
    <x v="4"/>
    <x v="0"/>
    <x v="0"/>
    <x v="14"/>
    <x v="1"/>
  </r>
  <r>
    <x v="31"/>
    <x v="19"/>
    <x v="31"/>
    <x v="31"/>
    <x v="31"/>
    <x v="1"/>
    <x v="31"/>
    <x v="8"/>
    <x v="27"/>
    <x v="30"/>
    <x v="29"/>
    <x v="2"/>
    <x v="16"/>
    <x v="0"/>
    <x v="0"/>
    <x v="4"/>
    <x v="0"/>
  </r>
  <r>
    <x v="32"/>
    <x v="20"/>
    <x v="32"/>
    <x v="32"/>
    <x v="32"/>
    <x v="0"/>
    <x v="32"/>
    <x v="22"/>
    <x v="28"/>
    <x v="31"/>
    <x v="30"/>
    <x v="0"/>
    <x v="12"/>
    <x v="0"/>
    <x v="0"/>
    <x v="8"/>
    <x v="0"/>
  </r>
  <r>
    <x v="33"/>
    <x v="21"/>
    <x v="33"/>
    <x v="33"/>
    <x v="33"/>
    <x v="1"/>
    <x v="33"/>
    <x v="23"/>
    <x v="29"/>
    <x v="32"/>
    <x v="31"/>
    <x v="2"/>
    <x v="20"/>
    <x v="0"/>
    <x v="0"/>
    <x v="8"/>
    <x v="0"/>
  </r>
  <r>
    <x v="34"/>
    <x v="22"/>
    <x v="34"/>
    <x v="34"/>
    <x v="34"/>
    <x v="0"/>
    <x v="34"/>
    <x v="24"/>
    <x v="30"/>
    <x v="33"/>
    <x v="32"/>
    <x v="2"/>
    <x v="9"/>
    <x v="0"/>
    <x v="0"/>
    <x v="5"/>
    <x v="0"/>
  </r>
  <r>
    <x v="35"/>
    <x v="22"/>
    <x v="35"/>
    <x v="35"/>
    <x v="35"/>
    <x v="0"/>
    <x v="35"/>
    <x v="25"/>
    <x v="31"/>
    <x v="34"/>
    <x v="33"/>
    <x v="0"/>
    <x v="1"/>
    <x v="0"/>
    <x v="0"/>
    <x v="3"/>
    <x v="0"/>
  </r>
  <r>
    <x v="36"/>
    <x v="23"/>
    <x v="36"/>
    <x v="36"/>
    <x v="36"/>
    <x v="0"/>
    <x v="36"/>
    <x v="15"/>
    <x v="32"/>
    <x v="35"/>
    <x v="34"/>
    <x v="1"/>
    <x v="23"/>
    <x v="0"/>
    <x v="0"/>
    <x v="15"/>
    <x v="0"/>
  </r>
  <r>
    <x v="37"/>
    <x v="23"/>
    <x v="37"/>
    <x v="37"/>
    <x v="37"/>
    <x v="0"/>
    <x v="37"/>
    <x v="2"/>
    <x v="33"/>
    <x v="36"/>
    <x v="35"/>
    <x v="0"/>
    <x v="16"/>
    <x v="0"/>
    <x v="0"/>
    <x v="16"/>
    <x v="0"/>
  </r>
  <r>
    <x v="38"/>
    <x v="24"/>
    <x v="38"/>
    <x v="38"/>
    <x v="38"/>
    <x v="0"/>
    <x v="38"/>
    <x v="8"/>
    <x v="34"/>
    <x v="37"/>
    <x v="36"/>
    <x v="2"/>
    <x v="5"/>
    <x v="0"/>
    <x v="0"/>
    <x v="3"/>
    <x v="0"/>
  </r>
  <r>
    <x v="39"/>
    <x v="24"/>
    <x v="39"/>
    <x v="39"/>
    <x v="39"/>
    <x v="0"/>
    <x v="39"/>
    <x v="2"/>
    <x v="35"/>
    <x v="38"/>
    <x v="37"/>
    <x v="2"/>
    <x v="15"/>
    <x v="0"/>
    <x v="0"/>
    <x v="5"/>
    <x v="0"/>
  </r>
  <r>
    <x v="40"/>
    <x v="25"/>
    <x v="40"/>
    <x v="40"/>
    <x v="40"/>
    <x v="1"/>
    <x v="40"/>
    <x v="26"/>
    <x v="36"/>
    <x v="39"/>
    <x v="38"/>
    <x v="0"/>
    <x v="17"/>
    <x v="0"/>
    <x v="0"/>
    <x v="6"/>
    <x v="0"/>
  </r>
  <r>
    <x v="41"/>
    <x v="25"/>
    <x v="41"/>
    <x v="41"/>
    <x v="41"/>
    <x v="1"/>
    <x v="41"/>
    <x v="27"/>
    <x v="37"/>
    <x v="40"/>
    <x v="39"/>
    <x v="0"/>
    <x v="16"/>
    <x v="0"/>
    <x v="0"/>
    <x v="1"/>
    <x v="0"/>
  </r>
  <r>
    <x v="42"/>
    <x v="26"/>
    <x v="42"/>
    <x v="42"/>
    <x v="42"/>
    <x v="1"/>
    <x v="42"/>
    <x v="28"/>
    <x v="38"/>
    <x v="41"/>
    <x v="40"/>
    <x v="2"/>
    <x v="19"/>
    <x v="0"/>
    <x v="0"/>
    <x v="16"/>
    <x v="0"/>
  </r>
  <r>
    <x v="43"/>
    <x v="27"/>
    <x v="43"/>
    <x v="43"/>
    <x v="43"/>
    <x v="0"/>
    <x v="43"/>
    <x v="24"/>
    <x v="39"/>
    <x v="33"/>
    <x v="41"/>
    <x v="2"/>
    <x v="14"/>
    <x v="1"/>
    <x v="1"/>
    <x v="17"/>
    <x v="1"/>
  </r>
  <r>
    <x v="44"/>
    <x v="27"/>
    <x v="44"/>
    <x v="44"/>
    <x v="44"/>
    <x v="0"/>
    <x v="44"/>
    <x v="29"/>
    <x v="40"/>
    <x v="42"/>
    <x v="42"/>
    <x v="0"/>
    <x v="20"/>
    <x v="0"/>
    <x v="0"/>
    <x v="6"/>
    <x v="0"/>
  </r>
  <r>
    <x v="45"/>
    <x v="28"/>
    <x v="45"/>
    <x v="45"/>
    <x v="45"/>
    <x v="0"/>
    <x v="45"/>
    <x v="22"/>
    <x v="41"/>
    <x v="43"/>
    <x v="43"/>
    <x v="3"/>
    <x v="19"/>
    <x v="0"/>
    <x v="0"/>
    <x v="7"/>
    <x v="0"/>
  </r>
  <r>
    <x v="46"/>
    <x v="28"/>
    <x v="46"/>
    <x v="46"/>
    <x v="46"/>
    <x v="0"/>
    <x v="46"/>
    <x v="6"/>
    <x v="42"/>
    <x v="44"/>
    <x v="26"/>
    <x v="2"/>
    <x v="13"/>
    <x v="0"/>
    <x v="0"/>
    <x v="6"/>
    <x v="0"/>
  </r>
  <r>
    <x v="47"/>
    <x v="29"/>
    <x v="47"/>
    <x v="47"/>
    <x v="47"/>
    <x v="1"/>
    <x v="47"/>
    <x v="15"/>
    <x v="19"/>
    <x v="45"/>
    <x v="44"/>
    <x v="0"/>
    <x v="12"/>
    <x v="0"/>
    <x v="0"/>
    <x v="14"/>
    <x v="1"/>
  </r>
  <r>
    <x v="48"/>
    <x v="29"/>
    <x v="48"/>
    <x v="48"/>
    <x v="48"/>
    <x v="1"/>
    <x v="48"/>
    <x v="24"/>
    <x v="43"/>
    <x v="46"/>
    <x v="45"/>
    <x v="0"/>
    <x v="18"/>
    <x v="0"/>
    <x v="0"/>
    <x v="15"/>
    <x v="0"/>
  </r>
  <r>
    <x v="49"/>
    <x v="30"/>
    <x v="49"/>
    <x v="49"/>
    <x v="49"/>
    <x v="0"/>
    <x v="49"/>
    <x v="15"/>
    <x v="12"/>
    <x v="47"/>
    <x v="9"/>
    <x v="0"/>
    <x v="24"/>
    <x v="0"/>
    <x v="0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F15" firstHeaderRow="1" firstDataRow="2" firstDataCol="1" rowPageCount="1" colPageCount="1"/>
  <pivotFields count="17">
    <pivotField dataField="1"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numFmtId="176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numFmtId="18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numFmtId="180" showAll="0"/>
    <pivotField compact="0" numFmtId="182" showAll="0"/>
    <pivotField axis="axisCol" compact="0" showAll="0">
      <items count="5">
        <item x="3"/>
        <item x="0"/>
        <item x="2"/>
        <item x="1"/>
        <item t="default"/>
      </items>
    </pivotField>
    <pivotField compact="0" showAll="0"/>
    <pivotField compact="0" showAll="0"/>
    <pivotField compact="0" showAll="0"/>
    <pivotField compact="0" numFmtId="183" showAll="0"/>
    <pivotField axis="axisPage" compact="0" showAll="0">
      <items count="3">
        <item x="1"/>
        <item x="0"/>
        <item t="default"/>
      </items>
    </pivotField>
  </pivotFields>
  <rowFields count="1">
    <field x="8"/>
  </rowFields>
  <rowItems count="11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pageFields count="1">
    <pageField fld="16"/>
  </pageFields>
  <dataFields count="1">
    <dataField name="计数项:序号" fld="0" subtotal="count" baseField="0" baseItem="0"/>
  </dataFields>
  <pivotTableStyleInfo name="PivotStyleMedium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selection activeCell="H4" sqref="H4"/>
    </sheetView>
  </sheetViews>
  <sheetFormatPr defaultColWidth="8.71666666666667" defaultRowHeight="13.5"/>
  <cols>
    <col min="1" max="1" width="5.54166666666667" customWidth="1"/>
    <col min="2" max="2" width="11.8166666666667" style="33" customWidth="1"/>
    <col min="3" max="3" width="7.54166666666667" customWidth="1"/>
    <col min="4" max="4" width="12.8166666666667" customWidth="1"/>
    <col min="5" max="5" width="20.8166666666667" customWidth="1"/>
    <col min="6" max="7" width="9.54166666666667" style="34" customWidth="1"/>
    <col min="8" max="8" width="9.54166666666667" customWidth="1"/>
    <col min="9" max="9" width="7.54166666666667" customWidth="1"/>
    <col min="10" max="10" width="9.54166666666667" customWidth="1"/>
    <col min="11" max="11" width="7.54166666666667" customWidth="1"/>
    <col min="12" max="12" width="5.54166666666667" customWidth="1"/>
  </cols>
  <sheetData>
    <row r="1" spans="1:12">
      <c r="A1" t="s">
        <v>0</v>
      </c>
      <c r="B1" s="33" t="s">
        <v>1</v>
      </c>
      <c r="C1" t="s">
        <v>2</v>
      </c>
      <c r="D1" t="s">
        <v>3</v>
      </c>
      <c r="E1" t="s">
        <v>4</v>
      </c>
      <c r="F1" s="34" t="s">
        <v>5</v>
      </c>
      <c r="G1" s="34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s="33">
        <v>44531</v>
      </c>
      <c r="C2" t="s">
        <v>12</v>
      </c>
      <c r="D2">
        <v>18919740281</v>
      </c>
      <c r="E2" s="35" t="s">
        <v>13</v>
      </c>
      <c r="F2" s="34">
        <v>0.356944444444444</v>
      </c>
      <c r="G2" s="34">
        <v>0.422222222222222</v>
      </c>
      <c r="H2" t="s">
        <v>14</v>
      </c>
      <c r="I2" t="s">
        <v>15</v>
      </c>
      <c r="J2" t="s">
        <v>16</v>
      </c>
      <c r="K2" t="s">
        <v>17</v>
      </c>
      <c r="L2">
        <v>36.2</v>
      </c>
    </row>
    <row r="3" spans="1:12">
      <c r="A3">
        <v>2</v>
      </c>
      <c r="B3" s="33">
        <v>44532</v>
      </c>
      <c r="C3" t="s">
        <v>18</v>
      </c>
      <c r="D3">
        <v>18017790961</v>
      </c>
      <c r="E3" t="s">
        <v>19</v>
      </c>
      <c r="F3" s="34">
        <v>0.663194444444444</v>
      </c>
      <c r="G3" s="34">
        <v>0.785416666666666</v>
      </c>
      <c r="H3" t="s">
        <v>14</v>
      </c>
      <c r="I3" t="s">
        <v>20</v>
      </c>
      <c r="J3" t="s">
        <v>16</v>
      </c>
      <c r="K3" t="s">
        <v>17</v>
      </c>
      <c r="L3">
        <v>36.5</v>
      </c>
    </row>
    <row r="4" spans="1:12">
      <c r="A4">
        <v>3</v>
      </c>
      <c r="B4" s="33">
        <v>44533</v>
      </c>
      <c r="C4" t="s">
        <v>21</v>
      </c>
      <c r="D4">
        <v>13946452803</v>
      </c>
      <c r="E4" t="s">
        <v>22</v>
      </c>
      <c r="F4" s="34">
        <v>0.382638888888889</v>
      </c>
      <c r="G4" s="34">
        <v>0.592361111111111</v>
      </c>
      <c r="H4" t="s">
        <v>23</v>
      </c>
      <c r="I4" t="s">
        <v>24</v>
      </c>
      <c r="J4" t="s">
        <v>16</v>
      </c>
      <c r="K4" t="s">
        <v>17</v>
      </c>
      <c r="L4">
        <v>36.2</v>
      </c>
    </row>
    <row r="5" spans="1:12">
      <c r="A5">
        <v>4</v>
      </c>
      <c r="B5" s="33">
        <v>44533</v>
      </c>
      <c r="C5" t="s">
        <v>25</v>
      </c>
      <c r="D5">
        <v>18922377085</v>
      </c>
      <c r="E5" t="s">
        <v>26</v>
      </c>
      <c r="F5" s="34">
        <v>0.446527777777778</v>
      </c>
      <c r="G5" s="34">
        <v>0.577083333333334</v>
      </c>
      <c r="H5" t="s">
        <v>27</v>
      </c>
      <c r="I5" t="s">
        <v>28</v>
      </c>
      <c r="J5" t="s">
        <v>16</v>
      </c>
      <c r="K5" t="s">
        <v>17</v>
      </c>
      <c r="L5">
        <v>36.8</v>
      </c>
    </row>
    <row r="6" spans="1:12">
      <c r="A6">
        <v>5</v>
      </c>
      <c r="B6" s="33">
        <v>44534</v>
      </c>
      <c r="C6" t="s">
        <v>29</v>
      </c>
      <c r="D6">
        <v>18982673804</v>
      </c>
      <c r="E6" t="s">
        <v>30</v>
      </c>
      <c r="F6" s="34">
        <v>0.484027777777778</v>
      </c>
      <c r="G6" s="34">
        <v>0.749305555555556</v>
      </c>
      <c r="H6" t="s">
        <v>14</v>
      </c>
      <c r="I6" t="s">
        <v>31</v>
      </c>
      <c r="J6" t="s">
        <v>16</v>
      </c>
      <c r="K6" t="s">
        <v>17</v>
      </c>
      <c r="L6">
        <v>35.9</v>
      </c>
    </row>
    <row r="7" spans="1:12">
      <c r="A7">
        <v>6</v>
      </c>
      <c r="B7" s="33">
        <v>44534</v>
      </c>
      <c r="C7" t="s">
        <v>32</v>
      </c>
      <c r="D7">
        <v>18374932202</v>
      </c>
      <c r="E7" t="s">
        <v>33</v>
      </c>
      <c r="F7" s="34">
        <v>0.588888888888889</v>
      </c>
      <c r="G7" s="34">
        <v>0.616666666666667</v>
      </c>
      <c r="H7" t="s">
        <v>34</v>
      </c>
      <c r="I7" t="s">
        <v>35</v>
      </c>
      <c r="J7" t="s">
        <v>16</v>
      </c>
      <c r="K7" t="s">
        <v>17</v>
      </c>
      <c r="L7">
        <v>36.7</v>
      </c>
    </row>
    <row r="8" spans="1:12">
      <c r="A8">
        <v>7</v>
      </c>
      <c r="B8" s="33">
        <v>44534</v>
      </c>
      <c r="C8" t="s">
        <v>36</v>
      </c>
      <c r="D8">
        <v>13970900341</v>
      </c>
      <c r="E8" t="s">
        <v>37</v>
      </c>
      <c r="F8" s="34">
        <v>0.682638888888889</v>
      </c>
      <c r="G8" s="34">
        <v>0.784722222222222</v>
      </c>
      <c r="H8" t="s">
        <v>23</v>
      </c>
      <c r="I8" t="s">
        <v>35</v>
      </c>
      <c r="J8" t="s">
        <v>16</v>
      </c>
      <c r="K8" t="s">
        <v>17</v>
      </c>
      <c r="L8">
        <v>36</v>
      </c>
    </row>
    <row r="9" spans="1:12">
      <c r="A9">
        <v>8</v>
      </c>
      <c r="B9" s="33">
        <v>44534</v>
      </c>
      <c r="C9" t="s">
        <v>38</v>
      </c>
      <c r="D9">
        <v>18363080059</v>
      </c>
      <c r="E9" t="s">
        <v>39</v>
      </c>
      <c r="F9" s="34">
        <v>0.661111111111111</v>
      </c>
      <c r="G9" s="34">
        <v>0.744444444444444</v>
      </c>
      <c r="H9" t="s">
        <v>34</v>
      </c>
      <c r="I9" t="s">
        <v>40</v>
      </c>
      <c r="J9" t="s">
        <v>16</v>
      </c>
      <c r="K9" t="s">
        <v>17</v>
      </c>
      <c r="L9">
        <v>36.1</v>
      </c>
    </row>
    <row r="10" spans="1:12">
      <c r="A10">
        <v>9</v>
      </c>
      <c r="B10" s="33">
        <v>44535</v>
      </c>
      <c r="C10" t="s">
        <v>41</v>
      </c>
      <c r="D10">
        <v>18948664407</v>
      </c>
      <c r="E10" t="s">
        <v>42</v>
      </c>
      <c r="F10" s="34">
        <v>0.398611111111111</v>
      </c>
      <c r="G10" s="34">
        <v>0.679861111111111</v>
      </c>
      <c r="H10" t="s">
        <v>27</v>
      </c>
      <c r="I10" t="s">
        <v>43</v>
      </c>
      <c r="J10" t="s">
        <v>16</v>
      </c>
      <c r="K10" t="s">
        <v>17</v>
      </c>
      <c r="L10">
        <v>36.4</v>
      </c>
    </row>
    <row r="11" spans="1:12">
      <c r="A11">
        <v>10</v>
      </c>
      <c r="B11" s="33">
        <v>44536</v>
      </c>
      <c r="C11" t="s">
        <v>44</v>
      </c>
      <c r="D11">
        <v>18375241082</v>
      </c>
      <c r="E11" t="s">
        <v>45</v>
      </c>
      <c r="F11" s="34">
        <v>0.418055555555556</v>
      </c>
      <c r="G11" s="34">
        <v>0.454861111111112</v>
      </c>
      <c r="H11" t="s">
        <v>14</v>
      </c>
      <c r="I11" t="s">
        <v>46</v>
      </c>
      <c r="J11" t="s">
        <v>16</v>
      </c>
      <c r="K11" t="s">
        <v>17</v>
      </c>
      <c r="L11">
        <v>36.9</v>
      </c>
    </row>
    <row r="12" spans="1:12">
      <c r="A12">
        <v>11</v>
      </c>
      <c r="B12" s="33">
        <v>44537</v>
      </c>
      <c r="C12" t="s">
        <v>47</v>
      </c>
      <c r="D12">
        <v>18979423639</v>
      </c>
      <c r="E12" t="s">
        <v>48</v>
      </c>
      <c r="F12" s="34">
        <v>0.643055555555556</v>
      </c>
      <c r="G12" s="34">
        <v>0.756250000000001</v>
      </c>
      <c r="H12" t="s">
        <v>27</v>
      </c>
      <c r="I12" t="s">
        <v>49</v>
      </c>
      <c r="J12" t="s">
        <v>16</v>
      </c>
      <c r="K12" t="s">
        <v>17</v>
      </c>
      <c r="L12">
        <v>36.3</v>
      </c>
    </row>
    <row r="13" spans="1:12">
      <c r="A13">
        <v>12</v>
      </c>
      <c r="B13" s="33">
        <v>44537</v>
      </c>
      <c r="C13" t="s">
        <v>50</v>
      </c>
      <c r="D13">
        <v>13530808253</v>
      </c>
      <c r="E13" t="s">
        <v>51</v>
      </c>
      <c r="F13" s="34">
        <v>0.680555555555556</v>
      </c>
      <c r="G13" s="34">
        <v>0.763194444444445</v>
      </c>
      <c r="H13" t="s">
        <v>23</v>
      </c>
      <c r="I13" t="s">
        <v>52</v>
      </c>
      <c r="J13" t="s">
        <v>16</v>
      </c>
      <c r="K13" t="s">
        <v>17</v>
      </c>
      <c r="L13">
        <v>37.4</v>
      </c>
    </row>
    <row r="14" spans="1:12">
      <c r="A14">
        <v>13</v>
      </c>
      <c r="B14" s="33">
        <v>44538</v>
      </c>
      <c r="C14" t="s">
        <v>53</v>
      </c>
      <c r="D14">
        <v>18932425755</v>
      </c>
      <c r="E14" t="s">
        <v>54</v>
      </c>
      <c r="F14" s="34">
        <v>0.375</v>
      </c>
      <c r="G14" s="34">
        <v>0.447916666666667</v>
      </c>
      <c r="H14" t="s">
        <v>14</v>
      </c>
      <c r="I14" t="s">
        <v>55</v>
      </c>
      <c r="J14" t="s">
        <v>16</v>
      </c>
      <c r="K14" t="s">
        <v>17</v>
      </c>
      <c r="L14">
        <v>37</v>
      </c>
    </row>
    <row r="15" spans="1:12">
      <c r="A15">
        <v>14</v>
      </c>
      <c r="B15" s="33">
        <v>44538</v>
      </c>
      <c r="C15" t="s">
        <v>56</v>
      </c>
      <c r="D15">
        <v>13963764813</v>
      </c>
      <c r="E15" t="s">
        <v>57</v>
      </c>
      <c r="F15" s="34">
        <v>0.472222222222222</v>
      </c>
      <c r="G15" s="34">
        <v>0.584722222222222</v>
      </c>
      <c r="H15" t="s">
        <v>14</v>
      </c>
      <c r="I15" t="s">
        <v>46</v>
      </c>
      <c r="J15" t="s">
        <v>16</v>
      </c>
      <c r="K15" t="s">
        <v>17</v>
      </c>
      <c r="L15">
        <v>36.5</v>
      </c>
    </row>
    <row r="16" spans="1:12">
      <c r="A16">
        <v>15</v>
      </c>
      <c r="B16" s="33">
        <v>44539</v>
      </c>
      <c r="C16" t="s">
        <v>58</v>
      </c>
      <c r="D16">
        <v>13597820387</v>
      </c>
      <c r="E16" t="s">
        <v>59</v>
      </c>
      <c r="F16" s="34">
        <v>0.682638888888889</v>
      </c>
      <c r="G16" s="34">
        <v>0.738888888888889</v>
      </c>
      <c r="H16" t="s">
        <v>34</v>
      </c>
      <c r="I16" t="s">
        <v>60</v>
      </c>
      <c r="J16" t="s">
        <v>16</v>
      </c>
      <c r="K16" t="s">
        <v>17</v>
      </c>
      <c r="L16">
        <v>36.3</v>
      </c>
    </row>
    <row r="17" spans="1:12">
      <c r="A17">
        <v>16</v>
      </c>
      <c r="B17" s="33">
        <v>44540</v>
      </c>
      <c r="C17" t="s">
        <v>61</v>
      </c>
      <c r="D17">
        <v>18963216477</v>
      </c>
      <c r="E17" t="s">
        <v>62</v>
      </c>
      <c r="F17" s="34">
        <v>0.656944444444444</v>
      </c>
      <c r="G17" s="34">
        <v>0.741666666666666</v>
      </c>
      <c r="H17" t="s">
        <v>27</v>
      </c>
      <c r="I17" t="s">
        <v>63</v>
      </c>
      <c r="J17" t="s">
        <v>16</v>
      </c>
      <c r="K17" t="s">
        <v>17</v>
      </c>
      <c r="L17">
        <v>36.8</v>
      </c>
    </row>
    <row r="18" spans="1:12">
      <c r="A18">
        <v>17</v>
      </c>
      <c r="B18" s="33">
        <v>44541</v>
      </c>
      <c r="C18" t="s">
        <v>64</v>
      </c>
      <c r="D18">
        <v>18983294429</v>
      </c>
      <c r="E18" t="s">
        <v>65</v>
      </c>
      <c r="F18" s="34">
        <v>0.440972222222222</v>
      </c>
      <c r="G18" s="34">
        <v>0.467361111111111</v>
      </c>
      <c r="H18" t="s">
        <v>34</v>
      </c>
      <c r="I18" t="s">
        <v>66</v>
      </c>
      <c r="J18" t="s">
        <v>67</v>
      </c>
      <c r="K18" t="s">
        <v>17</v>
      </c>
      <c r="L18">
        <v>35.9</v>
      </c>
    </row>
    <row r="19" spans="1:12">
      <c r="A19">
        <v>18</v>
      </c>
      <c r="B19" s="33">
        <v>44541</v>
      </c>
      <c r="C19" t="s">
        <v>68</v>
      </c>
      <c r="D19">
        <v>18031281009</v>
      </c>
      <c r="E19" t="s">
        <v>69</v>
      </c>
      <c r="F19" s="34">
        <v>0.686805555555556</v>
      </c>
      <c r="G19" s="34">
        <v>0.759722222222223</v>
      </c>
      <c r="H19" t="s">
        <v>27</v>
      </c>
      <c r="I19" t="s">
        <v>60</v>
      </c>
      <c r="J19" t="s">
        <v>16</v>
      </c>
      <c r="K19" t="s">
        <v>17</v>
      </c>
      <c r="L19">
        <v>36.9</v>
      </c>
    </row>
    <row r="20" spans="1:12">
      <c r="A20">
        <v>19</v>
      </c>
      <c r="B20" s="33">
        <v>44542</v>
      </c>
      <c r="C20" t="s">
        <v>70</v>
      </c>
      <c r="D20">
        <v>13923911063</v>
      </c>
      <c r="E20" t="s">
        <v>71</v>
      </c>
      <c r="F20" s="34">
        <v>0.361111111111111</v>
      </c>
      <c r="G20" s="34">
        <v>0.477083333333333</v>
      </c>
      <c r="H20" t="s">
        <v>34</v>
      </c>
      <c r="I20" t="s">
        <v>72</v>
      </c>
      <c r="J20" t="s">
        <v>16</v>
      </c>
      <c r="K20" t="s">
        <v>17</v>
      </c>
      <c r="L20">
        <v>37.1</v>
      </c>
    </row>
    <row r="21" spans="1:12">
      <c r="A21">
        <v>20</v>
      </c>
      <c r="B21" s="33">
        <v>44542</v>
      </c>
      <c r="C21" t="s">
        <v>73</v>
      </c>
      <c r="D21">
        <v>18980021633</v>
      </c>
      <c r="E21" t="s">
        <v>74</v>
      </c>
      <c r="F21" s="34">
        <v>0.583333333333333</v>
      </c>
      <c r="G21" s="34">
        <v>0.696527777777778</v>
      </c>
      <c r="H21" t="s">
        <v>27</v>
      </c>
      <c r="I21" t="s">
        <v>75</v>
      </c>
      <c r="J21" t="s">
        <v>16</v>
      </c>
      <c r="K21" t="s">
        <v>17</v>
      </c>
      <c r="L21">
        <v>37.1</v>
      </c>
    </row>
    <row r="22" spans="1:12">
      <c r="A22">
        <v>21</v>
      </c>
      <c r="B22" s="33">
        <v>44543</v>
      </c>
      <c r="C22" t="s">
        <v>76</v>
      </c>
      <c r="D22">
        <v>13936987308</v>
      </c>
      <c r="E22" t="s">
        <v>77</v>
      </c>
      <c r="F22" s="34">
        <v>0.465277777777778</v>
      </c>
      <c r="G22" s="34">
        <v>0.507638888888889</v>
      </c>
      <c r="H22" t="s">
        <v>14</v>
      </c>
      <c r="I22" t="s">
        <v>78</v>
      </c>
      <c r="J22" t="s">
        <v>16</v>
      </c>
      <c r="K22" t="s">
        <v>17</v>
      </c>
      <c r="L22">
        <v>36.6</v>
      </c>
    </row>
    <row r="23" spans="1:12">
      <c r="A23">
        <v>22</v>
      </c>
      <c r="B23" s="33">
        <v>44544</v>
      </c>
      <c r="C23" t="s">
        <v>79</v>
      </c>
      <c r="D23">
        <v>18070794929</v>
      </c>
      <c r="E23" t="s">
        <v>80</v>
      </c>
      <c r="F23" s="34">
        <v>0.385416666666667</v>
      </c>
      <c r="G23" s="34">
        <v>0.546527777777778</v>
      </c>
      <c r="H23" t="s">
        <v>27</v>
      </c>
      <c r="I23" t="s">
        <v>40</v>
      </c>
      <c r="J23" t="s">
        <v>16</v>
      </c>
      <c r="K23" t="s">
        <v>17</v>
      </c>
      <c r="L23">
        <v>35.9</v>
      </c>
    </row>
    <row r="24" spans="1:12">
      <c r="A24">
        <v>23</v>
      </c>
      <c r="B24" s="33">
        <v>44545</v>
      </c>
      <c r="C24" t="s">
        <v>81</v>
      </c>
      <c r="D24">
        <v>18081575437</v>
      </c>
      <c r="E24" t="s">
        <v>82</v>
      </c>
      <c r="F24" s="34">
        <v>0.4375</v>
      </c>
      <c r="G24" s="34">
        <v>0.744444444444444</v>
      </c>
      <c r="H24" t="s">
        <v>23</v>
      </c>
      <c r="I24" t="s">
        <v>83</v>
      </c>
      <c r="J24" t="s">
        <v>16</v>
      </c>
      <c r="K24" t="s">
        <v>17</v>
      </c>
      <c r="L24">
        <v>36.2</v>
      </c>
    </row>
    <row r="25" spans="1:12">
      <c r="A25">
        <v>24</v>
      </c>
      <c r="B25" s="33">
        <v>44545</v>
      </c>
      <c r="C25" t="s">
        <v>84</v>
      </c>
      <c r="D25">
        <v>13951483411</v>
      </c>
      <c r="E25" t="s">
        <v>85</v>
      </c>
      <c r="F25" s="34">
        <v>0.625</v>
      </c>
      <c r="G25" s="34">
        <v>0.764583333333333</v>
      </c>
      <c r="H25" t="s">
        <v>27</v>
      </c>
      <c r="I25" t="s">
        <v>86</v>
      </c>
      <c r="J25" t="s">
        <v>16</v>
      </c>
      <c r="K25" t="s">
        <v>17</v>
      </c>
      <c r="L25">
        <v>36.6</v>
      </c>
    </row>
    <row r="26" spans="1:12">
      <c r="A26">
        <v>25</v>
      </c>
      <c r="B26" s="33">
        <v>44546</v>
      </c>
      <c r="C26" t="s">
        <v>87</v>
      </c>
      <c r="D26">
        <v>18356691562</v>
      </c>
      <c r="E26" t="s">
        <v>88</v>
      </c>
      <c r="F26" s="34">
        <v>0.708333333333333</v>
      </c>
      <c r="G26" s="34">
        <v>0.730555555555555</v>
      </c>
      <c r="H26" t="s">
        <v>14</v>
      </c>
      <c r="I26" t="s">
        <v>75</v>
      </c>
      <c r="J26" t="s">
        <v>16</v>
      </c>
      <c r="K26" t="s">
        <v>17</v>
      </c>
      <c r="L26">
        <v>36</v>
      </c>
    </row>
    <row r="27" spans="1:12">
      <c r="A27">
        <v>26</v>
      </c>
      <c r="B27" s="33">
        <v>44547</v>
      </c>
      <c r="C27" t="s">
        <v>89</v>
      </c>
      <c r="D27">
        <v>13953045850</v>
      </c>
      <c r="E27" t="s">
        <v>90</v>
      </c>
      <c r="F27" s="34">
        <v>0.451388888888889</v>
      </c>
      <c r="G27" s="34">
        <v>0.625694444444445</v>
      </c>
      <c r="H27" t="s">
        <v>14</v>
      </c>
      <c r="I27" t="s">
        <v>91</v>
      </c>
      <c r="J27" t="s">
        <v>16</v>
      </c>
      <c r="K27" t="s">
        <v>17</v>
      </c>
      <c r="L27">
        <v>36.1</v>
      </c>
    </row>
    <row r="28" spans="1:12">
      <c r="A28">
        <v>27</v>
      </c>
      <c r="B28" s="33">
        <v>44548</v>
      </c>
      <c r="C28" t="s">
        <v>92</v>
      </c>
      <c r="D28">
        <v>18064012321</v>
      </c>
      <c r="E28" t="s">
        <v>93</v>
      </c>
      <c r="F28" s="34">
        <v>0.375</v>
      </c>
      <c r="G28" s="34">
        <v>0.688888888888889</v>
      </c>
      <c r="H28" t="s">
        <v>27</v>
      </c>
      <c r="I28" t="s">
        <v>94</v>
      </c>
      <c r="J28" t="s">
        <v>16</v>
      </c>
      <c r="K28" t="s">
        <v>17</v>
      </c>
      <c r="L28">
        <v>37</v>
      </c>
    </row>
    <row r="29" spans="1:12">
      <c r="A29">
        <v>28</v>
      </c>
      <c r="B29" s="33">
        <v>44548</v>
      </c>
      <c r="C29" t="s">
        <v>95</v>
      </c>
      <c r="D29">
        <v>18981912821</v>
      </c>
      <c r="E29" t="s">
        <v>96</v>
      </c>
      <c r="F29" s="34">
        <v>0.625</v>
      </c>
      <c r="G29" s="34">
        <v>0.781944444444444</v>
      </c>
      <c r="H29" t="s">
        <v>27</v>
      </c>
      <c r="I29" t="s">
        <v>97</v>
      </c>
      <c r="J29" t="s">
        <v>67</v>
      </c>
      <c r="K29" t="s">
        <v>98</v>
      </c>
      <c r="L29">
        <v>36.2</v>
      </c>
    </row>
    <row r="30" spans="1:12">
      <c r="A30">
        <v>29</v>
      </c>
      <c r="B30" s="33">
        <v>44549</v>
      </c>
      <c r="C30" t="s">
        <v>99</v>
      </c>
      <c r="D30">
        <v>13964897518</v>
      </c>
      <c r="E30" t="s">
        <v>100</v>
      </c>
      <c r="F30" s="34">
        <v>0.364583333333333</v>
      </c>
      <c r="G30" s="34">
        <v>0.497916666666666</v>
      </c>
      <c r="H30" t="s">
        <v>34</v>
      </c>
      <c r="I30" t="s">
        <v>31</v>
      </c>
      <c r="J30" t="s">
        <v>16</v>
      </c>
      <c r="K30" t="s">
        <v>17</v>
      </c>
      <c r="L30">
        <v>36.7</v>
      </c>
    </row>
    <row r="31" spans="1:12">
      <c r="A31">
        <v>30</v>
      </c>
      <c r="B31" s="33">
        <v>44549</v>
      </c>
      <c r="C31" t="s">
        <v>101</v>
      </c>
      <c r="D31">
        <v>18310954137</v>
      </c>
      <c r="E31" t="s">
        <v>102</v>
      </c>
      <c r="F31" s="34">
        <v>0.472222222222222</v>
      </c>
      <c r="G31" s="34">
        <v>0.529861111111111</v>
      </c>
      <c r="H31" t="s">
        <v>14</v>
      </c>
      <c r="I31" t="s">
        <v>86</v>
      </c>
      <c r="J31" t="s">
        <v>16</v>
      </c>
      <c r="K31" t="s">
        <v>17</v>
      </c>
      <c r="L31">
        <v>36</v>
      </c>
    </row>
    <row r="32" spans="1:12">
      <c r="A32">
        <v>31</v>
      </c>
      <c r="B32" s="33">
        <v>44549</v>
      </c>
      <c r="C32" t="s">
        <v>103</v>
      </c>
      <c r="D32">
        <v>13980010308</v>
      </c>
      <c r="E32" t="s">
        <v>104</v>
      </c>
      <c r="F32" s="34">
        <v>0.618055555555556</v>
      </c>
      <c r="G32" s="34">
        <v>0.709027777777778</v>
      </c>
      <c r="H32" t="s">
        <v>14</v>
      </c>
      <c r="I32" t="s">
        <v>31</v>
      </c>
      <c r="J32" t="s">
        <v>16</v>
      </c>
      <c r="K32" t="s">
        <v>17</v>
      </c>
      <c r="L32">
        <v>37.5</v>
      </c>
    </row>
    <row r="33" spans="1:12">
      <c r="A33">
        <v>32</v>
      </c>
      <c r="B33" s="33">
        <v>44550</v>
      </c>
      <c r="C33" t="s">
        <v>105</v>
      </c>
      <c r="D33">
        <v>18034632148</v>
      </c>
      <c r="E33" t="s">
        <v>106</v>
      </c>
      <c r="F33" s="34">
        <v>0.681944444444444</v>
      </c>
      <c r="G33" s="34">
        <v>0.734027777777777</v>
      </c>
      <c r="H33" t="s">
        <v>27</v>
      </c>
      <c r="I33" t="s">
        <v>75</v>
      </c>
      <c r="J33" t="s">
        <v>16</v>
      </c>
      <c r="K33" t="s">
        <v>17</v>
      </c>
      <c r="L33">
        <v>35.9</v>
      </c>
    </row>
    <row r="34" spans="1:12">
      <c r="A34">
        <v>33</v>
      </c>
      <c r="B34" s="33">
        <v>44551</v>
      </c>
      <c r="C34" t="s">
        <v>107</v>
      </c>
      <c r="D34">
        <v>18939051837</v>
      </c>
      <c r="E34" t="s">
        <v>108</v>
      </c>
      <c r="F34" s="34">
        <v>0.59375</v>
      </c>
      <c r="G34" s="34">
        <v>0.742361111111111</v>
      </c>
      <c r="H34" t="s">
        <v>14</v>
      </c>
      <c r="I34" t="s">
        <v>60</v>
      </c>
      <c r="J34" t="s">
        <v>16</v>
      </c>
      <c r="K34" t="s">
        <v>17</v>
      </c>
      <c r="L34">
        <v>36.9</v>
      </c>
    </row>
    <row r="35" spans="1:12">
      <c r="A35">
        <v>34</v>
      </c>
      <c r="B35" s="33">
        <v>44552</v>
      </c>
      <c r="C35" t="s">
        <v>109</v>
      </c>
      <c r="D35">
        <v>18970147497</v>
      </c>
      <c r="E35" t="s">
        <v>110</v>
      </c>
      <c r="F35" s="34">
        <v>0.520833333333333</v>
      </c>
      <c r="G35" s="34">
        <v>0.725694444444444</v>
      </c>
      <c r="H35" t="s">
        <v>27</v>
      </c>
      <c r="I35" t="s">
        <v>91</v>
      </c>
      <c r="J35" t="s">
        <v>16</v>
      </c>
      <c r="K35" t="s">
        <v>17</v>
      </c>
      <c r="L35">
        <v>36.9</v>
      </c>
    </row>
    <row r="36" spans="1:12">
      <c r="A36">
        <v>35</v>
      </c>
      <c r="B36" s="33">
        <v>44553</v>
      </c>
      <c r="C36" t="s">
        <v>111</v>
      </c>
      <c r="D36">
        <v>18098676123</v>
      </c>
      <c r="E36" t="s">
        <v>112</v>
      </c>
      <c r="F36" s="34">
        <v>0.545138888888889</v>
      </c>
      <c r="G36" s="34">
        <v>0.809722222222222</v>
      </c>
      <c r="H36" t="s">
        <v>27</v>
      </c>
      <c r="I36" t="s">
        <v>49</v>
      </c>
      <c r="J36" t="s">
        <v>16</v>
      </c>
      <c r="K36" t="s">
        <v>17</v>
      </c>
      <c r="L36">
        <v>36.7</v>
      </c>
    </row>
    <row r="37" spans="1:12">
      <c r="A37">
        <v>36</v>
      </c>
      <c r="B37" s="33">
        <v>44553</v>
      </c>
      <c r="C37" t="s">
        <v>113</v>
      </c>
      <c r="D37">
        <v>13575512011</v>
      </c>
      <c r="E37" t="s">
        <v>114</v>
      </c>
      <c r="F37" s="34">
        <v>0.628472222222222</v>
      </c>
      <c r="G37" s="34">
        <v>0.676388888888889</v>
      </c>
      <c r="H37" t="s">
        <v>14</v>
      </c>
      <c r="I37" t="s">
        <v>20</v>
      </c>
      <c r="J37" t="s">
        <v>16</v>
      </c>
      <c r="K37" t="s">
        <v>17</v>
      </c>
      <c r="L37">
        <v>36.8</v>
      </c>
    </row>
    <row r="38" spans="1:12">
      <c r="A38">
        <v>37</v>
      </c>
      <c r="B38" s="33">
        <v>44554</v>
      </c>
      <c r="C38" t="s">
        <v>115</v>
      </c>
      <c r="D38">
        <v>18917985634</v>
      </c>
      <c r="E38" t="s">
        <v>116</v>
      </c>
      <c r="F38" s="34">
        <v>0.454166666666667</v>
      </c>
      <c r="G38" s="34">
        <v>0.799305555555556</v>
      </c>
      <c r="H38" t="s">
        <v>23</v>
      </c>
      <c r="I38" t="s">
        <v>117</v>
      </c>
      <c r="J38" t="s">
        <v>16</v>
      </c>
      <c r="K38" t="s">
        <v>17</v>
      </c>
      <c r="L38">
        <v>35.8</v>
      </c>
    </row>
    <row r="39" spans="1:12">
      <c r="A39">
        <v>38</v>
      </c>
      <c r="B39" s="33">
        <v>44554</v>
      </c>
      <c r="C39" t="s">
        <v>118</v>
      </c>
      <c r="D39">
        <v>18098922345</v>
      </c>
      <c r="E39" t="s">
        <v>119</v>
      </c>
      <c r="F39" s="34">
        <v>0.649305555555556</v>
      </c>
      <c r="G39" s="34">
        <v>0.725</v>
      </c>
      <c r="H39" t="s">
        <v>14</v>
      </c>
      <c r="I39" t="s">
        <v>75</v>
      </c>
      <c r="J39" t="s">
        <v>16</v>
      </c>
      <c r="K39" t="s">
        <v>17</v>
      </c>
      <c r="L39">
        <v>37.2</v>
      </c>
    </row>
    <row r="40" spans="1:12">
      <c r="A40">
        <v>39</v>
      </c>
      <c r="B40" s="33">
        <v>44555</v>
      </c>
      <c r="C40" t="s">
        <v>120</v>
      </c>
      <c r="D40">
        <v>13541644618</v>
      </c>
      <c r="E40" t="s">
        <v>121</v>
      </c>
      <c r="F40" s="34">
        <v>0.384027777777778</v>
      </c>
      <c r="G40" s="34">
        <v>0.565972222222222</v>
      </c>
      <c r="H40" t="s">
        <v>27</v>
      </c>
      <c r="I40" t="s">
        <v>35</v>
      </c>
      <c r="J40" t="s">
        <v>16</v>
      </c>
      <c r="K40" t="s">
        <v>17</v>
      </c>
      <c r="L40">
        <v>36.8</v>
      </c>
    </row>
    <row r="41" spans="1:12">
      <c r="A41">
        <v>40</v>
      </c>
      <c r="B41" s="33">
        <v>44555</v>
      </c>
      <c r="C41" t="s">
        <v>122</v>
      </c>
      <c r="D41">
        <v>13929131117</v>
      </c>
      <c r="E41" t="s">
        <v>123</v>
      </c>
      <c r="F41" s="34">
        <v>0.402777777777778</v>
      </c>
      <c r="G41" s="34">
        <v>0.500694444444445</v>
      </c>
      <c r="H41" t="s">
        <v>27</v>
      </c>
      <c r="I41" t="s">
        <v>72</v>
      </c>
      <c r="J41" t="s">
        <v>16</v>
      </c>
      <c r="K41" t="s">
        <v>17</v>
      </c>
      <c r="L41">
        <v>36.7</v>
      </c>
    </row>
    <row r="42" spans="1:12">
      <c r="A42">
        <v>41</v>
      </c>
      <c r="B42" s="33">
        <v>44556</v>
      </c>
      <c r="C42" t="s">
        <v>124</v>
      </c>
      <c r="D42">
        <v>18086484404</v>
      </c>
      <c r="E42" t="s">
        <v>125</v>
      </c>
      <c r="F42" s="34">
        <v>0.5625</v>
      </c>
      <c r="G42" s="34">
        <v>0.582638888888889</v>
      </c>
      <c r="H42" t="s">
        <v>14</v>
      </c>
      <c r="I42" t="s">
        <v>78</v>
      </c>
      <c r="J42" t="s">
        <v>16</v>
      </c>
      <c r="K42" t="s">
        <v>17</v>
      </c>
      <c r="L42">
        <v>36.1</v>
      </c>
    </row>
    <row r="43" spans="1:12">
      <c r="A43">
        <v>42</v>
      </c>
      <c r="B43" s="33">
        <v>44556</v>
      </c>
      <c r="C43" t="s">
        <v>126</v>
      </c>
      <c r="D43">
        <v>18910563581</v>
      </c>
      <c r="E43" t="s">
        <v>127</v>
      </c>
      <c r="F43" s="34">
        <v>0.603472222222222</v>
      </c>
      <c r="G43" s="34">
        <v>0.674305555555555</v>
      </c>
      <c r="H43" t="s">
        <v>14</v>
      </c>
      <c r="I43" t="s">
        <v>75</v>
      </c>
      <c r="J43" t="s">
        <v>16</v>
      </c>
      <c r="K43" t="s">
        <v>17</v>
      </c>
      <c r="L43">
        <v>36.5</v>
      </c>
    </row>
    <row r="44" spans="1:12">
      <c r="A44">
        <v>43</v>
      </c>
      <c r="B44" s="33">
        <v>44557</v>
      </c>
      <c r="C44" t="s">
        <v>128</v>
      </c>
      <c r="D44">
        <v>13910540324</v>
      </c>
      <c r="E44" t="s">
        <v>129</v>
      </c>
      <c r="F44" s="34">
        <v>0.647916666666667</v>
      </c>
      <c r="G44" s="34">
        <v>0.766666666666667</v>
      </c>
      <c r="H44" t="s">
        <v>27</v>
      </c>
      <c r="I44" t="s">
        <v>86</v>
      </c>
      <c r="J44" t="s">
        <v>16</v>
      </c>
      <c r="K44" t="s">
        <v>17</v>
      </c>
      <c r="L44">
        <v>37.2</v>
      </c>
    </row>
    <row r="45" spans="1:12">
      <c r="A45">
        <v>44</v>
      </c>
      <c r="B45" s="33">
        <v>44558</v>
      </c>
      <c r="C45" t="s">
        <v>130</v>
      </c>
      <c r="D45">
        <v>18399006720</v>
      </c>
      <c r="E45" t="s">
        <v>131</v>
      </c>
      <c r="F45" s="34">
        <v>0.666666666666667</v>
      </c>
      <c r="G45" s="34">
        <v>0.809722222222222</v>
      </c>
      <c r="H45" t="s">
        <v>27</v>
      </c>
      <c r="I45" t="s">
        <v>66</v>
      </c>
      <c r="J45" t="s">
        <v>67</v>
      </c>
      <c r="K45" t="s">
        <v>132</v>
      </c>
      <c r="L45">
        <v>38.1</v>
      </c>
    </row>
    <row r="46" spans="1:12">
      <c r="A46">
        <v>45</v>
      </c>
      <c r="B46" s="33">
        <v>44558</v>
      </c>
      <c r="C46" t="s">
        <v>133</v>
      </c>
      <c r="D46">
        <v>18076867897</v>
      </c>
      <c r="E46" t="s">
        <v>134</v>
      </c>
      <c r="F46" s="34">
        <v>0.730555555555556</v>
      </c>
      <c r="G46" s="34">
        <v>0.774305555555556</v>
      </c>
      <c r="H46" t="s">
        <v>14</v>
      </c>
      <c r="I46" t="s">
        <v>91</v>
      </c>
      <c r="J46" t="s">
        <v>16</v>
      </c>
      <c r="K46" t="s">
        <v>17</v>
      </c>
      <c r="L46">
        <v>36.1</v>
      </c>
    </row>
    <row r="47" spans="1:12">
      <c r="A47">
        <v>46</v>
      </c>
      <c r="B47" s="33">
        <v>44559</v>
      </c>
      <c r="C47" t="s">
        <v>135</v>
      </c>
      <c r="D47">
        <v>13965267961</v>
      </c>
      <c r="E47" t="s">
        <v>136</v>
      </c>
      <c r="F47" s="34">
        <v>0.409722222222222</v>
      </c>
      <c r="G47" s="34">
        <v>0.514583333333333</v>
      </c>
      <c r="H47" t="s">
        <v>34</v>
      </c>
      <c r="I47" t="s">
        <v>86</v>
      </c>
      <c r="J47" t="s">
        <v>16</v>
      </c>
      <c r="K47" t="s">
        <v>17</v>
      </c>
      <c r="L47">
        <v>36.4</v>
      </c>
    </row>
    <row r="48" spans="1:12">
      <c r="A48">
        <v>47</v>
      </c>
      <c r="B48" s="33">
        <v>44559</v>
      </c>
      <c r="C48" t="s">
        <v>137</v>
      </c>
      <c r="D48">
        <v>18049626271</v>
      </c>
      <c r="E48" t="s">
        <v>138</v>
      </c>
      <c r="F48" s="34">
        <v>0.6125</v>
      </c>
      <c r="G48" s="34">
        <v>0.745833333333333</v>
      </c>
      <c r="H48" t="s">
        <v>27</v>
      </c>
      <c r="I48" t="s">
        <v>63</v>
      </c>
      <c r="J48" t="s">
        <v>16</v>
      </c>
      <c r="K48" t="s">
        <v>17</v>
      </c>
      <c r="L48">
        <v>36.1</v>
      </c>
    </row>
    <row r="49" spans="1:12">
      <c r="A49">
        <v>48</v>
      </c>
      <c r="B49" s="33">
        <v>44560</v>
      </c>
      <c r="C49" t="s">
        <v>139</v>
      </c>
      <c r="D49">
        <v>18057313680</v>
      </c>
      <c r="E49" t="s">
        <v>140</v>
      </c>
      <c r="F49" s="34">
        <v>0.465277777777778</v>
      </c>
      <c r="G49" s="34">
        <v>0.488888888888889</v>
      </c>
      <c r="H49" t="s">
        <v>14</v>
      </c>
      <c r="I49" t="s">
        <v>60</v>
      </c>
      <c r="J49" t="s">
        <v>16</v>
      </c>
      <c r="K49" t="s">
        <v>17</v>
      </c>
      <c r="L49">
        <v>37.5</v>
      </c>
    </row>
    <row r="50" spans="1:12">
      <c r="A50">
        <v>49</v>
      </c>
      <c r="B50" s="33">
        <v>44560</v>
      </c>
      <c r="C50" t="s">
        <v>141</v>
      </c>
      <c r="D50">
        <v>13922279189</v>
      </c>
      <c r="E50" t="s">
        <v>142</v>
      </c>
      <c r="F50" s="34">
        <v>0.648611111111111</v>
      </c>
      <c r="G50" s="34">
        <v>0.709722222222222</v>
      </c>
      <c r="H50" t="s">
        <v>14</v>
      </c>
      <c r="I50" t="s">
        <v>83</v>
      </c>
      <c r="J50" t="s">
        <v>16</v>
      </c>
      <c r="K50" t="s">
        <v>17</v>
      </c>
      <c r="L50">
        <v>35.8</v>
      </c>
    </row>
    <row r="51" spans="1:12">
      <c r="A51">
        <v>50</v>
      </c>
      <c r="B51" s="33">
        <v>44561</v>
      </c>
      <c r="C51" t="s">
        <v>143</v>
      </c>
      <c r="D51">
        <v>18964475696</v>
      </c>
      <c r="E51" t="s">
        <v>144</v>
      </c>
      <c r="F51" s="34">
        <v>0.375</v>
      </c>
      <c r="G51" s="34">
        <v>0.411805555555556</v>
      </c>
      <c r="H51" t="s">
        <v>14</v>
      </c>
      <c r="I51" t="s">
        <v>145</v>
      </c>
      <c r="J51" t="s">
        <v>16</v>
      </c>
      <c r="K51" t="s">
        <v>17</v>
      </c>
      <c r="L51">
        <v>36.7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  <pageSetUpPr fitToPage="1"/>
  </sheetPr>
  <dimension ref="A1:Q51"/>
  <sheetViews>
    <sheetView tabSelected="1" workbookViewId="0">
      <pane ySplit="1" topLeftCell="A2" activePane="bottomLeft" state="frozen"/>
      <selection/>
      <selection pane="bottomLeft" activeCell="H2" sqref="H2:H51"/>
    </sheetView>
  </sheetViews>
  <sheetFormatPr defaultColWidth="8.71666666666667" defaultRowHeight="13.5"/>
  <cols>
    <col min="1" max="1" width="5.54166666666667" customWidth="1"/>
    <col min="2" max="2" width="16.2833333333333" style="12" customWidth="1"/>
    <col min="3" max="3" width="7.54166666666667" customWidth="1"/>
    <col min="4" max="4" width="12.8166666666667" customWidth="1"/>
    <col min="5" max="5" width="20.8166666666667" customWidth="1"/>
    <col min="6" max="6" width="5.71666666666667" customWidth="1"/>
    <col min="7" max="7" width="11.8166666666667" style="13" customWidth="1"/>
    <col min="8" max="8" width="8.875" customWidth="1"/>
    <col min="9" max="10" width="9.90833333333333" style="14" customWidth="1"/>
    <col min="11" max="11" width="10.5416666666667" style="15" customWidth="1"/>
    <col min="12" max="12" width="9.90833333333333" customWidth="1"/>
    <col min="13" max="13" width="7.81666666666667" customWidth="1"/>
    <col min="14" max="14" width="9.90833333333333" customWidth="1"/>
    <col min="15" max="15" width="7.81666666666667" customWidth="1"/>
    <col min="16" max="16" width="6.54166666666667" style="16" customWidth="1"/>
    <col min="17" max="17" width="5.71666666666667" customWidth="1"/>
  </cols>
  <sheetData>
    <row r="1" spans="1:17">
      <c r="A1" s="17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9" t="s">
        <v>146</v>
      </c>
      <c r="G1" s="20" t="s">
        <v>147</v>
      </c>
      <c r="H1" s="19" t="s">
        <v>148</v>
      </c>
      <c r="I1" s="25" t="s">
        <v>5</v>
      </c>
      <c r="J1" s="25" t="s">
        <v>6</v>
      </c>
      <c r="K1" s="26" t="s">
        <v>149</v>
      </c>
      <c r="L1" s="19" t="s">
        <v>7</v>
      </c>
      <c r="M1" s="19" t="s">
        <v>8</v>
      </c>
      <c r="N1" s="19" t="s">
        <v>9</v>
      </c>
      <c r="O1" s="19" t="s">
        <v>10</v>
      </c>
      <c r="P1" s="27" t="s">
        <v>11</v>
      </c>
      <c r="Q1" s="31" t="s">
        <v>150</v>
      </c>
    </row>
    <row r="2" spans="1:17">
      <c r="A2" s="21">
        <v>1</v>
      </c>
      <c r="B2" s="22">
        <v>44531</v>
      </c>
      <c r="C2" s="23" t="s">
        <v>12</v>
      </c>
      <c r="D2" s="23">
        <v>18919740281</v>
      </c>
      <c r="E2" s="23" t="s">
        <v>151</v>
      </c>
      <c r="F2" s="23" t="str">
        <f>IF(OR(LEN(E2)=15,LEN(E2)=18),IF(MOD(MID(E2,15,3)*1,2),"男","女"),#N/A)</f>
        <v>女</v>
      </c>
      <c r="G2" s="24">
        <f>DATE(MID(E2,7,VLOOKUP(LEN(E2),{15,2;18,4},2,0)),MID(E2,VLOOKUP(LEN(E2),{15,9;18,11},2,0),2),MID(E2,VLOOKUP(LEN(E2),{15,11;18,13},2,0),2))</f>
        <v>36131</v>
      </c>
      <c r="H2" s="23">
        <f>DATEDIF(G2,B2,"y")</f>
        <v>22</v>
      </c>
      <c r="I2" s="28">
        <v>0.663194444444444</v>
      </c>
      <c r="J2" s="28">
        <v>0.785416666666666</v>
      </c>
      <c r="K2" s="29">
        <f>J2-I2</f>
        <v>0.122222222222222</v>
      </c>
      <c r="L2" s="23" t="s">
        <v>14</v>
      </c>
      <c r="M2" s="23" t="s">
        <v>15</v>
      </c>
      <c r="N2" s="23" t="s">
        <v>16</v>
      </c>
      <c r="O2" s="23" t="s">
        <v>152</v>
      </c>
      <c r="P2" s="30">
        <v>36</v>
      </c>
      <c r="Q2" s="32" t="str">
        <f>IF(OR(N2="是",O2="红",P2&gt;37.3),"异常","正常")</f>
        <v>正常</v>
      </c>
    </row>
    <row r="3" spans="1:17">
      <c r="A3" s="21">
        <v>2</v>
      </c>
      <c r="B3" s="22">
        <v>44532</v>
      </c>
      <c r="C3" s="23" t="s">
        <v>18</v>
      </c>
      <c r="D3" s="23">
        <v>18017790961</v>
      </c>
      <c r="E3" s="23" t="s">
        <v>19</v>
      </c>
      <c r="F3" s="23" t="str">
        <f t="shared" ref="F3:F34" si="0">IF(OR(LEN(E3)=15,LEN(E3)=18),IF(MOD(MID(E3,15,3)*1,2),"男","女"),#N/A)</f>
        <v>男</v>
      </c>
      <c r="G3" s="24">
        <f>DATE(MID(E3,7,VLOOKUP(LEN(E3),{15,2;18,4},2,0)),MID(E3,VLOOKUP(LEN(E3),{15,9;18,11},2,0),2),MID(E3,VLOOKUP(LEN(E3),{15,11;18,13},2,0),2))</f>
        <v>25010</v>
      </c>
      <c r="H3" s="23">
        <f t="shared" ref="H3:H34" si="1">DATEDIF(G3,B3,"y")</f>
        <v>53</v>
      </c>
      <c r="I3" s="28">
        <v>0.356944444444444</v>
      </c>
      <c r="J3" s="28">
        <v>0.422222222222222</v>
      </c>
      <c r="K3" s="29">
        <f>J3-I3</f>
        <v>0.065277777777778</v>
      </c>
      <c r="L3" s="23" t="s">
        <v>14</v>
      </c>
      <c r="M3" s="23" t="s">
        <v>20</v>
      </c>
      <c r="N3" s="23" t="s">
        <v>16</v>
      </c>
      <c r="O3" s="23" t="s">
        <v>152</v>
      </c>
      <c r="P3" s="30">
        <v>36.5</v>
      </c>
      <c r="Q3" s="32" t="str">
        <f t="shared" ref="Q3:Q34" si="2">IF(OR(N3="是",O3="红",P3&gt;37.3),"异常","正常")</f>
        <v>正常</v>
      </c>
    </row>
    <row r="4" spans="1:17">
      <c r="A4" s="21">
        <v>3</v>
      </c>
      <c r="B4" s="22">
        <v>44533</v>
      </c>
      <c r="C4" s="23" t="s">
        <v>21</v>
      </c>
      <c r="D4" s="23">
        <v>13946452803</v>
      </c>
      <c r="E4" s="23" t="s">
        <v>22</v>
      </c>
      <c r="F4" s="23" t="str">
        <f t="shared" si="0"/>
        <v>男</v>
      </c>
      <c r="G4" s="24">
        <f>DATE(MID(E4,7,VLOOKUP(LEN(E4),{15,2;18,4},2,0)),MID(E4,VLOOKUP(LEN(E4),{15,9;18,11},2,0),2),MID(E4,VLOOKUP(LEN(E4),{15,11;18,13},2,0),2))</f>
        <v>30593</v>
      </c>
      <c r="H4" s="23">
        <f t="shared" si="1"/>
        <v>38</v>
      </c>
      <c r="I4" s="28">
        <v>0.382638888888889</v>
      </c>
      <c r="J4" s="28">
        <v>0.592361111111111</v>
      </c>
      <c r="K4" s="29">
        <f t="shared" ref="K3:K34" si="3">J4-I4</f>
        <v>0.209722222222222</v>
      </c>
      <c r="L4" s="23" t="s">
        <v>23</v>
      </c>
      <c r="M4" s="23" t="s">
        <v>24</v>
      </c>
      <c r="N4" s="23" t="s">
        <v>16</v>
      </c>
      <c r="O4" s="23" t="s">
        <v>152</v>
      </c>
      <c r="P4" s="30">
        <v>36.2</v>
      </c>
      <c r="Q4" s="32" t="str">
        <f t="shared" si="2"/>
        <v>正常</v>
      </c>
    </row>
    <row r="5" spans="1:17">
      <c r="A5" s="21">
        <v>4</v>
      </c>
      <c r="B5" s="22">
        <v>44533</v>
      </c>
      <c r="C5" s="23" t="s">
        <v>25</v>
      </c>
      <c r="D5" s="23">
        <v>18922377085</v>
      </c>
      <c r="E5" s="23" t="s">
        <v>26</v>
      </c>
      <c r="F5" s="23" t="str">
        <f t="shared" si="0"/>
        <v>男</v>
      </c>
      <c r="G5" s="24">
        <f>DATE(MID(E5,7,VLOOKUP(LEN(E5),{15,2;18,4},2,0)),MID(E5,VLOOKUP(LEN(E5),{15,9;18,11},2,0),2),MID(E5,VLOOKUP(LEN(E5),{15,11;18,13},2,0),2))</f>
        <v>23412</v>
      </c>
      <c r="H5" s="23">
        <f t="shared" si="1"/>
        <v>57</v>
      </c>
      <c r="I5" s="28">
        <v>0.446527777777778</v>
      </c>
      <c r="J5" s="28">
        <v>0.577083333333334</v>
      </c>
      <c r="K5" s="29">
        <f t="shared" si="3"/>
        <v>0.130555555555556</v>
      </c>
      <c r="L5" s="23" t="s">
        <v>27</v>
      </c>
      <c r="M5" s="23" t="s">
        <v>28</v>
      </c>
      <c r="N5" s="23" t="s">
        <v>16</v>
      </c>
      <c r="O5" s="23" t="s">
        <v>152</v>
      </c>
      <c r="P5" s="30">
        <v>36.8</v>
      </c>
      <c r="Q5" s="32" t="str">
        <f t="shared" si="2"/>
        <v>正常</v>
      </c>
    </row>
    <row r="6" spans="1:17">
      <c r="A6" s="21">
        <v>5</v>
      </c>
      <c r="B6" s="22">
        <v>44534</v>
      </c>
      <c r="C6" s="23" t="s">
        <v>29</v>
      </c>
      <c r="D6" s="23">
        <v>18982673804</v>
      </c>
      <c r="E6" s="23" t="s">
        <v>30</v>
      </c>
      <c r="F6" s="23" t="str">
        <f t="shared" si="0"/>
        <v>女</v>
      </c>
      <c r="G6" s="24">
        <f>DATE(MID(E6,7,VLOOKUP(LEN(E6),{15,2;18,4},2,0)),MID(E6,VLOOKUP(LEN(E6),{15,9;18,11},2,0),2),MID(E6,VLOOKUP(LEN(E6),{15,11;18,13},2,0),2))</f>
        <v>24550</v>
      </c>
      <c r="H6" s="23">
        <f t="shared" si="1"/>
        <v>54</v>
      </c>
      <c r="I6" s="28">
        <v>0.484027777777778</v>
      </c>
      <c r="J6" s="28">
        <v>0.749305555555556</v>
      </c>
      <c r="K6" s="29">
        <f t="shared" si="3"/>
        <v>0.265277777777778</v>
      </c>
      <c r="L6" s="23" t="s">
        <v>14</v>
      </c>
      <c r="M6" s="23" t="s">
        <v>31</v>
      </c>
      <c r="N6" s="23" t="s">
        <v>16</v>
      </c>
      <c r="O6" s="23" t="s">
        <v>152</v>
      </c>
      <c r="P6" s="30">
        <v>35.9</v>
      </c>
      <c r="Q6" s="32" t="str">
        <f t="shared" si="2"/>
        <v>正常</v>
      </c>
    </row>
    <row r="7" spans="1:17">
      <c r="A7" s="21">
        <v>6</v>
      </c>
      <c r="B7" s="22">
        <v>44534</v>
      </c>
      <c r="C7" s="23" t="s">
        <v>32</v>
      </c>
      <c r="D7" s="23">
        <v>18374932202</v>
      </c>
      <c r="E7" s="23" t="s">
        <v>33</v>
      </c>
      <c r="F7" s="23" t="str">
        <f t="shared" si="0"/>
        <v>男</v>
      </c>
      <c r="G7" s="24">
        <f>DATE(MID(E7,7,VLOOKUP(LEN(E7),{15,2;18,4},2,0)),MID(E7,VLOOKUP(LEN(E7),{15,9;18,11},2,0),2),MID(E7,VLOOKUP(LEN(E7),{15,11;18,13},2,0),2))</f>
        <v>23325</v>
      </c>
      <c r="H7" s="23">
        <f t="shared" si="1"/>
        <v>58</v>
      </c>
      <c r="I7" s="28">
        <v>0.588888888888889</v>
      </c>
      <c r="J7" s="28">
        <v>0.616666666666667</v>
      </c>
      <c r="K7" s="29">
        <f t="shared" si="3"/>
        <v>0.027777777777778</v>
      </c>
      <c r="L7" s="23" t="s">
        <v>34</v>
      </c>
      <c r="M7" s="23" t="s">
        <v>35</v>
      </c>
      <c r="N7" s="23" t="s">
        <v>16</v>
      </c>
      <c r="O7" s="23" t="s">
        <v>152</v>
      </c>
      <c r="P7" s="30">
        <v>36.7</v>
      </c>
      <c r="Q7" s="32" t="str">
        <f t="shared" si="2"/>
        <v>正常</v>
      </c>
    </row>
    <row r="8" spans="1:17">
      <c r="A8" s="21">
        <v>7</v>
      </c>
      <c r="B8" s="22">
        <v>44534</v>
      </c>
      <c r="C8" s="23" t="s">
        <v>36</v>
      </c>
      <c r="D8" s="23">
        <v>13970900341</v>
      </c>
      <c r="E8" s="23" t="s">
        <v>37</v>
      </c>
      <c r="F8" s="23" t="str">
        <f t="shared" si="0"/>
        <v>男</v>
      </c>
      <c r="G8" s="24">
        <f>DATE(MID(E8,7,VLOOKUP(LEN(E8),{15,2;18,4},2,0)),MID(E8,VLOOKUP(LEN(E8),{15,9;18,11},2,0),2),MID(E8,VLOOKUP(LEN(E8),{15,11;18,13},2,0),2))</f>
        <v>31960</v>
      </c>
      <c r="H8" s="23">
        <f t="shared" si="1"/>
        <v>34</v>
      </c>
      <c r="I8" s="28">
        <v>0.682638888888889</v>
      </c>
      <c r="J8" s="28">
        <v>0.784722222222222</v>
      </c>
      <c r="K8" s="29">
        <f t="shared" si="3"/>
        <v>0.102083333333333</v>
      </c>
      <c r="L8" s="23" t="s">
        <v>23</v>
      </c>
      <c r="M8" s="23" t="s">
        <v>35</v>
      </c>
      <c r="N8" s="23" t="s">
        <v>16</v>
      </c>
      <c r="O8" s="23" t="s">
        <v>152</v>
      </c>
      <c r="P8" s="30">
        <v>36</v>
      </c>
      <c r="Q8" s="32" t="str">
        <f t="shared" si="2"/>
        <v>正常</v>
      </c>
    </row>
    <row r="9" spans="1:17">
      <c r="A9" s="21">
        <v>8</v>
      </c>
      <c r="B9" s="22">
        <v>44534</v>
      </c>
      <c r="C9" s="23" t="s">
        <v>38</v>
      </c>
      <c r="D9" s="23">
        <v>18363080059</v>
      </c>
      <c r="E9" s="23" t="s">
        <v>39</v>
      </c>
      <c r="F9" s="23" t="str">
        <f t="shared" si="0"/>
        <v>女</v>
      </c>
      <c r="G9" s="24">
        <f>DATE(MID(E9,7,VLOOKUP(LEN(E9),{15,2;18,4},2,0)),MID(E9,VLOOKUP(LEN(E9),{15,9;18,11},2,0),2),MID(E9,VLOOKUP(LEN(E9),{15,11;18,13},2,0),2))</f>
        <v>30905</v>
      </c>
      <c r="H9" s="23">
        <f t="shared" si="1"/>
        <v>37</v>
      </c>
      <c r="I9" s="28">
        <v>0.661111111111111</v>
      </c>
      <c r="J9" s="28">
        <v>0.744444444444444</v>
      </c>
      <c r="K9" s="29">
        <f t="shared" si="3"/>
        <v>0.083333333333333</v>
      </c>
      <c r="L9" s="23" t="s">
        <v>34</v>
      </c>
      <c r="M9" s="23" t="s">
        <v>40</v>
      </c>
      <c r="N9" s="23" t="s">
        <v>16</v>
      </c>
      <c r="O9" s="23" t="s">
        <v>152</v>
      </c>
      <c r="P9" s="30">
        <v>36.1</v>
      </c>
      <c r="Q9" s="32" t="str">
        <f t="shared" si="2"/>
        <v>正常</v>
      </c>
    </row>
    <row r="10" spans="1:17">
      <c r="A10" s="21">
        <v>9</v>
      </c>
      <c r="B10" s="22">
        <v>44535</v>
      </c>
      <c r="C10" s="23" t="s">
        <v>41</v>
      </c>
      <c r="D10" s="23">
        <v>18948664407</v>
      </c>
      <c r="E10" s="23" t="s">
        <v>42</v>
      </c>
      <c r="F10" s="23" t="str">
        <f t="shared" si="0"/>
        <v>男</v>
      </c>
      <c r="G10" s="24">
        <f>DATE(MID(E10,7,VLOOKUP(LEN(E10),{15,2;18,4},2,0)),MID(E10,VLOOKUP(LEN(E10),{15,9;18,11},2,0),2),MID(E10,VLOOKUP(LEN(E10),{15,11;18,13},2,0),2))</f>
        <v>33067</v>
      </c>
      <c r="H10" s="23">
        <f t="shared" si="1"/>
        <v>31</v>
      </c>
      <c r="I10" s="28">
        <v>0.398611111111111</v>
      </c>
      <c r="J10" s="28">
        <v>0.679861111111111</v>
      </c>
      <c r="K10" s="29">
        <f t="shared" si="3"/>
        <v>0.28125</v>
      </c>
      <c r="L10" s="23" t="s">
        <v>27</v>
      </c>
      <c r="M10" s="23" t="s">
        <v>43</v>
      </c>
      <c r="N10" s="23" t="s">
        <v>16</v>
      </c>
      <c r="O10" s="23" t="s">
        <v>152</v>
      </c>
      <c r="P10" s="30">
        <v>36.4</v>
      </c>
      <c r="Q10" s="32" t="str">
        <f t="shared" si="2"/>
        <v>正常</v>
      </c>
    </row>
    <row r="11" spans="1:17">
      <c r="A11" s="21">
        <v>10</v>
      </c>
      <c r="B11" s="22">
        <v>44536</v>
      </c>
      <c r="C11" s="23" t="s">
        <v>44</v>
      </c>
      <c r="D11" s="23">
        <v>18375241082</v>
      </c>
      <c r="E11" s="23" t="s">
        <v>45</v>
      </c>
      <c r="F11" s="23" t="str">
        <f t="shared" si="0"/>
        <v>女</v>
      </c>
      <c r="G11" s="24">
        <f>DATE(MID(E11,7,VLOOKUP(LEN(E11),{15,2;18,4},2,0)),MID(E11,VLOOKUP(LEN(E11),{15,9;18,11},2,0),2),MID(E11,VLOOKUP(LEN(E11),{15,11;18,13},2,0),2))</f>
        <v>32589</v>
      </c>
      <c r="H11" s="23">
        <f t="shared" si="1"/>
        <v>32</v>
      </c>
      <c r="I11" s="28">
        <v>0.418055555555556</v>
      </c>
      <c r="J11" s="28">
        <v>0.454861111111112</v>
      </c>
      <c r="K11" s="29">
        <f t="shared" si="3"/>
        <v>0.036805555555556</v>
      </c>
      <c r="L11" s="23" t="s">
        <v>14</v>
      </c>
      <c r="M11" s="23" t="s">
        <v>46</v>
      </c>
      <c r="N11" s="23" t="s">
        <v>16</v>
      </c>
      <c r="O11" s="23" t="s">
        <v>152</v>
      </c>
      <c r="P11" s="30">
        <v>36.9</v>
      </c>
      <c r="Q11" s="32" t="str">
        <f t="shared" si="2"/>
        <v>正常</v>
      </c>
    </row>
    <row r="12" spans="1:17">
      <c r="A12" s="21">
        <v>11</v>
      </c>
      <c r="B12" s="22">
        <v>44537</v>
      </c>
      <c r="C12" s="23" t="s">
        <v>47</v>
      </c>
      <c r="D12" s="23">
        <v>18979423639</v>
      </c>
      <c r="E12" s="23" t="s">
        <v>48</v>
      </c>
      <c r="F12" s="23" t="str">
        <f t="shared" si="0"/>
        <v>男</v>
      </c>
      <c r="G12" s="24">
        <f>DATE(MID(E12,7,VLOOKUP(LEN(E12),{15,2;18,4},2,0)),MID(E12,VLOOKUP(LEN(E12),{15,9;18,11},2,0),2),MID(E12,VLOOKUP(LEN(E12),{15,11;18,13},2,0),2))</f>
        <v>32532</v>
      </c>
      <c r="H12" s="23">
        <f t="shared" si="1"/>
        <v>32</v>
      </c>
      <c r="I12" s="28">
        <v>0.643055555555556</v>
      </c>
      <c r="J12" s="28">
        <v>0.756250000000001</v>
      </c>
      <c r="K12" s="29">
        <f t="shared" si="3"/>
        <v>0.113194444444445</v>
      </c>
      <c r="L12" s="23" t="s">
        <v>27</v>
      </c>
      <c r="M12" s="23" t="s">
        <v>49</v>
      </c>
      <c r="N12" s="23" t="s">
        <v>16</v>
      </c>
      <c r="O12" s="23" t="s">
        <v>152</v>
      </c>
      <c r="P12" s="30">
        <v>36.3</v>
      </c>
      <c r="Q12" s="32" t="str">
        <f t="shared" si="2"/>
        <v>正常</v>
      </c>
    </row>
    <row r="13" spans="1:17">
      <c r="A13" s="21">
        <v>12</v>
      </c>
      <c r="B13" s="22">
        <v>44537</v>
      </c>
      <c r="C13" s="23" t="s">
        <v>50</v>
      </c>
      <c r="D13" s="23">
        <v>13530808253</v>
      </c>
      <c r="E13" s="23" t="s">
        <v>51</v>
      </c>
      <c r="F13" s="23" t="str">
        <f t="shared" si="0"/>
        <v>女</v>
      </c>
      <c r="G13" s="24">
        <f>DATE(MID(E13,7,VLOOKUP(LEN(E13),{15,2;18,4},2,0)),MID(E13,VLOOKUP(LEN(E13),{15,9;18,11},2,0),2),MID(E13,VLOOKUP(LEN(E13),{15,11;18,13},2,0),2))</f>
        <v>23511</v>
      </c>
      <c r="H13" s="23">
        <f t="shared" si="1"/>
        <v>57</v>
      </c>
      <c r="I13" s="28">
        <v>0.680555555555556</v>
      </c>
      <c r="J13" s="28">
        <v>0.763194444444445</v>
      </c>
      <c r="K13" s="29">
        <f t="shared" si="3"/>
        <v>0.0826388888888889</v>
      </c>
      <c r="L13" s="23" t="s">
        <v>23</v>
      </c>
      <c r="M13" s="23" t="s">
        <v>52</v>
      </c>
      <c r="N13" s="23" t="s">
        <v>16</v>
      </c>
      <c r="O13" s="23" t="s">
        <v>152</v>
      </c>
      <c r="P13" s="30">
        <v>37.4</v>
      </c>
      <c r="Q13" s="32" t="str">
        <f t="shared" si="2"/>
        <v>异常</v>
      </c>
    </row>
    <row r="14" spans="1:17">
      <c r="A14" s="21">
        <v>13</v>
      </c>
      <c r="B14" s="22">
        <v>44538</v>
      </c>
      <c r="C14" s="23" t="s">
        <v>53</v>
      </c>
      <c r="D14" s="23">
        <v>18932425755</v>
      </c>
      <c r="E14" s="23" t="s">
        <v>54</v>
      </c>
      <c r="F14" s="23" t="str">
        <f t="shared" si="0"/>
        <v>女</v>
      </c>
      <c r="G14" s="24">
        <f>DATE(MID(E14,7,VLOOKUP(LEN(E14),{15,2;18,4},2,0)),MID(E14,VLOOKUP(LEN(E14),{15,9;18,11},2,0),2),MID(E14,VLOOKUP(LEN(E14),{15,11;18,13},2,0),2))</f>
        <v>22572</v>
      </c>
      <c r="H14" s="23">
        <f t="shared" si="1"/>
        <v>60</v>
      </c>
      <c r="I14" s="28">
        <v>0.375</v>
      </c>
      <c r="J14" s="28">
        <v>0.447916666666667</v>
      </c>
      <c r="K14" s="29">
        <f t="shared" si="3"/>
        <v>0.072916666666667</v>
      </c>
      <c r="L14" s="23" t="s">
        <v>14</v>
      </c>
      <c r="M14" s="23" t="s">
        <v>55</v>
      </c>
      <c r="N14" s="23" t="s">
        <v>16</v>
      </c>
      <c r="O14" s="23" t="s">
        <v>152</v>
      </c>
      <c r="P14" s="30">
        <v>37</v>
      </c>
      <c r="Q14" s="32" t="str">
        <f t="shared" si="2"/>
        <v>正常</v>
      </c>
    </row>
    <row r="15" spans="1:17">
      <c r="A15" s="21">
        <v>14</v>
      </c>
      <c r="B15" s="22">
        <v>44538</v>
      </c>
      <c r="C15" s="23" t="s">
        <v>56</v>
      </c>
      <c r="D15" s="23">
        <v>13963764813</v>
      </c>
      <c r="E15" s="23" t="s">
        <v>57</v>
      </c>
      <c r="F15" s="23" t="str">
        <f t="shared" si="0"/>
        <v>男</v>
      </c>
      <c r="G15" s="24">
        <f>DATE(MID(E15,7,VLOOKUP(LEN(E15),{15,2;18,4},2,0)),MID(E15,VLOOKUP(LEN(E15),{15,9;18,11},2,0),2),MID(E15,VLOOKUP(LEN(E15),{15,11;18,13},2,0),2))</f>
        <v>24146</v>
      </c>
      <c r="H15" s="23">
        <f t="shared" si="1"/>
        <v>55</v>
      </c>
      <c r="I15" s="28">
        <v>0.472222222222222</v>
      </c>
      <c r="J15" s="28">
        <v>0.584722222222222</v>
      </c>
      <c r="K15" s="29">
        <f t="shared" si="3"/>
        <v>0.1125</v>
      </c>
      <c r="L15" s="23" t="s">
        <v>14</v>
      </c>
      <c r="M15" s="23" t="s">
        <v>46</v>
      </c>
      <c r="N15" s="23" t="s">
        <v>16</v>
      </c>
      <c r="O15" s="23" t="s">
        <v>152</v>
      </c>
      <c r="P15" s="30">
        <v>36.5</v>
      </c>
      <c r="Q15" s="32" t="str">
        <f t="shared" si="2"/>
        <v>正常</v>
      </c>
    </row>
    <row r="16" spans="1:17">
      <c r="A16" s="21">
        <v>15</v>
      </c>
      <c r="B16" s="22">
        <v>44539</v>
      </c>
      <c r="C16" s="23" t="s">
        <v>58</v>
      </c>
      <c r="D16" s="23">
        <v>13597820387</v>
      </c>
      <c r="E16" s="23" t="s">
        <v>59</v>
      </c>
      <c r="F16" s="23" t="str">
        <f t="shared" si="0"/>
        <v>男</v>
      </c>
      <c r="G16" s="24">
        <f>DATE(MID(E16,7,VLOOKUP(LEN(E16),{15,2;18,4},2,0)),MID(E16,VLOOKUP(LEN(E16),{15,9;18,11},2,0),2),MID(E16,VLOOKUP(LEN(E16),{15,11;18,13},2,0),2))</f>
        <v>35298</v>
      </c>
      <c r="H16" s="23">
        <f t="shared" si="1"/>
        <v>25</v>
      </c>
      <c r="I16" s="28">
        <v>0.682638888888889</v>
      </c>
      <c r="J16" s="28">
        <v>0.738888888888889</v>
      </c>
      <c r="K16" s="29">
        <f t="shared" si="3"/>
        <v>0.05625</v>
      </c>
      <c r="L16" s="23" t="s">
        <v>34</v>
      </c>
      <c r="M16" s="23" t="s">
        <v>60</v>
      </c>
      <c r="N16" s="23" t="s">
        <v>16</v>
      </c>
      <c r="O16" s="23" t="s">
        <v>152</v>
      </c>
      <c r="P16" s="30">
        <v>36.3</v>
      </c>
      <c r="Q16" s="32" t="str">
        <f t="shared" si="2"/>
        <v>正常</v>
      </c>
    </row>
    <row r="17" spans="1:17">
      <c r="A17" s="21">
        <v>16</v>
      </c>
      <c r="B17" s="22">
        <v>44540</v>
      </c>
      <c r="C17" s="23" t="s">
        <v>61</v>
      </c>
      <c r="D17" s="23">
        <v>18963216477</v>
      </c>
      <c r="E17" s="23" t="s">
        <v>62</v>
      </c>
      <c r="F17" s="23" t="str">
        <f t="shared" si="0"/>
        <v>女</v>
      </c>
      <c r="G17" s="24">
        <f>DATE(MID(E17,7,VLOOKUP(LEN(E17),{15,2;18,4},2,0)),MID(E17,VLOOKUP(LEN(E17),{15,9;18,11},2,0),2),MID(E17,VLOOKUP(LEN(E17),{15,11;18,13},2,0),2))</f>
        <v>35350</v>
      </c>
      <c r="H17" s="23">
        <f t="shared" si="1"/>
        <v>25</v>
      </c>
      <c r="I17" s="28">
        <v>0.656944444444444</v>
      </c>
      <c r="J17" s="28">
        <v>0.741666666666666</v>
      </c>
      <c r="K17" s="29">
        <f t="shared" si="3"/>
        <v>0.084722222222222</v>
      </c>
      <c r="L17" s="23" t="s">
        <v>27</v>
      </c>
      <c r="M17" s="23" t="s">
        <v>63</v>
      </c>
      <c r="N17" s="23" t="s">
        <v>16</v>
      </c>
      <c r="O17" s="23" t="s">
        <v>152</v>
      </c>
      <c r="P17" s="30">
        <v>36.8</v>
      </c>
      <c r="Q17" s="32" t="str">
        <f t="shared" si="2"/>
        <v>正常</v>
      </c>
    </row>
    <row r="18" spans="1:17">
      <c r="A18" s="21">
        <v>17</v>
      </c>
      <c r="B18" s="22">
        <v>44541</v>
      </c>
      <c r="C18" s="23" t="s">
        <v>64</v>
      </c>
      <c r="D18" s="23">
        <v>18983294429</v>
      </c>
      <c r="E18" s="23" t="s">
        <v>65</v>
      </c>
      <c r="F18" s="23" t="str">
        <f t="shared" si="0"/>
        <v>女</v>
      </c>
      <c r="G18" s="24">
        <f>DATE(MID(E18,7,VLOOKUP(LEN(E18),{15,2;18,4},2,0)),MID(E18,VLOOKUP(LEN(E18),{15,9;18,11},2,0),2),MID(E18,VLOOKUP(LEN(E18),{15,11;18,13},2,0),2))</f>
        <v>35721</v>
      </c>
      <c r="H18" s="23">
        <f t="shared" si="1"/>
        <v>24</v>
      </c>
      <c r="I18" s="28">
        <v>0.440972222222222</v>
      </c>
      <c r="J18" s="28">
        <v>0.467361111111111</v>
      </c>
      <c r="K18" s="29">
        <f t="shared" si="3"/>
        <v>0.026388888888889</v>
      </c>
      <c r="L18" s="23" t="s">
        <v>34</v>
      </c>
      <c r="M18" s="23" t="s">
        <v>66</v>
      </c>
      <c r="N18" s="23" t="s">
        <v>67</v>
      </c>
      <c r="O18" s="23" t="s">
        <v>152</v>
      </c>
      <c r="P18" s="30">
        <v>35.9</v>
      </c>
      <c r="Q18" s="32" t="str">
        <f t="shared" si="2"/>
        <v>异常</v>
      </c>
    </row>
    <row r="19" spans="1:17">
      <c r="A19" s="21">
        <v>18</v>
      </c>
      <c r="B19" s="22">
        <v>44541</v>
      </c>
      <c r="C19" s="23" t="s">
        <v>68</v>
      </c>
      <c r="D19" s="23">
        <v>18031281009</v>
      </c>
      <c r="E19" s="23" t="s">
        <v>69</v>
      </c>
      <c r="F19" s="23" t="str">
        <f t="shared" si="0"/>
        <v>男</v>
      </c>
      <c r="G19" s="24">
        <f>DATE(MID(E19,7,VLOOKUP(LEN(E19),{15,2;18,4},2,0)),MID(E19,VLOOKUP(LEN(E19),{15,9;18,11},2,0),2),MID(E19,VLOOKUP(LEN(E19),{15,11;18,13},2,0),2))</f>
        <v>30426</v>
      </c>
      <c r="H19" s="23">
        <f t="shared" si="1"/>
        <v>38</v>
      </c>
      <c r="I19" s="28">
        <v>0.686805555555556</v>
      </c>
      <c r="J19" s="28">
        <v>0.759722222222223</v>
      </c>
      <c r="K19" s="29">
        <f t="shared" si="3"/>
        <v>0.072916666666667</v>
      </c>
      <c r="L19" s="23" t="s">
        <v>27</v>
      </c>
      <c r="M19" s="23" t="s">
        <v>60</v>
      </c>
      <c r="N19" s="23" t="s">
        <v>16</v>
      </c>
      <c r="O19" s="23" t="s">
        <v>152</v>
      </c>
      <c r="P19" s="30">
        <v>36.9</v>
      </c>
      <c r="Q19" s="32" t="str">
        <f t="shared" si="2"/>
        <v>正常</v>
      </c>
    </row>
    <row r="20" spans="1:17">
      <c r="A20" s="21">
        <v>19</v>
      </c>
      <c r="B20" s="22">
        <v>44542</v>
      </c>
      <c r="C20" s="23" t="s">
        <v>70</v>
      </c>
      <c r="D20" s="23">
        <v>13923911063</v>
      </c>
      <c r="E20" s="23" t="s">
        <v>71</v>
      </c>
      <c r="F20" s="23" t="str">
        <f t="shared" si="0"/>
        <v>男</v>
      </c>
      <c r="G20" s="24">
        <f>DATE(MID(E20,7,VLOOKUP(LEN(E20),{15,2;18,4},2,0)),MID(E20,VLOOKUP(LEN(E20),{15,9;18,11},2,0),2),MID(E20,VLOOKUP(LEN(E20),{15,11;18,13},2,0),2))</f>
        <v>23889</v>
      </c>
      <c r="H20" s="23">
        <f t="shared" si="1"/>
        <v>56</v>
      </c>
      <c r="I20" s="28">
        <v>0.361111111111111</v>
      </c>
      <c r="J20" s="28">
        <v>0.477083333333333</v>
      </c>
      <c r="K20" s="29">
        <f t="shared" si="3"/>
        <v>0.115972222222222</v>
      </c>
      <c r="L20" s="23" t="s">
        <v>34</v>
      </c>
      <c r="M20" s="23" t="s">
        <v>72</v>
      </c>
      <c r="N20" s="23" t="s">
        <v>16</v>
      </c>
      <c r="O20" s="23" t="s">
        <v>152</v>
      </c>
      <c r="P20" s="30">
        <v>37.1</v>
      </c>
      <c r="Q20" s="32" t="str">
        <f t="shared" si="2"/>
        <v>正常</v>
      </c>
    </row>
    <row r="21" spans="1:17">
      <c r="A21" s="21">
        <v>20</v>
      </c>
      <c r="B21" s="22">
        <v>44542</v>
      </c>
      <c r="C21" s="23" t="s">
        <v>73</v>
      </c>
      <c r="D21" s="23">
        <v>18980021633</v>
      </c>
      <c r="E21" s="23" t="s">
        <v>74</v>
      </c>
      <c r="F21" s="23" t="str">
        <f t="shared" si="0"/>
        <v>女</v>
      </c>
      <c r="G21" s="24">
        <f>DATE(MID(E21,7,VLOOKUP(LEN(E21),{15,2;18,4},2,0)),MID(E21,VLOOKUP(LEN(E21),{15,9;18,11},2,0),2),MID(E21,VLOOKUP(LEN(E21),{15,11;18,13},2,0),2))</f>
        <v>35169</v>
      </c>
      <c r="H21" s="23">
        <f t="shared" si="1"/>
        <v>25</v>
      </c>
      <c r="I21" s="28">
        <v>0.583333333333333</v>
      </c>
      <c r="J21" s="28">
        <v>0.696527777777778</v>
      </c>
      <c r="K21" s="29">
        <f t="shared" si="3"/>
        <v>0.113194444444445</v>
      </c>
      <c r="L21" s="23" t="s">
        <v>27</v>
      </c>
      <c r="M21" s="23" t="s">
        <v>75</v>
      </c>
      <c r="N21" s="23" t="s">
        <v>16</v>
      </c>
      <c r="O21" s="23" t="s">
        <v>152</v>
      </c>
      <c r="P21" s="30">
        <v>37.1</v>
      </c>
      <c r="Q21" s="32" t="str">
        <f t="shared" si="2"/>
        <v>正常</v>
      </c>
    </row>
    <row r="22" spans="1:17">
      <c r="A22" s="21">
        <v>21</v>
      </c>
      <c r="B22" s="22">
        <v>44543</v>
      </c>
      <c r="C22" s="23" t="s">
        <v>76</v>
      </c>
      <c r="D22" s="23">
        <v>13936987308</v>
      </c>
      <c r="E22" s="23" t="s">
        <v>77</v>
      </c>
      <c r="F22" s="23" t="str">
        <f t="shared" si="0"/>
        <v>男</v>
      </c>
      <c r="G22" s="24">
        <f>DATE(MID(E22,7,VLOOKUP(LEN(E22),{15,2;18,4},2,0)),MID(E22,VLOOKUP(LEN(E22),{15,9;18,11},2,0),2),MID(E22,VLOOKUP(LEN(E22),{15,11;18,13},2,0),2))</f>
        <v>24861</v>
      </c>
      <c r="H22" s="23">
        <f t="shared" si="1"/>
        <v>53</v>
      </c>
      <c r="I22" s="28">
        <v>0.465277777777778</v>
      </c>
      <c r="J22" s="28">
        <v>0.507638888888889</v>
      </c>
      <c r="K22" s="29">
        <f t="shared" si="3"/>
        <v>0.042361111111111</v>
      </c>
      <c r="L22" s="23" t="s">
        <v>14</v>
      </c>
      <c r="M22" s="23" t="s">
        <v>78</v>
      </c>
      <c r="N22" s="23" t="s">
        <v>16</v>
      </c>
      <c r="O22" s="23" t="s">
        <v>152</v>
      </c>
      <c r="P22" s="30">
        <v>36.6</v>
      </c>
      <c r="Q22" s="32" t="str">
        <f t="shared" si="2"/>
        <v>正常</v>
      </c>
    </row>
    <row r="23" spans="1:17">
      <c r="A23" s="21">
        <v>22</v>
      </c>
      <c r="B23" s="22">
        <v>44544</v>
      </c>
      <c r="C23" s="23" t="s">
        <v>79</v>
      </c>
      <c r="D23" s="23">
        <v>18070794929</v>
      </c>
      <c r="E23" s="23" t="s">
        <v>80</v>
      </c>
      <c r="F23" s="23" t="str">
        <f t="shared" si="0"/>
        <v>女</v>
      </c>
      <c r="G23" s="24">
        <f>DATE(MID(E23,7,VLOOKUP(LEN(E23),{15,2;18,4},2,0)),MID(E23,VLOOKUP(LEN(E23),{15,9;18,11},2,0),2),MID(E23,VLOOKUP(LEN(E23),{15,11;18,13},2,0),2))</f>
        <v>32402</v>
      </c>
      <c r="H23" s="23">
        <f t="shared" si="1"/>
        <v>33</v>
      </c>
      <c r="I23" s="28">
        <v>0.385416666666667</v>
      </c>
      <c r="J23" s="28">
        <v>0.546527777777778</v>
      </c>
      <c r="K23" s="29">
        <f t="shared" si="3"/>
        <v>0.161111111111111</v>
      </c>
      <c r="L23" s="23" t="s">
        <v>27</v>
      </c>
      <c r="M23" s="23" t="s">
        <v>40</v>
      </c>
      <c r="N23" s="23" t="s">
        <v>16</v>
      </c>
      <c r="O23" s="23" t="s">
        <v>152</v>
      </c>
      <c r="P23" s="30">
        <v>35.9</v>
      </c>
      <c r="Q23" s="32" t="str">
        <f t="shared" si="2"/>
        <v>正常</v>
      </c>
    </row>
    <row r="24" spans="1:17">
      <c r="A24" s="21">
        <v>23</v>
      </c>
      <c r="B24" s="22">
        <v>44545</v>
      </c>
      <c r="C24" s="23" t="s">
        <v>81</v>
      </c>
      <c r="D24" s="23">
        <v>18081575437</v>
      </c>
      <c r="E24" s="23" t="s">
        <v>82</v>
      </c>
      <c r="F24" s="23" t="str">
        <f t="shared" si="0"/>
        <v>男</v>
      </c>
      <c r="G24" s="24">
        <f>DATE(MID(E24,7,VLOOKUP(LEN(E24),{15,2;18,4},2,0)),MID(E24,VLOOKUP(LEN(E24),{15,9;18,11},2,0),2),MID(E24,VLOOKUP(LEN(E24),{15,11;18,13},2,0),2))</f>
        <v>24719</v>
      </c>
      <c r="H24" s="23">
        <f t="shared" si="1"/>
        <v>54</v>
      </c>
      <c r="I24" s="28">
        <v>0.4375</v>
      </c>
      <c r="J24" s="28">
        <v>0.744444444444444</v>
      </c>
      <c r="K24" s="29">
        <f t="shared" si="3"/>
        <v>0.306944444444444</v>
      </c>
      <c r="L24" s="23" t="s">
        <v>23</v>
      </c>
      <c r="M24" s="23" t="s">
        <v>83</v>
      </c>
      <c r="N24" s="23" t="s">
        <v>16</v>
      </c>
      <c r="O24" s="23" t="s">
        <v>152</v>
      </c>
      <c r="P24" s="30">
        <v>36.2</v>
      </c>
      <c r="Q24" s="32" t="str">
        <f t="shared" si="2"/>
        <v>正常</v>
      </c>
    </row>
    <row r="25" spans="1:17">
      <c r="A25" s="21">
        <v>24</v>
      </c>
      <c r="B25" s="22">
        <v>44545</v>
      </c>
      <c r="C25" s="23" t="s">
        <v>84</v>
      </c>
      <c r="D25" s="23">
        <v>13951483411</v>
      </c>
      <c r="E25" s="23" t="s">
        <v>85</v>
      </c>
      <c r="F25" s="23" t="str">
        <f t="shared" si="0"/>
        <v>男</v>
      </c>
      <c r="G25" s="24">
        <f>DATE(MID(E25,7,VLOOKUP(LEN(E25),{15,2;18,4},2,0)),MID(E25,VLOOKUP(LEN(E25),{15,9;18,11},2,0),2),MID(E25,VLOOKUP(LEN(E25),{15,11;18,13},2,0),2))</f>
        <v>33531</v>
      </c>
      <c r="H25" s="23">
        <f t="shared" si="1"/>
        <v>30</v>
      </c>
      <c r="I25" s="28">
        <v>0.625</v>
      </c>
      <c r="J25" s="28">
        <v>0.764583333333333</v>
      </c>
      <c r="K25" s="29">
        <f t="shared" si="3"/>
        <v>0.139583333333333</v>
      </c>
      <c r="L25" s="23" t="s">
        <v>27</v>
      </c>
      <c r="M25" s="23" t="s">
        <v>86</v>
      </c>
      <c r="N25" s="23" t="s">
        <v>16</v>
      </c>
      <c r="O25" s="23" t="s">
        <v>152</v>
      </c>
      <c r="P25" s="30">
        <v>36.6</v>
      </c>
      <c r="Q25" s="32" t="str">
        <f t="shared" si="2"/>
        <v>正常</v>
      </c>
    </row>
    <row r="26" spans="1:17">
      <c r="A26" s="21">
        <v>25</v>
      </c>
      <c r="B26" s="22">
        <v>44546</v>
      </c>
      <c r="C26" s="23" t="s">
        <v>87</v>
      </c>
      <c r="D26" s="23">
        <v>18356691562</v>
      </c>
      <c r="E26" s="23" t="s">
        <v>88</v>
      </c>
      <c r="F26" s="23" t="str">
        <f t="shared" si="0"/>
        <v>女</v>
      </c>
      <c r="G26" s="24">
        <f>DATE(MID(E26,7,VLOOKUP(LEN(E26),{15,2;18,4},2,0)),MID(E26,VLOOKUP(LEN(E26),{15,9;18,11},2,0),2),MID(E26,VLOOKUP(LEN(E26),{15,11;18,13},2,0),2))</f>
        <v>35522</v>
      </c>
      <c r="H26" s="23">
        <f t="shared" si="1"/>
        <v>24</v>
      </c>
      <c r="I26" s="28">
        <v>0.708333333333333</v>
      </c>
      <c r="J26" s="28">
        <v>0.730555555555555</v>
      </c>
      <c r="K26" s="29">
        <f t="shared" si="3"/>
        <v>0.0222222222222219</v>
      </c>
      <c r="L26" s="23" t="s">
        <v>14</v>
      </c>
      <c r="M26" s="23" t="s">
        <v>75</v>
      </c>
      <c r="N26" s="23" t="s">
        <v>16</v>
      </c>
      <c r="O26" s="23" t="s">
        <v>152</v>
      </c>
      <c r="P26" s="30">
        <v>36</v>
      </c>
      <c r="Q26" s="32" t="str">
        <f t="shared" si="2"/>
        <v>正常</v>
      </c>
    </row>
    <row r="27" spans="1:17">
      <c r="A27" s="21">
        <v>26</v>
      </c>
      <c r="B27" s="22">
        <v>44547</v>
      </c>
      <c r="C27" s="23" t="s">
        <v>89</v>
      </c>
      <c r="D27" s="23">
        <v>13953045850</v>
      </c>
      <c r="E27" s="23" t="s">
        <v>90</v>
      </c>
      <c r="F27" s="23" t="str">
        <f t="shared" si="0"/>
        <v>女</v>
      </c>
      <c r="G27" s="24">
        <f>DATE(MID(E27,7,VLOOKUP(LEN(E27),{15,2;18,4},2,0)),MID(E27,VLOOKUP(LEN(E27),{15,9;18,11},2,0),2),MID(E27,VLOOKUP(LEN(E27),{15,11;18,13},2,0),2))</f>
        <v>22805</v>
      </c>
      <c r="H27" s="23">
        <f t="shared" si="1"/>
        <v>59</v>
      </c>
      <c r="I27" s="28">
        <v>0.451388888888889</v>
      </c>
      <c r="J27" s="28">
        <v>0.625694444444445</v>
      </c>
      <c r="K27" s="29">
        <f t="shared" si="3"/>
        <v>0.174305555555556</v>
      </c>
      <c r="L27" s="23" t="s">
        <v>14</v>
      </c>
      <c r="M27" s="23" t="s">
        <v>91</v>
      </c>
      <c r="N27" s="23" t="s">
        <v>16</v>
      </c>
      <c r="O27" s="23" t="s">
        <v>152</v>
      </c>
      <c r="P27" s="30">
        <v>36.1</v>
      </c>
      <c r="Q27" s="32" t="str">
        <f t="shared" si="2"/>
        <v>正常</v>
      </c>
    </row>
    <row r="28" spans="1:17">
      <c r="A28" s="21">
        <v>27</v>
      </c>
      <c r="B28" s="22">
        <v>44548</v>
      </c>
      <c r="C28" s="23" t="s">
        <v>92</v>
      </c>
      <c r="D28" s="23">
        <v>18064012321</v>
      </c>
      <c r="E28" s="23" t="s">
        <v>93</v>
      </c>
      <c r="F28" s="23" t="str">
        <f t="shared" si="0"/>
        <v>男</v>
      </c>
      <c r="G28" s="24">
        <f>DATE(MID(E28,7,VLOOKUP(LEN(E28),{15,2;18,4},2,0)),MID(E28,VLOOKUP(LEN(E28),{15,9;18,11},2,0),2),MID(E28,VLOOKUP(LEN(E28),{15,11;18,13},2,0),2))</f>
        <v>28698</v>
      </c>
      <c r="H28" s="23">
        <f t="shared" si="1"/>
        <v>43</v>
      </c>
      <c r="I28" s="28">
        <v>0.375</v>
      </c>
      <c r="J28" s="28">
        <v>0.688888888888889</v>
      </c>
      <c r="K28" s="29">
        <f t="shared" si="3"/>
        <v>0.313888888888889</v>
      </c>
      <c r="L28" s="23" t="s">
        <v>27</v>
      </c>
      <c r="M28" s="23" t="s">
        <v>94</v>
      </c>
      <c r="N28" s="23" t="s">
        <v>16</v>
      </c>
      <c r="O28" s="23" t="s">
        <v>152</v>
      </c>
      <c r="P28" s="30">
        <v>37</v>
      </c>
      <c r="Q28" s="32" t="str">
        <f t="shared" si="2"/>
        <v>正常</v>
      </c>
    </row>
    <row r="29" spans="1:17">
      <c r="A29" s="21">
        <v>28</v>
      </c>
      <c r="B29" s="22">
        <v>44548</v>
      </c>
      <c r="C29" s="23" t="s">
        <v>95</v>
      </c>
      <c r="D29" s="23">
        <v>18981912821</v>
      </c>
      <c r="E29" s="23" t="s">
        <v>96</v>
      </c>
      <c r="F29" s="23" t="str">
        <f t="shared" si="0"/>
        <v>女</v>
      </c>
      <c r="G29" s="24">
        <f>DATE(MID(E29,7,VLOOKUP(LEN(E29),{15,2;18,4},2,0)),MID(E29,VLOOKUP(LEN(E29),{15,9;18,11},2,0),2),MID(E29,VLOOKUP(LEN(E29),{15,11;18,13},2,0),2))</f>
        <v>36621</v>
      </c>
      <c r="H29" s="23">
        <f t="shared" si="1"/>
        <v>21</v>
      </c>
      <c r="I29" s="28">
        <v>0.625</v>
      </c>
      <c r="J29" s="28">
        <v>0.781944444444444</v>
      </c>
      <c r="K29" s="29">
        <f t="shared" si="3"/>
        <v>0.156944444444444</v>
      </c>
      <c r="L29" s="23" t="s">
        <v>27</v>
      </c>
      <c r="M29" s="23" t="s">
        <v>97</v>
      </c>
      <c r="N29" s="23" t="s">
        <v>67</v>
      </c>
      <c r="O29" s="23" t="s">
        <v>153</v>
      </c>
      <c r="P29" s="30">
        <v>36.2</v>
      </c>
      <c r="Q29" s="32" t="str">
        <f t="shared" si="2"/>
        <v>异常</v>
      </c>
    </row>
    <row r="30" spans="1:17">
      <c r="A30" s="21">
        <v>29</v>
      </c>
      <c r="B30" s="22">
        <v>44549</v>
      </c>
      <c r="C30" s="23" t="s">
        <v>99</v>
      </c>
      <c r="D30" s="23">
        <v>13964897518</v>
      </c>
      <c r="E30" s="23" t="s">
        <v>100</v>
      </c>
      <c r="F30" s="23" t="str">
        <f t="shared" si="0"/>
        <v>女</v>
      </c>
      <c r="G30" s="24">
        <f>DATE(MID(E30,7,VLOOKUP(LEN(E30),{15,2;18,4},2,0)),MID(E30,VLOOKUP(LEN(E30),{15,9;18,11},2,0),2),MID(E30,VLOOKUP(LEN(E30),{15,11;18,13},2,0),2))</f>
        <v>23636</v>
      </c>
      <c r="H30" s="23">
        <f t="shared" si="1"/>
        <v>57</v>
      </c>
      <c r="I30" s="28">
        <v>0.364583333333333</v>
      </c>
      <c r="J30" s="28">
        <v>0.497916666666666</v>
      </c>
      <c r="K30" s="29">
        <f t="shared" si="3"/>
        <v>0.133333333333333</v>
      </c>
      <c r="L30" s="23" t="s">
        <v>34</v>
      </c>
      <c r="M30" s="23" t="s">
        <v>31</v>
      </c>
      <c r="N30" s="23" t="s">
        <v>16</v>
      </c>
      <c r="O30" s="23" t="s">
        <v>152</v>
      </c>
      <c r="P30" s="30">
        <v>36.7</v>
      </c>
      <c r="Q30" s="32" t="str">
        <f t="shared" si="2"/>
        <v>正常</v>
      </c>
    </row>
    <row r="31" spans="1:17">
      <c r="A31" s="21">
        <v>30</v>
      </c>
      <c r="B31" s="22">
        <v>44549</v>
      </c>
      <c r="C31" s="23" t="s">
        <v>101</v>
      </c>
      <c r="D31" s="23">
        <v>18310954137</v>
      </c>
      <c r="E31" s="23" t="s">
        <v>102</v>
      </c>
      <c r="F31" s="23" t="str">
        <f t="shared" si="0"/>
        <v>女</v>
      </c>
      <c r="G31" s="24">
        <f>DATE(MID(E31,7,VLOOKUP(LEN(E31),{15,2;18,4},2,0)),MID(E31,VLOOKUP(LEN(E31),{15,9;18,11},2,0),2),MID(E31,VLOOKUP(LEN(E31),{15,11;18,13},2,0),2))</f>
        <v>25369</v>
      </c>
      <c r="H31" s="23">
        <f t="shared" si="1"/>
        <v>52</v>
      </c>
      <c r="I31" s="28">
        <v>0.472222222222222</v>
      </c>
      <c r="J31" s="28">
        <v>0.529861111111111</v>
      </c>
      <c r="K31" s="29">
        <f t="shared" si="3"/>
        <v>0.057638888888889</v>
      </c>
      <c r="L31" s="23" t="s">
        <v>14</v>
      </c>
      <c r="M31" s="23" t="s">
        <v>86</v>
      </c>
      <c r="N31" s="23" t="s">
        <v>16</v>
      </c>
      <c r="O31" s="23" t="s">
        <v>152</v>
      </c>
      <c r="P31" s="30">
        <v>36</v>
      </c>
      <c r="Q31" s="32" t="str">
        <f t="shared" si="2"/>
        <v>正常</v>
      </c>
    </row>
    <row r="32" spans="1:17">
      <c r="A32" s="21">
        <v>31</v>
      </c>
      <c r="B32" s="22">
        <v>44549</v>
      </c>
      <c r="C32" s="23" t="s">
        <v>103</v>
      </c>
      <c r="D32" s="23">
        <v>13980010308</v>
      </c>
      <c r="E32" s="23" t="s">
        <v>104</v>
      </c>
      <c r="F32" s="23" t="str">
        <f t="shared" si="0"/>
        <v>女</v>
      </c>
      <c r="G32" s="24">
        <f>DATE(MID(E32,7,VLOOKUP(LEN(E32),{15,2;18,4},2,0)),MID(E32,VLOOKUP(LEN(E32),{15,9;18,11},2,0),2),MID(E32,VLOOKUP(LEN(E32),{15,11;18,13},2,0),2))</f>
        <v>31333</v>
      </c>
      <c r="H32" s="23">
        <f t="shared" si="1"/>
        <v>36</v>
      </c>
      <c r="I32" s="28">
        <v>0.618055555555556</v>
      </c>
      <c r="J32" s="28">
        <v>0.709027777777778</v>
      </c>
      <c r="K32" s="29">
        <f t="shared" si="3"/>
        <v>0.090972222222222</v>
      </c>
      <c r="L32" s="23" t="s">
        <v>14</v>
      </c>
      <c r="M32" s="23" t="s">
        <v>31</v>
      </c>
      <c r="N32" s="23" t="s">
        <v>16</v>
      </c>
      <c r="O32" s="23" t="s">
        <v>152</v>
      </c>
      <c r="P32" s="30">
        <v>37.5</v>
      </c>
      <c r="Q32" s="32" t="str">
        <f t="shared" si="2"/>
        <v>异常</v>
      </c>
    </row>
    <row r="33" spans="1:17">
      <c r="A33" s="21">
        <v>32</v>
      </c>
      <c r="B33" s="22">
        <v>44550</v>
      </c>
      <c r="C33" s="23" t="s">
        <v>105</v>
      </c>
      <c r="D33" s="23">
        <v>18034632148</v>
      </c>
      <c r="E33" s="23" t="s">
        <v>106</v>
      </c>
      <c r="F33" s="23" t="str">
        <f t="shared" si="0"/>
        <v>男</v>
      </c>
      <c r="G33" s="24">
        <f>DATE(MID(E33,7,VLOOKUP(LEN(E33),{15,2;18,4},2,0)),MID(E33,VLOOKUP(LEN(E33),{15,9;18,11},2,0),2),MID(E33,VLOOKUP(LEN(E33),{15,11;18,13},2,0),2))</f>
        <v>32898</v>
      </c>
      <c r="H33" s="23">
        <f t="shared" si="1"/>
        <v>31</v>
      </c>
      <c r="I33" s="28">
        <v>0.681944444444444</v>
      </c>
      <c r="J33" s="28">
        <v>0.734027777777777</v>
      </c>
      <c r="K33" s="29">
        <f t="shared" si="3"/>
        <v>0.0520833333333329</v>
      </c>
      <c r="L33" s="23" t="s">
        <v>27</v>
      </c>
      <c r="M33" s="23" t="s">
        <v>75</v>
      </c>
      <c r="N33" s="23" t="s">
        <v>16</v>
      </c>
      <c r="O33" s="23" t="s">
        <v>152</v>
      </c>
      <c r="P33" s="30">
        <v>35.9</v>
      </c>
      <c r="Q33" s="32" t="str">
        <f t="shared" si="2"/>
        <v>正常</v>
      </c>
    </row>
    <row r="34" spans="1:17">
      <c r="A34" s="21">
        <v>33</v>
      </c>
      <c r="B34" s="22">
        <v>44551</v>
      </c>
      <c r="C34" s="23" t="s">
        <v>107</v>
      </c>
      <c r="D34" s="23">
        <v>18939051837</v>
      </c>
      <c r="E34" s="23" t="s">
        <v>108</v>
      </c>
      <c r="F34" s="23" t="str">
        <f t="shared" si="0"/>
        <v>女</v>
      </c>
      <c r="G34" s="24">
        <f>DATE(MID(E34,7,VLOOKUP(LEN(E34),{15,2;18,4},2,0)),MID(E34,VLOOKUP(LEN(E34),{15,9;18,11},2,0),2),MID(E34,VLOOKUP(LEN(E34),{15,11;18,13},2,0),2))</f>
        <v>30185</v>
      </c>
      <c r="H34" s="23">
        <f t="shared" si="1"/>
        <v>39</v>
      </c>
      <c r="I34" s="28">
        <v>0.59375</v>
      </c>
      <c r="J34" s="28">
        <v>0.742361111111111</v>
      </c>
      <c r="K34" s="29">
        <f t="shared" si="3"/>
        <v>0.148611111111111</v>
      </c>
      <c r="L34" s="23" t="s">
        <v>14</v>
      </c>
      <c r="M34" s="23" t="s">
        <v>60</v>
      </c>
      <c r="N34" s="23" t="s">
        <v>16</v>
      </c>
      <c r="O34" s="23" t="s">
        <v>152</v>
      </c>
      <c r="P34" s="30">
        <v>36.9</v>
      </c>
      <c r="Q34" s="32" t="str">
        <f t="shared" si="2"/>
        <v>正常</v>
      </c>
    </row>
    <row r="35" spans="1:17">
      <c r="A35" s="21">
        <v>34</v>
      </c>
      <c r="B35" s="22">
        <v>44552</v>
      </c>
      <c r="C35" s="23" t="s">
        <v>109</v>
      </c>
      <c r="D35" s="23">
        <v>18970147497</v>
      </c>
      <c r="E35" s="23" t="s">
        <v>110</v>
      </c>
      <c r="F35" s="23" t="str">
        <f t="shared" ref="F35:F51" si="4">IF(OR(LEN(E35)=15,LEN(E35)=18),IF(MOD(MID(E35,15,3)*1,2),"男","女"),#N/A)</f>
        <v>男</v>
      </c>
      <c r="G35" s="24">
        <f>DATE(MID(E35,7,VLOOKUP(LEN(E35),{15,2;18,4},2,0)),MID(E35,VLOOKUP(LEN(E35),{15,9;18,11},2,0),2),MID(E35,VLOOKUP(LEN(E35),{15,11;18,13},2,0),2))</f>
        <v>33745</v>
      </c>
      <c r="H35" s="23">
        <f t="shared" ref="H35:H51" si="5">DATEDIF(G35,B35,"y")</f>
        <v>29</v>
      </c>
      <c r="I35" s="28">
        <v>0.520833333333333</v>
      </c>
      <c r="J35" s="28">
        <v>0.725694444444444</v>
      </c>
      <c r="K35" s="29">
        <f t="shared" ref="K35:K51" si="6">J35-I35</f>
        <v>0.204861111111111</v>
      </c>
      <c r="L35" s="23" t="s">
        <v>27</v>
      </c>
      <c r="M35" s="23" t="s">
        <v>91</v>
      </c>
      <c r="N35" s="23" t="s">
        <v>16</v>
      </c>
      <c r="O35" s="23" t="s">
        <v>152</v>
      </c>
      <c r="P35" s="30">
        <v>36.9</v>
      </c>
      <c r="Q35" s="32" t="str">
        <f t="shared" ref="Q35:Q51" si="7">IF(OR(N35="是",O35="红",P35&gt;37.3),"异常","正常")</f>
        <v>正常</v>
      </c>
    </row>
    <row r="36" spans="1:17">
      <c r="A36" s="21">
        <v>35</v>
      </c>
      <c r="B36" s="22">
        <v>44553</v>
      </c>
      <c r="C36" s="23" t="s">
        <v>111</v>
      </c>
      <c r="D36" s="23">
        <v>18098676123</v>
      </c>
      <c r="E36" s="23" t="s">
        <v>112</v>
      </c>
      <c r="F36" s="23" t="str">
        <f t="shared" si="4"/>
        <v>女</v>
      </c>
      <c r="G36" s="24">
        <f>DATE(MID(E36,7,VLOOKUP(LEN(E36),{15,2;18,4},2,0)),MID(E36,VLOOKUP(LEN(E36),{15,9;18,11},2,0),2),MID(E36,VLOOKUP(LEN(E36),{15,11;18,13},2,0),2))</f>
        <v>34537</v>
      </c>
      <c r="H36" s="23">
        <f t="shared" si="5"/>
        <v>27</v>
      </c>
      <c r="I36" s="28">
        <v>0.545138888888889</v>
      </c>
      <c r="J36" s="28">
        <v>0.809722222222222</v>
      </c>
      <c r="K36" s="29">
        <f t="shared" si="6"/>
        <v>0.264583333333333</v>
      </c>
      <c r="L36" s="23" t="s">
        <v>27</v>
      </c>
      <c r="M36" s="23" t="s">
        <v>49</v>
      </c>
      <c r="N36" s="23" t="s">
        <v>16</v>
      </c>
      <c r="O36" s="23" t="s">
        <v>152</v>
      </c>
      <c r="P36" s="30">
        <v>36.7</v>
      </c>
      <c r="Q36" s="32" t="str">
        <f t="shared" si="7"/>
        <v>正常</v>
      </c>
    </row>
    <row r="37" spans="1:17">
      <c r="A37" s="21">
        <v>36</v>
      </c>
      <c r="B37" s="22">
        <v>44553</v>
      </c>
      <c r="C37" s="23" t="s">
        <v>113</v>
      </c>
      <c r="D37" s="23">
        <v>13575512011</v>
      </c>
      <c r="E37" s="23" t="s">
        <v>114</v>
      </c>
      <c r="F37" s="23" t="str">
        <f t="shared" si="4"/>
        <v>女</v>
      </c>
      <c r="G37" s="24">
        <f>DATE(MID(E37,7,VLOOKUP(LEN(E37),{15,2;18,4},2,0)),MID(E37,VLOOKUP(LEN(E37),{15,9;18,11},2,0),2),MID(E37,VLOOKUP(LEN(E37),{15,11;18,13},2,0),2))</f>
        <v>28090</v>
      </c>
      <c r="H37" s="23">
        <f t="shared" si="5"/>
        <v>45</v>
      </c>
      <c r="I37" s="28">
        <v>0.628472222222222</v>
      </c>
      <c r="J37" s="28">
        <v>0.676388888888889</v>
      </c>
      <c r="K37" s="29">
        <f t="shared" si="6"/>
        <v>0.0479166666666671</v>
      </c>
      <c r="L37" s="23" t="s">
        <v>14</v>
      </c>
      <c r="M37" s="23" t="s">
        <v>20</v>
      </c>
      <c r="N37" s="23" t="s">
        <v>16</v>
      </c>
      <c r="O37" s="23" t="s">
        <v>152</v>
      </c>
      <c r="P37" s="30">
        <v>36.8</v>
      </c>
      <c r="Q37" s="32" t="str">
        <f t="shared" si="7"/>
        <v>正常</v>
      </c>
    </row>
    <row r="38" spans="1:17">
      <c r="A38" s="21">
        <v>37</v>
      </c>
      <c r="B38" s="22">
        <v>44554</v>
      </c>
      <c r="C38" s="23" t="s">
        <v>115</v>
      </c>
      <c r="D38" s="23">
        <v>18917985634</v>
      </c>
      <c r="E38" s="23" t="s">
        <v>116</v>
      </c>
      <c r="F38" s="23" t="str">
        <f t="shared" si="4"/>
        <v>女</v>
      </c>
      <c r="G38" s="24">
        <f>DATE(MID(E38,7,VLOOKUP(LEN(E38),{15,2;18,4},2,0)),MID(E38,VLOOKUP(LEN(E38),{15,9;18,11},2,0),2),MID(E38,VLOOKUP(LEN(E38),{15,11;18,13},2,0),2))</f>
        <v>32391</v>
      </c>
      <c r="H38" s="23">
        <f t="shared" si="5"/>
        <v>33</v>
      </c>
      <c r="I38" s="28">
        <v>0.454166666666667</v>
      </c>
      <c r="J38" s="28">
        <v>0.799305555555556</v>
      </c>
      <c r="K38" s="29">
        <f t="shared" si="6"/>
        <v>0.345138888888889</v>
      </c>
      <c r="L38" s="23" t="s">
        <v>23</v>
      </c>
      <c r="M38" s="23" t="s">
        <v>117</v>
      </c>
      <c r="N38" s="23" t="s">
        <v>16</v>
      </c>
      <c r="O38" s="23" t="s">
        <v>152</v>
      </c>
      <c r="P38" s="30">
        <v>35.8</v>
      </c>
      <c r="Q38" s="32" t="str">
        <f t="shared" si="7"/>
        <v>正常</v>
      </c>
    </row>
    <row r="39" spans="1:17">
      <c r="A39" s="21">
        <v>38</v>
      </c>
      <c r="B39" s="22">
        <v>44554</v>
      </c>
      <c r="C39" s="23" t="s">
        <v>118</v>
      </c>
      <c r="D39" s="23">
        <v>18098922345</v>
      </c>
      <c r="E39" s="23" t="s">
        <v>119</v>
      </c>
      <c r="F39" s="23" t="str">
        <f t="shared" si="4"/>
        <v>女</v>
      </c>
      <c r="G39" s="24">
        <f>DATE(MID(E39,7,VLOOKUP(LEN(E39),{15,2;18,4},2,0)),MID(E39,VLOOKUP(LEN(E39),{15,9;18,11},2,0),2),MID(E39,VLOOKUP(LEN(E39),{15,11;18,13},2,0),2))</f>
        <v>30424</v>
      </c>
      <c r="H39" s="23">
        <f t="shared" si="5"/>
        <v>38</v>
      </c>
      <c r="I39" s="28">
        <v>0.649305555555556</v>
      </c>
      <c r="J39" s="28">
        <v>0.725</v>
      </c>
      <c r="K39" s="29">
        <f t="shared" si="6"/>
        <v>0.075694444444444</v>
      </c>
      <c r="L39" s="23" t="s">
        <v>14</v>
      </c>
      <c r="M39" s="23" t="s">
        <v>75</v>
      </c>
      <c r="N39" s="23" t="s">
        <v>16</v>
      </c>
      <c r="O39" s="23" t="s">
        <v>152</v>
      </c>
      <c r="P39" s="30">
        <v>37.2</v>
      </c>
      <c r="Q39" s="32" t="str">
        <f t="shared" si="7"/>
        <v>正常</v>
      </c>
    </row>
    <row r="40" spans="1:17">
      <c r="A40" s="21">
        <v>39</v>
      </c>
      <c r="B40" s="22">
        <v>44555</v>
      </c>
      <c r="C40" s="23" t="s">
        <v>120</v>
      </c>
      <c r="D40" s="23">
        <v>13541644618</v>
      </c>
      <c r="E40" s="23" t="s">
        <v>121</v>
      </c>
      <c r="F40" s="23" t="str">
        <f t="shared" si="4"/>
        <v>女</v>
      </c>
      <c r="G40" s="24">
        <f>DATE(MID(E40,7,VLOOKUP(LEN(E40),{15,2;18,4},2,0)),MID(E40,VLOOKUP(LEN(E40),{15,9;18,11},2,0),2),MID(E40,VLOOKUP(LEN(E40),{15,11;18,13},2,0),2))</f>
        <v>32942</v>
      </c>
      <c r="H40" s="23">
        <f t="shared" si="5"/>
        <v>31</v>
      </c>
      <c r="I40" s="28">
        <v>0.384027777777778</v>
      </c>
      <c r="J40" s="28">
        <v>0.565972222222222</v>
      </c>
      <c r="K40" s="29">
        <f t="shared" si="6"/>
        <v>0.181944444444444</v>
      </c>
      <c r="L40" s="23" t="s">
        <v>27</v>
      </c>
      <c r="M40" s="23" t="s">
        <v>35</v>
      </c>
      <c r="N40" s="23" t="s">
        <v>16</v>
      </c>
      <c r="O40" s="23" t="s">
        <v>152</v>
      </c>
      <c r="P40" s="30">
        <v>36.8</v>
      </c>
      <c r="Q40" s="32" t="str">
        <f t="shared" si="7"/>
        <v>正常</v>
      </c>
    </row>
    <row r="41" spans="1:17">
      <c r="A41" s="21">
        <v>40</v>
      </c>
      <c r="B41" s="22">
        <v>44555</v>
      </c>
      <c r="C41" s="23" t="s">
        <v>122</v>
      </c>
      <c r="D41" s="23">
        <v>13929131117</v>
      </c>
      <c r="E41" s="23" t="s">
        <v>123</v>
      </c>
      <c r="F41" s="23" t="str">
        <f t="shared" si="4"/>
        <v>女</v>
      </c>
      <c r="G41" s="24">
        <f>DATE(MID(E41,7,VLOOKUP(LEN(E41),{15,2;18,4},2,0)),MID(E41,VLOOKUP(LEN(E41),{15,9;18,11},2,0),2),MID(E41,VLOOKUP(LEN(E41),{15,11;18,13},2,0),2))</f>
        <v>30334</v>
      </c>
      <c r="H41" s="23">
        <f t="shared" si="5"/>
        <v>38</v>
      </c>
      <c r="I41" s="28">
        <v>0.402777777777778</v>
      </c>
      <c r="J41" s="28">
        <v>0.500694444444445</v>
      </c>
      <c r="K41" s="29">
        <f t="shared" si="6"/>
        <v>0.097916666666667</v>
      </c>
      <c r="L41" s="23" t="s">
        <v>27</v>
      </c>
      <c r="M41" s="23" t="s">
        <v>72</v>
      </c>
      <c r="N41" s="23" t="s">
        <v>16</v>
      </c>
      <c r="O41" s="23" t="s">
        <v>152</v>
      </c>
      <c r="P41" s="30">
        <v>36.7</v>
      </c>
      <c r="Q41" s="32" t="str">
        <f t="shared" si="7"/>
        <v>正常</v>
      </c>
    </row>
    <row r="42" spans="1:17">
      <c r="A42" s="21">
        <v>41</v>
      </c>
      <c r="B42" s="22">
        <v>44556</v>
      </c>
      <c r="C42" s="23" t="s">
        <v>124</v>
      </c>
      <c r="D42" s="23">
        <v>18086484404</v>
      </c>
      <c r="E42" s="23" t="s">
        <v>125</v>
      </c>
      <c r="F42" s="23" t="str">
        <f t="shared" si="4"/>
        <v>男</v>
      </c>
      <c r="G42" s="24">
        <f>DATE(MID(E42,7,VLOOKUP(LEN(E42),{15,2;18,4},2,0)),MID(E42,VLOOKUP(LEN(E42),{15,9;18,11},2,0),2),MID(E42,VLOOKUP(LEN(E42),{15,11;18,13},2,0),2))</f>
        <v>26980</v>
      </c>
      <c r="H42" s="23">
        <f t="shared" si="5"/>
        <v>48</v>
      </c>
      <c r="I42" s="28">
        <v>0.5625</v>
      </c>
      <c r="J42" s="28">
        <v>0.582638888888889</v>
      </c>
      <c r="K42" s="29">
        <f t="shared" si="6"/>
        <v>0.020138888888889</v>
      </c>
      <c r="L42" s="23" t="s">
        <v>14</v>
      </c>
      <c r="M42" s="23" t="s">
        <v>78</v>
      </c>
      <c r="N42" s="23" t="s">
        <v>16</v>
      </c>
      <c r="O42" s="23" t="s">
        <v>152</v>
      </c>
      <c r="P42" s="30">
        <v>36.1</v>
      </c>
      <c r="Q42" s="32" t="str">
        <f t="shared" si="7"/>
        <v>正常</v>
      </c>
    </row>
    <row r="43" spans="1:17">
      <c r="A43" s="21">
        <v>42</v>
      </c>
      <c r="B43" s="22">
        <v>44556</v>
      </c>
      <c r="C43" s="23" t="s">
        <v>126</v>
      </c>
      <c r="D43" s="23">
        <v>18910563581</v>
      </c>
      <c r="E43" s="23" t="s">
        <v>127</v>
      </c>
      <c r="F43" s="23" t="str">
        <f t="shared" si="4"/>
        <v>男</v>
      </c>
      <c r="G43" s="24">
        <f>DATE(MID(E43,7,VLOOKUP(LEN(E43),{15,2;18,4},2,0)),MID(E43,VLOOKUP(LEN(E43),{15,9;18,11},2,0),2),MID(E43,VLOOKUP(LEN(E43),{15,11;18,13},2,0),2))</f>
        <v>27611</v>
      </c>
      <c r="H43" s="23">
        <f t="shared" si="5"/>
        <v>46</v>
      </c>
      <c r="I43" s="28">
        <v>0.603472222222222</v>
      </c>
      <c r="J43" s="28">
        <v>0.674305555555555</v>
      </c>
      <c r="K43" s="29">
        <f t="shared" si="6"/>
        <v>0.0708333333333331</v>
      </c>
      <c r="L43" s="23" t="s">
        <v>14</v>
      </c>
      <c r="M43" s="23" t="s">
        <v>75</v>
      </c>
      <c r="N43" s="23" t="s">
        <v>16</v>
      </c>
      <c r="O43" s="23" t="s">
        <v>152</v>
      </c>
      <c r="P43" s="30">
        <v>36.5</v>
      </c>
      <c r="Q43" s="32" t="str">
        <f t="shared" si="7"/>
        <v>正常</v>
      </c>
    </row>
    <row r="44" spans="1:17">
      <c r="A44" s="21">
        <v>43</v>
      </c>
      <c r="B44" s="22">
        <v>44557</v>
      </c>
      <c r="C44" s="23" t="s">
        <v>128</v>
      </c>
      <c r="D44" s="23">
        <v>13910540324</v>
      </c>
      <c r="E44" s="23" t="s">
        <v>129</v>
      </c>
      <c r="F44" s="23" t="str">
        <f t="shared" si="4"/>
        <v>男</v>
      </c>
      <c r="G44" s="24">
        <f>DATE(MID(E44,7,VLOOKUP(LEN(E44),{15,2;18,4},2,0)),MID(E44,VLOOKUP(LEN(E44),{15,9;18,11},2,0),2),MID(E44,VLOOKUP(LEN(E44),{15,11;18,13},2,0),2))</f>
        <v>34237</v>
      </c>
      <c r="H44" s="23">
        <f t="shared" si="5"/>
        <v>28</v>
      </c>
      <c r="I44" s="28">
        <v>0.647916666666667</v>
      </c>
      <c r="J44" s="28">
        <v>0.766666666666667</v>
      </c>
      <c r="K44" s="29">
        <f t="shared" si="6"/>
        <v>0.11875</v>
      </c>
      <c r="L44" s="23" t="s">
        <v>27</v>
      </c>
      <c r="M44" s="23" t="s">
        <v>86</v>
      </c>
      <c r="N44" s="23" t="s">
        <v>16</v>
      </c>
      <c r="O44" s="23" t="s">
        <v>152</v>
      </c>
      <c r="P44" s="30">
        <v>37.2</v>
      </c>
      <c r="Q44" s="32" t="str">
        <f t="shared" si="7"/>
        <v>正常</v>
      </c>
    </row>
    <row r="45" spans="1:17">
      <c r="A45" s="21">
        <v>44</v>
      </c>
      <c r="B45" s="22">
        <v>44558</v>
      </c>
      <c r="C45" s="23" t="s">
        <v>130</v>
      </c>
      <c r="D45" s="23">
        <v>18399006720</v>
      </c>
      <c r="E45" s="23" t="s">
        <v>131</v>
      </c>
      <c r="F45" s="23" t="str">
        <f t="shared" si="4"/>
        <v>女</v>
      </c>
      <c r="G45" s="24">
        <f>DATE(MID(E45,7,VLOOKUP(LEN(E45),{15,2;18,4},2,0)),MID(E45,VLOOKUP(LEN(E45),{15,9;18,11},2,0),2),MID(E45,VLOOKUP(LEN(E45),{15,11;18,13},2,0),2))</f>
        <v>34573</v>
      </c>
      <c r="H45" s="23">
        <f t="shared" si="5"/>
        <v>27</v>
      </c>
      <c r="I45" s="28">
        <v>0.666666666666667</v>
      </c>
      <c r="J45" s="28">
        <v>0.809722222222222</v>
      </c>
      <c r="K45" s="29">
        <f t="shared" si="6"/>
        <v>0.143055555555555</v>
      </c>
      <c r="L45" s="23" t="s">
        <v>27</v>
      </c>
      <c r="M45" s="23" t="s">
        <v>66</v>
      </c>
      <c r="N45" s="23" t="s">
        <v>67</v>
      </c>
      <c r="O45" s="23" t="s">
        <v>153</v>
      </c>
      <c r="P45" s="30">
        <v>38.1</v>
      </c>
      <c r="Q45" s="32" t="str">
        <f t="shared" si="7"/>
        <v>异常</v>
      </c>
    </row>
    <row r="46" spans="1:17">
      <c r="A46" s="21">
        <v>45</v>
      </c>
      <c r="B46" s="22">
        <v>44558</v>
      </c>
      <c r="C46" s="23" t="s">
        <v>133</v>
      </c>
      <c r="D46" s="23">
        <v>18076867897</v>
      </c>
      <c r="E46" s="23" t="s">
        <v>134</v>
      </c>
      <c r="F46" s="23" t="str">
        <f t="shared" si="4"/>
        <v>女</v>
      </c>
      <c r="G46" s="24">
        <f>DATE(MID(E46,7,VLOOKUP(LEN(E46),{15,2;18,4},2,0)),MID(E46,VLOOKUP(LEN(E46),{15,9;18,11},2,0),2),MID(E46,VLOOKUP(LEN(E46),{15,11;18,13},2,0),2))</f>
        <v>25753</v>
      </c>
      <c r="H46" s="23">
        <f t="shared" si="5"/>
        <v>51</v>
      </c>
      <c r="I46" s="28">
        <v>0.730555555555556</v>
      </c>
      <c r="J46" s="28">
        <v>0.774305555555556</v>
      </c>
      <c r="K46" s="29">
        <f t="shared" si="6"/>
        <v>0.0437500000000001</v>
      </c>
      <c r="L46" s="23" t="s">
        <v>14</v>
      </c>
      <c r="M46" s="23" t="s">
        <v>91</v>
      </c>
      <c r="N46" s="23" t="s">
        <v>16</v>
      </c>
      <c r="O46" s="23" t="s">
        <v>152</v>
      </c>
      <c r="P46" s="30">
        <v>36.1</v>
      </c>
      <c r="Q46" s="32" t="str">
        <f t="shared" si="7"/>
        <v>正常</v>
      </c>
    </row>
    <row r="47" spans="1:17">
      <c r="A47" s="21">
        <v>46</v>
      </c>
      <c r="B47" s="22">
        <v>44559</v>
      </c>
      <c r="C47" s="23" t="s">
        <v>135</v>
      </c>
      <c r="D47" s="23">
        <v>13965267961</v>
      </c>
      <c r="E47" s="23" t="s">
        <v>136</v>
      </c>
      <c r="F47" s="23" t="str">
        <f t="shared" si="4"/>
        <v>女</v>
      </c>
      <c r="G47" s="24">
        <f>DATE(MID(E47,7,VLOOKUP(LEN(E47),{15,2;18,4},2,0)),MID(E47,VLOOKUP(LEN(E47),{15,9;18,11},2,0),2),MID(E47,VLOOKUP(LEN(E47),{15,11;18,13},2,0),2))</f>
        <v>30123</v>
      </c>
      <c r="H47" s="23">
        <f t="shared" si="5"/>
        <v>39</v>
      </c>
      <c r="I47" s="28">
        <v>0.409722222222222</v>
      </c>
      <c r="J47" s="28">
        <v>0.514583333333333</v>
      </c>
      <c r="K47" s="29">
        <f t="shared" si="6"/>
        <v>0.104861111111111</v>
      </c>
      <c r="L47" s="23" t="s">
        <v>34</v>
      </c>
      <c r="M47" s="23" t="s">
        <v>86</v>
      </c>
      <c r="N47" s="23" t="s">
        <v>16</v>
      </c>
      <c r="O47" s="23" t="s">
        <v>152</v>
      </c>
      <c r="P47" s="30">
        <v>36.4</v>
      </c>
      <c r="Q47" s="32" t="str">
        <f t="shared" si="7"/>
        <v>正常</v>
      </c>
    </row>
    <row r="48" spans="1:17">
      <c r="A48" s="21">
        <v>47</v>
      </c>
      <c r="B48" s="22">
        <v>44559</v>
      </c>
      <c r="C48" s="23" t="s">
        <v>137</v>
      </c>
      <c r="D48" s="23">
        <v>18049626271</v>
      </c>
      <c r="E48" s="23" t="s">
        <v>138</v>
      </c>
      <c r="F48" s="23" t="str">
        <f t="shared" si="4"/>
        <v>女</v>
      </c>
      <c r="G48" s="24">
        <f>DATE(MID(E48,7,VLOOKUP(LEN(E48),{15,2;18,4},2,0)),MID(E48,VLOOKUP(LEN(E48),{15,9;18,11},2,0),2),MID(E48,VLOOKUP(LEN(E48),{15,11;18,13},2,0),2))</f>
        <v>32092</v>
      </c>
      <c r="H48" s="23">
        <f t="shared" si="5"/>
        <v>34</v>
      </c>
      <c r="I48" s="28">
        <v>0.6125</v>
      </c>
      <c r="J48" s="28">
        <v>0.745833333333333</v>
      </c>
      <c r="K48" s="29">
        <f t="shared" si="6"/>
        <v>0.133333333333333</v>
      </c>
      <c r="L48" s="23" t="s">
        <v>27</v>
      </c>
      <c r="M48" s="23" t="s">
        <v>63</v>
      </c>
      <c r="N48" s="23" t="s">
        <v>16</v>
      </c>
      <c r="O48" s="23" t="s">
        <v>152</v>
      </c>
      <c r="P48" s="30">
        <v>36.1</v>
      </c>
      <c r="Q48" s="32" t="str">
        <f t="shared" si="7"/>
        <v>正常</v>
      </c>
    </row>
    <row r="49" spans="1:17">
      <c r="A49" s="21">
        <v>48</v>
      </c>
      <c r="B49" s="22">
        <v>44560</v>
      </c>
      <c r="C49" s="23" t="s">
        <v>139</v>
      </c>
      <c r="D49" s="23">
        <v>18057313680</v>
      </c>
      <c r="E49" s="23" t="s">
        <v>140</v>
      </c>
      <c r="F49" s="23" t="str">
        <f t="shared" si="4"/>
        <v>男</v>
      </c>
      <c r="G49" s="24">
        <f>DATE(MID(E49,7,VLOOKUP(LEN(E49),{15,2;18,4},2,0)),MID(E49,VLOOKUP(LEN(E49),{15,9;18,11},2,0),2),MID(E49,VLOOKUP(LEN(E49),{15,11;18,13},2,0),2))</f>
        <v>32377</v>
      </c>
      <c r="H49" s="23">
        <f t="shared" si="5"/>
        <v>33</v>
      </c>
      <c r="I49" s="28">
        <v>0.465277777777778</v>
      </c>
      <c r="J49" s="28">
        <v>0.488888888888889</v>
      </c>
      <c r="K49" s="29">
        <f t="shared" si="6"/>
        <v>0.023611111111111</v>
      </c>
      <c r="L49" s="23" t="s">
        <v>14</v>
      </c>
      <c r="M49" s="23" t="s">
        <v>60</v>
      </c>
      <c r="N49" s="23" t="s">
        <v>16</v>
      </c>
      <c r="O49" s="23" t="s">
        <v>152</v>
      </c>
      <c r="P49" s="30">
        <v>37.5</v>
      </c>
      <c r="Q49" s="32" t="str">
        <f t="shared" si="7"/>
        <v>异常</v>
      </c>
    </row>
    <row r="50" spans="1:17">
      <c r="A50" s="21">
        <v>49</v>
      </c>
      <c r="B50" s="22">
        <v>44560</v>
      </c>
      <c r="C50" s="23" t="s">
        <v>141</v>
      </c>
      <c r="D50" s="23">
        <v>13922279189</v>
      </c>
      <c r="E50" s="23" t="s">
        <v>142</v>
      </c>
      <c r="F50" s="23" t="str">
        <f t="shared" si="4"/>
        <v>男</v>
      </c>
      <c r="G50" s="24">
        <f>DATE(MID(E50,7,VLOOKUP(LEN(E50),{15,2;18,4},2,0)),MID(E50,VLOOKUP(LEN(E50),{15,9;18,11},2,0),2),MID(E50,VLOOKUP(LEN(E50),{15,11;18,13},2,0),2))</f>
        <v>34625</v>
      </c>
      <c r="H50" s="23">
        <f t="shared" si="5"/>
        <v>27</v>
      </c>
      <c r="I50" s="28">
        <v>0.648611111111111</v>
      </c>
      <c r="J50" s="28">
        <v>0.709722222222222</v>
      </c>
      <c r="K50" s="29">
        <f t="shared" si="6"/>
        <v>0.061111111111111</v>
      </c>
      <c r="L50" s="23" t="s">
        <v>14</v>
      </c>
      <c r="M50" s="23" t="s">
        <v>83</v>
      </c>
      <c r="N50" s="23" t="s">
        <v>16</v>
      </c>
      <c r="O50" s="23" t="s">
        <v>152</v>
      </c>
      <c r="P50" s="30">
        <v>35.8</v>
      </c>
      <c r="Q50" s="32" t="str">
        <f t="shared" si="7"/>
        <v>正常</v>
      </c>
    </row>
    <row r="51" spans="1:17">
      <c r="A51" s="21">
        <v>50</v>
      </c>
      <c r="B51" s="22">
        <v>44561</v>
      </c>
      <c r="C51" s="23" t="s">
        <v>143</v>
      </c>
      <c r="D51" s="23">
        <v>18964475696</v>
      </c>
      <c r="E51" s="23" t="s">
        <v>144</v>
      </c>
      <c r="F51" s="23" t="str">
        <f t="shared" si="4"/>
        <v>女</v>
      </c>
      <c r="G51" s="24">
        <f>DATE(MID(E51,7,VLOOKUP(LEN(E51),{15,2;18,4},2,0)),MID(E51,VLOOKUP(LEN(E51),{15,9;18,11},2,0),2),MID(E51,VLOOKUP(LEN(E51),{15,11;18,13},2,0),2))</f>
        <v>32205</v>
      </c>
      <c r="H51" s="23">
        <f t="shared" si="5"/>
        <v>33</v>
      </c>
      <c r="I51" s="28">
        <v>0.375</v>
      </c>
      <c r="J51" s="28">
        <v>0.411805555555556</v>
      </c>
      <c r="K51" s="29">
        <f t="shared" si="6"/>
        <v>0.036805555555556</v>
      </c>
      <c r="L51" s="23" t="s">
        <v>14</v>
      </c>
      <c r="M51" s="23" t="s">
        <v>145</v>
      </c>
      <c r="N51" s="23" t="s">
        <v>16</v>
      </c>
      <c r="O51" s="23" t="s">
        <v>152</v>
      </c>
      <c r="P51" s="30">
        <v>36.7</v>
      </c>
      <c r="Q51" s="32" t="str">
        <f t="shared" si="7"/>
        <v>正常</v>
      </c>
    </row>
  </sheetData>
  <conditionalFormatting sqref="K$1:K$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{0f1102ae-614e-4750-a885-08b8157ba6d7}</x14:id>
        </ext>
      </extLst>
    </cfRule>
  </conditionalFormatting>
  <conditionalFormatting sqref="A2:Q51">
    <cfRule type="expression" dxfId="0" priority="2">
      <formula>$Q2="异常"</formula>
    </cfRule>
    <cfRule type="expression" dxfId="1" priority="1">
      <formula>AND($O2="红",$P2&gt;37.3)</formula>
    </cfRule>
  </conditionalFormatting>
  <dataValidations count="2">
    <dataValidation type="textLength" operator="equal" allowBlank="1" showInputMessage="1" showErrorMessage="1" errorTitle="位数出错" error="请输入18位编号" sqref="E$1:E$1048576">
      <formula1>18</formula1>
    </dataValidation>
    <dataValidation type="list" allowBlank="1" showInputMessage="1" showErrorMessage="1" sqref="L$1:L$1048576">
      <formula1>"公务,活动,会议,参观"</formula1>
    </dataValidation>
  </dataValidations>
  <pageMargins left="0.75" right="0.75" top="1" bottom="1" header="0.5" footer="0.5"/>
  <pageSetup paperSize="9" scale="79" fitToHeight="0" orientation="landscape"/>
  <headerFooter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1102ae-614e-4750-a885-08b8157ba6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G5"/>
  <sheetViews>
    <sheetView showGridLines="0" zoomScale="200" zoomScaleNormal="200" workbookViewId="0">
      <selection activeCell="C5" sqref="C5:F5"/>
    </sheetView>
  </sheetViews>
  <sheetFormatPr defaultColWidth="8.71666666666667" defaultRowHeight="13.5" outlineLevelRow="4" outlineLevelCol="6"/>
  <cols>
    <col min="1" max="7" width="10.6333333333333" customWidth="1"/>
  </cols>
  <sheetData>
    <row r="1" ht="28" customHeight="1" spans="1:7">
      <c r="A1" s="1" t="s">
        <v>154</v>
      </c>
      <c r="B1" s="2"/>
      <c r="C1" s="3" t="s">
        <v>34</v>
      </c>
      <c r="D1" s="3" t="s">
        <v>14</v>
      </c>
      <c r="E1" s="3" t="s">
        <v>27</v>
      </c>
      <c r="F1" s="3" t="s">
        <v>23</v>
      </c>
      <c r="G1" s="3" t="s">
        <v>155</v>
      </c>
    </row>
    <row r="2" spans="1:7">
      <c r="A2" s="4" t="s">
        <v>156</v>
      </c>
      <c r="B2" s="5" t="s">
        <v>155</v>
      </c>
      <c r="C2" s="6">
        <f>COUNTIF(访客登记表!$L:$L,C1)</f>
        <v>7</v>
      </c>
      <c r="D2" s="6">
        <f>COUNTIF(访客登记表!$L:$L,D1)</f>
        <v>20</v>
      </c>
      <c r="E2" s="6">
        <f>COUNTIF(访客登记表!$L:$L,E1)</f>
        <v>18</v>
      </c>
      <c r="F2" s="6">
        <f>COUNTIF(访客登记表!$L:$L,F1)</f>
        <v>5</v>
      </c>
      <c r="G2" s="6">
        <f>IF(SUM(C2:F2)=0,"-",SUM(C2:F2))</f>
        <v>50</v>
      </c>
    </row>
    <row r="3" spans="1:7">
      <c r="A3" s="7"/>
      <c r="B3" s="8" t="s">
        <v>157</v>
      </c>
      <c r="C3" s="9">
        <f>COUNTIFS(访客登记表!$L:$L,C1,访客登记表!$Q:$Q,"异常")</f>
        <v>1</v>
      </c>
      <c r="D3" s="9">
        <f>COUNTIFS(访客登记表!$L:$L,D1,访客登记表!$Q:$Q,"异常")</f>
        <v>2</v>
      </c>
      <c r="E3" s="9">
        <f>COUNTIFS(访客登记表!$L:$L,E1,访客登记表!$Q:$Q,"异常")</f>
        <v>2</v>
      </c>
      <c r="F3" s="9">
        <f>COUNTIFS(访客登记表!$L:$L,F1,访客登记表!$Q:$Q,"异常")</f>
        <v>1</v>
      </c>
      <c r="G3" s="9">
        <f>IF(SUM(C3:F3)=0,"-",SUM(C3:F3))</f>
        <v>6</v>
      </c>
    </row>
    <row r="4" spans="1:7">
      <c r="A4" s="4" t="s">
        <v>158</v>
      </c>
      <c r="B4" s="5" t="s">
        <v>155</v>
      </c>
      <c r="C4" s="10">
        <f>SUMIF(访客登记表!$L:$L,C1,访客登记表!$K:$K)</f>
        <v>0.547916666666666</v>
      </c>
      <c r="D4" s="10">
        <f>SUMIF(访客登记表!$L:$L,D1,访客登记表!$K:$K)</f>
        <v>1.59097222222222</v>
      </c>
      <c r="E4" s="10">
        <f>SUMIF(访客登记表!$L:$L,E1,访客登记表!$K:$K)</f>
        <v>2.76388888888889</v>
      </c>
      <c r="F4" s="10">
        <f>SUMIF(访客登记表!$L:$L,F1,访客登记表!$K:$K)</f>
        <v>1.04652777777778</v>
      </c>
      <c r="G4" s="10">
        <f>IF(SUM(C4:F4)=0,"-",SUM(C4:F4))</f>
        <v>5.94930555555555</v>
      </c>
    </row>
    <row r="5" spans="1:7">
      <c r="A5" s="7"/>
      <c r="B5" s="8" t="s">
        <v>157</v>
      </c>
      <c r="C5" s="11">
        <f>SUMIFS(访客登记表!$K:$K,访客登记表!$L:$L,C1,访客登记表!$Q:$Q,"异常")</f>
        <v>0.026388888888889</v>
      </c>
      <c r="D5" s="11">
        <f>SUMIFS(访客登记表!$K:$K,访客登记表!$L:$L,D1,访客登记表!$Q:$Q,"异常")</f>
        <v>0.114583333333333</v>
      </c>
      <c r="E5" s="11">
        <f>SUMIFS(访客登记表!$K:$K,访客登记表!$L:$L,E1,访客登记表!$Q:$Q,"异常")</f>
        <v>0.299999999999999</v>
      </c>
      <c r="F5" s="11">
        <f>SUMIFS(访客登记表!$K:$K,访客登记表!$L:$L,F1,访客登记表!$Q:$Q,"异常")</f>
        <v>0.0826388888888889</v>
      </c>
      <c r="G5" s="11">
        <f>IF(SUM(C5:F5)=0,"-",SUM(C5:F5))</f>
        <v>0.52361111111111</v>
      </c>
    </row>
  </sheetData>
  <mergeCells count="3">
    <mergeCell ref="A1:B1"/>
    <mergeCell ref="A2:A3"/>
    <mergeCell ref="A4:A5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F15"/>
  <sheetViews>
    <sheetView workbookViewId="0">
      <selection activeCell="T11" sqref="T11"/>
    </sheetView>
  </sheetViews>
  <sheetFormatPr defaultColWidth="8.71666666666667" defaultRowHeight="13.5" outlineLevelCol="5"/>
  <cols>
    <col min="1" max="1" width="13.5833333333333"/>
    <col min="2" max="5" width="11.5916666666667"/>
    <col min="6" max="6" width="5.59166666666667"/>
  </cols>
  <sheetData>
    <row r="1" spans="1:2">
      <c r="A1" t="s">
        <v>150</v>
      </c>
      <c r="B1" t="s">
        <v>159</v>
      </c>
    </row>
    <row r="3" spans="1:2">
      <c r="A3" t="s">
        <v>160</v>
      </c>
      <c r="B3" t="s">
        <v>7</v>
      </c>
    </row>
    <row r="4" spans="1:6">
      <c r="A4" t="s">
        <v>5</v>
      </c>
      <c r="B4" t="s">
        <v>34</v>
      </c>
      <c r="C4" t="s">
        <v>14</v>
      </c>
      <c r="D4" t="s">
        <v>27</v>
      </c>
      <c r="E4" t="s">
        <v>23</v>
      </c>
      <c r="F4" t="s">
        <v>155</v>
      </c>
    </row>
    <row r="5" spans="1:6">
      <c r="A5" t="s">
        <v>161</v>
      </c>
      <c r="B5">
        <v>2</v>
      </c>
      <c r="C5">
        <v>1</v>
      </c>
      <c r="F5">
        <v>3</v>
      </c>
    </row>
    <row r="6" spans="1:6">
      <c r="A6" t="s">
        <v>162</v>
      </c>
      <c r="B6">
        <v>1</v>
      </c>
      <c r="C6">
        <v>2</v>
      </c>
      <c r="D6">
        <v>5</v>
      </c>
      <c r="E6">
        <v>1</v>
      </c>
      <c r="F6">
        <v>9</v>
      </c>
    </row>
    <row r="7" spans="1:6">
      <c r="A7" t="s">
        <v>163</v>
      </c>
      <c r="B7">
        <v>1</v>
      </c>
      <c r="C7">
        <v>2</v>
      </c>
      <c r="D7">
        <v>1</v>
      </c>
      <c r="E7">
        <v>2</v>
      </c>
      <c r="F7">
        <v>6</v>
      </c>
    </row>
    <row r="8" spans="1:6">
      <c r="A8" t="s">
        <v>164</v>
      </c>
      <c r="C8">
        <v>5</v>
      </c>
      <c r="F8">
        <v>5</v>
      </c>
    </row>
    <row r="9" spans="1:6">
      <c r="A9" t="s">
        <v>165</v>
      </c>
      <c r="D9">
        <v>1</v>
      </c>
      <c r="F9">
        <v>1</v>
      </c>
    </row>
    <row r="10" spans="1:6">
      <c r="A10" t="s">
        <v>166</v>
      </c>
      <c r="C10">
        <v>1</v>
      </c>
      <c r="D10">
        <v>1</v>
      </c>
      <c r="F10">
        <v>2</v>
      </c>
    </row>
    <row r="11" spans="1:6">
      <c r="A11" t="s">
        <v>167</v>
      </c>
      <c r="B11">
        <v>1</v>
      </c>
      <c r="C11">
        <v>3</v>
      </c>
      <c r="D11">
        <v>2</v>
      </c>
      <c r="F11">
        <v>6</v>
      </c>
    </row>
    <row r="12" spans="1:6">
      <c r="A12" t="s">
        <v>168</v>
      </c>
      <c r="B12">
        <v>1</v>
      </c>
      <c r="C12">
        <v>4</v>
      </c>
      <c r="D12">
        <v>5</v>
      </c>
      <c r="F12">
        <v>10</v>
      </c>
    </row>
    <row r="13" spans="1:6">
      <c r="A13" t="s">
        <v>169</v>
      </c>
      <c r="B13">
        <v>1</v>
      </c>
      <c r="D13">
        <v>3</v>
      </c>
      <c r="E13">
        <v>2</v>
      </c>
      <c r="F13">
        <v>6</v>
      </c>
    </row>
    <row r="14" spans="1:6">
      <c r="A14" t="s">
        <v>170</v>
      </c>
      <c r="C14">
        <v>2</v>
      </c>
      <c r="F14">
        <v>2</v>
      </c>
    </row>
    <row r="15" spans="1:6">
      <c r="A15" t="s">
        <v>155</v>
      </c>
      <c r="B15">
        <v>7</v>
      </c>
      <c r="C15">
        <v>20</v>
      </c>
      <c r="D15">
        <v>18</v>
      </c>
      <c r="E15">
        <v>5</v>
      </c>
      <c r="F15">
        <v>50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原始数据</vt:lpstr>
      <vt:lpstr>访客登记表</vt:lpstr>
      <vt:lpstr>统计</vt:lpstr>
      <vt:lpstr>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2021-11-23T06:39:00Z</dcterms:created>
  <dcterms:modified xsi:type="dcterms:W3CDTF">2023-10-31T02:55:20Z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