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270"/>
  </bookViews>
  <sheets>
    <sheet name="成绩表" sheetId="1" r:id="rId1"/>
    <sheet name="成绩排序" sheetId="6" r:id="rId2"/>
    <sheet name="成绩筛选" sheetId="2" r:id="rId3"/>
    <sheet name="成绩汇总" sheetId="5" r:id="rId4"/>
  </sheets>
  <definedNames>
    <definedName name="_xlnm._FilterDatabase" localSheetId="0" hidden="1">成绩表!$A$1:$M$503</definedName>
    <definedName name="_xlnm._FilterDatabase" localSheetId="2" hidden="1">成绩筛选!$A$6:$I$508</definedName>
    <definedName name="_xlnm.Criteria" localSheetId="2">成绩筛选!$A$1:$B$3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<sst xmlns="http://schemas.openxmlformats.org/spreadsheetml/2006/main" count="6100" uniqueCount="531">
  <si>
    <t>学号</t>
  </si>
  <si>
    <t>姓名</t>
  </si>
  <si>
    <t>性别</t>
  </si>
  <si>
    <t>班级</t>
  </si>
  <si>
    <t>高等数学</t>
  </si>
  <si>
    <t>大学英语</t>
  </si>
  <si>
    <t>逻辑学</t>
  </si>
  <si>
    <t>应用文写作</t>
  </si>
  <si>
    <t>程序设计基础</t>
  </si>
  <si>
    <t>总分</t>
  </si>
  <si>
    <t>平均分</t>
  </si>
  <si>
    <t>名次</t>
  </si>
  <si>
    <t>综合成绩</t>
  </si>
  <si>
    <t>李心怡</t>
  </si>
  <si>
    <t>女</t>
  </si>
  <si>
    <t>二班</t>
  </si>
  <si>
    <t>韩珂</t>
  </si>
  <si>
    <t>男</t>
  </si>
  <si>
    <t>一班</t>
  </si>
  <si>
    <t>刘艺涵</t>
  </si>
  <si>
    <t>六班</t>
  </si>
  <si>
    <t>统计综合成绩优秀人数</t>
  </si>
  <si>
    <t>刘俊佟</t>
  </si>
  <si>
    <t>四班</t>
  </si>
  <si>
    <t>男生</t>
  </si>
  <si>
    <t>刘佳慧</t>
  </si>
  <si>
    <t>女生</t>
  </si>
  <si>
    <t>孙舜</t>
  </si>
  <si>
    <t>周米文</t>
  </si>
  <si>
    <t>孙瑜晗</t>
  </si>
  <si>
    <t>三班</t>
  </si>
  <si>
    <t>赵瑜梦</t>
  </si>
  <si>
    <t>余韬</t>
  </si>
  <si>
    <t>孙芊</t>
  </si>
  <si>
    <t>李秋阳</t>
  </si>
  <si>
    <t>周雨昕</t>
  </si>
  <si>
    <t>赵玥</t>
  </si>
  <si>
    <t>五班</t>
  </si>
  <si>
    <t>郭玲玲</t>
  </si>
  <si>
    <t>程恬</t>
  </si>
  <si>
    <t>陈温格</t>
  </si>
  <si>
    <t>杨程雁</t>
  </si>
  <si>
    <t>李冰月</t>
  </si>
  <si>
    <t>黄怀中</t>
  </si>
  <si>
    <t>潘国瑞</t>
  </si>
  <si>
    <t>陈标</t>
  </si>
  <si>
    <t>郭潘</t>
  </si>
  <si>
    <t>洪玉敏</t>
  </si>
  <si>
    <t>汪祺钊</t>
  </si>
  <si>
    <t>史婷</t>
  </si>
  <si>
    <t>陈颖</t>
  </si>
  <si>
    <t>李萌</t>
  </si>
  <si>
    <t>李丁</t>
  </si>
  <si>
    <t>梁玮芸</t>
  </si>
  <si>
    <t>高靖扬</t>
  </si>
  <si>
    <t>郝浚伊</t>
  </si>
  <si>
    <t>鲁颜</t>
  </si>
  <si>
    <t>吴天一</t>
  </si>
  <si>
    <t>董婧雯</t>
  </si>
  <si>
    <t>周沫</t>
  </si>
  <si>
    <t>蔡洁</t>
  </si>
  <si>
    <t>蔡昕澎</t>
  </si>
  <si>
    <t>苗凝</t>
  </si>
  <si>
    <t>王同硕</t>
  </si>
  <si>
    <t>黄一豪</t>
  </si>
  <si>
    <t>高雷</t>
  </si>
  <si>
    <t>王萍</t>
  </si>
  <si>
    <t>冯紫寒</t>
  </si>
  <si>
    <t>袁颖</t>
  </si>
  <si>
    <t>王粤中</t>
  </si>
  <si>
    <t>姜宜辰</t>
  </si>
  <si>
    <t>齐畅</t>
  </si>
  <si>
    <t>许李嘉</t>
  </si>
  <si>
    <t>蒋子咺</t>
  </si>
  <si>
    <t>李琛</t>
  </si>
  <si>
    <t>崔晓乐</t>
  </si>
  <si>
    <t>王天博</t>
  </si>
  <si>
    <t>龙美辰</t>
  </si>
  <si>
    <t>林心怡</t>
  </si>
  <si>
    <t>徐冰</t>
  </si>
  <si>
    <t>刘鑫培</t>
  </si>
  <si>
    <t>李林欣</t>
  </si>
  <si>
    <t>陈洁</t>
  </si>
  <si>
    <t>陈渝</t>
  </si>
  <si>
    <t>李文涛</t>
  </si>
  <si>
    <t>高林</t>
  </si>
  <si>
    <t>李飞杭</t>
  </si>
  <si>
    <t>曹光玮</t>
  </si>
  <si>
    <t>沈先晖</t>
  </si>
  <si>
    <t>张丹宁</t>
  </si>
  <si>
    <t>苏浩</t>
  </si>
  <si>
    <t>董学敏</t>
  </si>
  <si>
    <t>孙逸萱</t>
  </si>
  <si>
    <t>袁艳杰</t>
  </si>
  <si>
    <t>徐宁</t>
  </si>
  <si>
    <t>李星辰</t>
  </si>
  <si>
    <t>宋金苗</t>
  </si>
  <si>
    <t>孙新仪</t>
  </si>
  <si>
    <t>贺怡宁</t>
  </si>
  <si>
    <t>陈怡</t>
  </si>
  <si>
    <t>章怡文</t>
  </si>
  <si>
    <t>张小荷</t>
  </si>
  <si>
    <t>崔越</t>
  </si>
  <si>
    <t>孟雪</t>
  </si>
  <si>
    <t>柯景轩</t>
  </si>
  <si>
    <t>王威</t>
  </si>
  <si>
    <t>曾佳</t>
  </si>
  <si>
    <t>陆清一</t>
  </si>
  <si>
    <t>张康怡</t>
  </si>
  <si>
    <t>秦旭昆</t>
  </si>
  <si>
    <t>王文平</t>
  </si>
  <si>
    <t>李子奇</t>
  </si>
  <si>
    <t>顾岩</t>
  </si>
  <si>
    <t>祁星玥</t>
  </si>
  <si>
    <t>胡文琦</t>
  </si>
  <si>
    <t>窦姝</t>
  </si>
  <si>
    <t>薛耀清</t>
  </si>
  <si>
    <t>黎彤</t>
  </si>
  <si>
    <t>于鑫</t>
  </si>
  <si>
    <t>高一可</t>
  </si>
  <si>
    <t>许琴悦</t>
  </si>
  <si>
    <t>林妙</t>
  </si>
  <si>
    <t>陈乐诗</t>
  </si>
  <si>
    <t>钟佳邑</t>
  </si>
  <si>
    <t>韩畅</t>
  </si>
  <si>
    <t>邢鑫洁</t>
  </si>
  <si>
    <t>赵茗菲</t>
  </si>
  <si>
    <t>朱磊</t>
  </si>
  <si>
    <t>沈乐怡</t>
  </si>
  <si>
    <t>刘炎昊</t>
  </si>
  <si>
    <t>李思雨</t>
  </si>
  <si>
    <t>杨颖安</t>
  </si>
  <si>
    <t>潘睿</t>
  </si>
  <si>
    <t>李怡丹</t>
  </si>
  <si>
    <t>范杰</t>
  </si>
  <si>
    <t>乔健超</t>
  </si>
  <si>
    <t>魏伸洋</t>
  </si>
  <si>
    <t>孟令仪</t>
  </si>
  <si>
    <t>李梓赫</t>
  </si>
  <si>
    <t>周知晓</t>
  </si>
  <si>
    <t>陆怡雯</t>
  </si>
  <si>
    <t>计雨欣</t>
  </si>
  <si>
    <t>杨莹</t>
  </si>
  <si>
    <t>张朱</t>
  </si>
  <si>
    <t>宫涛</t>
  </si>
  <si>
    <t>范力</t>
  </si>
  <si>
    <t>胡海</t>
  </si>
  <si>
    <t>王笑冉</t>
  </si>
  <si>
    <t>杨一</t>
  </si>
  <si>
    <t>贺宜婷</t>
  </si>
  <si>
    <t>杨烨骏</t>
  </si>
  <si>
    <t>李奕均</t>
  </si>
  <si>
    <t>代晗辰</t>
  </si>
  <si>
    <t>蒲晓源</t>
  </si>
  <si>
    <t>邓文佳</t>
  </si>
  <si>
    <t>苏瑾仪</t>
  </si>
  <si>
    <t>杨鹏</t>
  </si>
  <si>
    <t>宋昊</t>
  </si>
  <si>
    <t>谷含</t>
  </si>
  <si>
    <t>宁文秀</t>
  </si>
  <si>
    <t>都文斌</t>
  </si>
  <si>
    <t>姚雨航</t>
  </si>
  <si>
    <t>孙嘉晟</t>
  </si>
  <si>
    <t>彭思</t>
  </si>
  <si>
    <t>林思思</t>
  </si>
  <si>
    <t>俞思沁</t>
  </si>
  <si>
    <t>庞欣艺</t>
  </si>
  <si>
    <t>陈思扬</t>
  </si>
  <si>
    <t>王天一</t>
  </si>
  <si>
    <t>吴佳益</t>
  </si>
  <si>
    <t>刘元茂</t>
  </si>
  <si>
    <t>李扬均</t>
  </si>
  <si>
    <t>胡湘明</t>
  </si>
  <si>
    <t>王笑竹</t>
  </si>
  <si>
    <t>刘萱</t>
  </si>
  <si>
    <t>宋欣</t>
  </si>
  <si>
    <t>马行宇</t>
  </si>
  <si>
    <t>邵田</t>
  </si>
  <si>
    <t>单彤</t>
  </si>
  <si>
    <t>赵叶濛</t>
  </si>
  <si>
    <t>丁诗茹</t>
  </si>
  <si>
    <t>陈俊</t>
  </si>
  <si>
    <t>陈依</t>
  </si>
  <si>
    <t>王文聪</t>
  </si>
  <si>
    <t>张子义</t>
  </si>
  <si>
    <t>任真</t>
  </si>
  <si>
    <t>董之毓</t>
  </si>
  <si>
    <t>王硕</t>
  </si>
  <si>
    <t>周泓正</t>
  </si>
  <si>
    <t>彭翔宇</t>
  </si>
  <si>
    <t>李介立</t>
  </si>
  <si>
    <t>钟秉睿</t>
  </si>
  <si>
    <t>符乐</t>
  </si>
  <si>
    <t>彭乾淞</t>
  </si>
  <si>
    <t>童逸飞</t>
  </si>
  <si>
    <t>张晓萌</t>
  </si>
  <si>
    <t>李阳</t>
  </si>
  <si>
    <t>李文静</t>
  </si>
  <si>
    <t>敬一凡</t>
  </si>
  <si>
    <t>诸葛仁</t>
  </si>
  <si>
    <t>袁聪阳</t>
  </si>
  <si>
    <t>梁思齐</t>
  </si>
  <si>
    <t>解明朗</t>
  </si>
  <si>
    <t>李湘涵</t>
  </si>
  <si>
    <t>谭心怡</t>
  </si>
  <si>
    <t>黄鸿思</t>
  </si>
  <si>
    <t>高菲苑</t>
  </si>
  <si>
    <t>陶冶红</t>
  </si>
  <si>
    <t>张晗</t>
  </si>
  <si>
    <t>王一然</t>
  </si>
  <si>
    <t>谭昕池</t>
  </si>
  <si>
    <t>严冰</t>
  </si>
  <si>
    <t>储博宇</t>
  </si>
  <si>
    <t>陈语何</t>
  </si>
  <si>
    <t>唐晨萱</t>
  </si>
  <si>
    <t>李伟生</t>
  </si>
  <si>
    <t>宋怡心</t>
  </si>
  <si>
    <t>潘家乐</t>
  </si>
  <si>
    <t>郭少纲</t>
  </si>
  <si>
    <t>张子平</t>
  </si>
  <si>
    <t>杨博</t>
  </si>
  <si>
    <t>戴纯</t>
  </si>
  <si>
    <t>冯纪洛</t>
  </si>
  <si>
    <t>陈柳津</t>
  </si>
  <si>
    <t>方圆</t>
  </si>
  <si>
    <t>李嘉贝</t>
  </si>
  <si>
    <t>李佳骏</t>
  </si>
  <si>
    <t>卜雨佳</t>
  </si>
  <si>
    <t>郝培源</t>
  </si>
  <si>
    <t>刘亚鑫</t>
  </si>
  <si>
    <t>王新宇</t>
  </si>
  <si>
    <t>段钟雨</t>
  </si>
  <si>
    <t>刘浩伟</t>
  </si>
  <si>
    <t>刘佳</t>
  </si>
  <si>
    <t>杨一平</t>
  </si>
  <si>
    <t>王亦佳</t>
  </si>
  <si>
    <t>李致远</t>
  </si>
  <si>
    <t>刘秋怡</t>
  </si>
  <si>
    <t>陈方</t>
  </si>
  <si>
    <t>何浩瑞</t>
  </si>
  <si>
    <t>郑林</t>
  </si>
  <si>
    <t>韩雨桐</t>
  </si>
  <si>
    <t>贾卉卓</t>
  </si>
  <si>
    <t>俞亦宸</t>
  </si>
  <si>
    <t>顾昕</t>
  </si>
  <si>
    <t>刘昊谕</t>
  </si>
  <si>
    <t>宋恩泽</t>
  </si>
  <si>
    <t>蔡余音</t>
  </si>
  <si>
    <t>裴明杰</t>
  </si>
  <si>
    <t>郭元</t>
  </si>
  <si>
    <t>史青</t>
  </si>
  <si>
    <t>肖颖琪</t>
  </si>
  <si>
    <t>潘虹羽</t>
  </si>
  <si>
    <t>许凡</t>
  </si>
  <si>
    <t>陈政霖</t>
  </si>
  <si>
    <t>周渤皓</t>
  </si>
  <si>
    <t>陈晓</t>
  </si>
  <si>
    <t>兰羽</t>
  </si>
  <si>
    <t>陈俊杰</t>
  </si>
  <si>
    <t>周婧</t>
  </si>
  <si>
    <t>陈雨卓</t>
  </si>
  <si>
    <t>周明杰</t>
  </si>
  <si>
    <t>杨瑞</t>
  </si>
  <si>
    <t>武必旭</t>
  </si>
  <si>
    <t>赵宇</t>
  </si>
  <si>
    <t>高佳芙</t>
  </si>
  <si>
    <t>李家琪</t>
  </si>
  <si>
    <t>韩欣然</t>
  </si>
  <si>
    <t>刘思媛</t>
  </si>
  <si>
    <t>马一丁</t>
  </si>
  <si>
    <t>张嘉兵</t>
  </si>
  <si>
    <t>王韵鸿</t>
  </si>
  <si>
    <t>张宇恒</t>
  </si>
  <si>
    <t>李雨鑫</t>
  </si>
  <si>
    <t>余海洋</t>
  </si>
  <si>
    <t>郝朦娜</t>
  </si>
  <si>
    <t>马文</t>
  </si>
  <si>
    <t>刘梦瑶</t>
  </si>
  <si>
    <t>李佳澈</t>
  </si>
  <si>
    <t>吕浩然</t>
  </si>
  <si>
    <t>刘乃赫</t>
  </si>
  <si>
    <t>曹思颖</t>
  </si>
  <si>
    <t>马一文</t>
  </si>
  <si>
    <t>孙思一</t>
  </si>
  <si>
    <t>刘祥宇</t>
  </si>
  <si>
    <t>陈思怡</t>
  </si>
  <si>
    <t>余俊焱</t>
  </si>
  <si>
    <t>邵展荣</t>
  </si>
  <si>
    <t>王顾臻</t>
  </si>
  <si>
    <t>陆涵</t>
  </si>
  <si>
    <t>张美然</t>
  </si>
  <si>
    <t>龚先炳</t>
  </si>
  <si>
    <t>李佳竹</t>
  </si>
  <si>
    <t>朱娴云</t>
  </si>
  <si>
    <t>徐伟</t>
  </si>
  <si>
    <t>卢丽芸</t>
  </si>
  <si>
    <t>郑义龙</t>
  </si>
  <si>
    <t>刘嘉平</t>
  </si>
  <si>
    <t>杨韬</t>
  </si>
  <si>
    <t>罗真</t>
  </si>
  <si>
    <t>焦愚</t>
  </si>
  <si>
    <t>蔡天仪</t>
  </si>
  <si>
    <t>史燕</t>
  </si>
  <si>
    <t>韩瑞轩</t>
  </si>
  <si>
    <t>刘欣悦</t>
  </si>
  <si>
    <t>刘响</t>
  </si>
  <si>
    <t>张楚卿</t>
  </si>
  <si>
    <t>何雨桐</t>
  </si>
  <si>
    <t>梁亚晶</t>
  </si>
  <si>
    <t>王遥</t>
  </si>
  <si>
    <t>申雅璇</t>
  </si>
  <si>
    <t>李加</t>
  </si>
  <si>
    <t>高平</t>
  </si>
  <si>
    <t>王瑾瑜</t>
  </si>
  <si>
    <t>孙浩</t>
  </si>
  <si>
    <t>温鑫怡</t>
  </si>
  <si>
    <t>朱文凯</t>
  </si>
  <si>
    <t>张媛媛</t>
  </si>
  <si>
    <t>李敬一</t>
  </si>
  <si>
    <t>李阜玥</t>
  </si>
  <si>
    <t>牟瑶</t>
  </si>
  <si>
    <t>羊洋</t>
  </si>
  <si>
    <t>李寒</t>
  </si>
  <si>
    <t>王梓贤</t>
  </si>
  <si>
    <t>高辛睿</t>
  </si>
  <si>
    <t>李尉镕</t>
  </si>
  <si>
    <t>柯雨露</t>
  </si>
  <si>
    <t>乔奕</t>
  </si>
  <si>
    <t>张润林</t>
  </si>
  <si>
    <t>杨珞</t>
  </si>
  <si>
    <t>程远航</t>
  </si>
  <si>
    <t>王时</t>
  </si>
  <si>
    <t>朱亮</t>
  </si>
  <si>
    <t>姚易辰</t>
  </si>
  <si>
    <t>黄维微</t>
  </si>
  <si>
    <t>王一芝</t>
  </si>
  <si>
    <t>晁盖</t>
  </si>
  <si>
    <t>王淇萱</t>
  </si>
  <si>
    <t>韩启琛</t>
  </si>
  <si>
    <t>马旭</t>
  </si>
  <si>
    <t>陈耘</t>
  </si>
  <si>
    <t>柴子涵</t>
  </si>
  <si>
    <t>曲思桦</t>
  </si>
  <si>
    <t>汤景仪</t>
  </si>
  <si>
    <t>王嘉屹</t>
  </si>
  <si>
    <t>韩兆其</t>
  </si>
  <si>
    <t>贾子铮</t>
  </si>
  <si>
    <t>杨熙宇</t>
  </si>
  <si>
    <t>李婧潇</t>
  </si>
  <si>
    <t>李亚楠</t>
  </si>
  <si>
    <t>刘一鸣</t>
  </si>
  <si>
    <t>潘冠辰</t>
  </si>
  <si>
    <t>刘冠群</t>
  </si>
  <si>
    <t>王之笑</t>
  </si>
  <si>
    <t>裘靖依</t>
  </si>
  <si>
    <t>张雯瑾</t>
  </si>
  <si>
    <t>宫成汗</t>
  </si>
  <si>
    <t>白飞凡</t>
  </si>
  <si>
    <t>陈昌昱</t>
  </si>
  <si>
    <t>尹林</t>
  </si>
  <si>
    <t>刘祎</t>
  </si>
  <si>
    <t>周泽昊</t>
  </si>
  <si>
    <t>周可</t>
  </si>
  <si>
    <t>祁天</t>
  </si>
  <si>
    <t>吴金程</t>
  </si>
  <si>
    <t>何贤平</t>
  </si>
  <si>
    <t>姜洋</t>
  </si>
  <si>
    <t>冉岩</t>
  </si>
  <si>
    <t>潘颖欣</t>
  </si>
  <si>
    <t>雷雨</t>
  </si>
  <si>
    <t>秦玮艺</t>
  </si>
  <si>
    <t>王深</t>
  </si>
  <si>
    <t>周宇尧</t>
  </si>
  <si>
    <t>陈智航</t>
  </si>
  <si>
    <t>袁一平</t>
  </si>
  <si>
    <t>汤强</t>
  </si>
  <si>
    <t>赵阳</t>
  </si>
  <si>
    <t>张立</t>
  </si>
  <si>
    <t>张路</t>
  </si>
  <si>
    <t>孙蕊</t>
  </si>
  <si>
    <t>张嘉阳</t>
  </si>
  <si>
    <t>高阳</t>
  </si>
  <si>
    <t>王兆易</t>
  </si>
  <si>
    <t>李艺鑫</t>
  </si>
  <si>
    <t>周涛</t>
  </si>
  <si>
    <t>王一陶</t>
  </si>
  <si>
    <t>刘云从</t>
  </si>
  <si>
    <t>刘明康</t>
  </si>
  <si>
    <t>高京文</t>
  </si>
  <si>
    <t>仇长平</t>
  </si>
  <si>
    <t>尚林</t>
  </si>
  <si>
    <t>李澄</t>
  </si>
  <si>
    <t>王姝涵</t>
  </si>
  <si>
    <t>王亚宁</t>
  </si>
  <si>
    <t>宁思</t>
  </si>
  <si>
    <t>梁书萌</t>
  </si>
  <si>
    <t>刘建依</t>
  </si>
  <si>
    <t>范文杰</t>
  </si>
  <si>
    <t>朱嘉怡</t>
  </si>
  <si>
    <t>程雷</t>
  </si>
  <si>
    <t>王一丁</t>
  </si>
  <si>
    <t>陈雨妍</t>
  </si>
  <si>
    <t>黄军</t>
  </si>
  <si>
    <t>吴晓</t>
  </si>
  <si>
    <t>张瑀珊</t>
  </si>
  <si>
    <t>林昱涛</t>
  </si>
  <si>
    <t>于云路</t>
  </si>
  <si>
    <t>黄嘉媛</t>
  </si>
  <si>
    <t>张孟翔</t>
  </si>
  <si>
    <t>秦然</t>
  </si>
  <si>
    <t>段文东</t>
  </si>
  <si>
    <t>修健榕</t>
  </si>
  <si>
    <t>张子文</t>
  </si>
  <si>
    <t>陈言志</t>
  </si>
  <si>
    <t>谈昕瑜</t>
  </si>
  <si>
    <t>刘家遥</t>
  </si>
  <si>
    <t>周豪</t>
  </si>
  <si>
    <t>肖田乐</t>
  </si>
  <si>
    <t>袁心悦</t>
  </si>
  <si>
    <t>陈艺雯</t>
  </si>
  <si>
    <t>付思源</t>
  </si>
  <si>
    <t>赵熠</t>
  </si>
  <si>
    <t>王珊</t>
  </si>
  <si>
    <t>邱红</t>
  </si>
  <si>
    <t>余颖瑜</t>
  </si>
  <si>
    <t>邹彤</t>
  </si>
  <si>
    <t>李明旭</t>
  </si>
  <si>
    <t>张歆</t>
  </si>
  <si>
    <t>李俊岩</t>
  </si>
  <si>
    <t>余优仪</t>
  </si>
  <si>
    <t>李航</t>
  </si>
  <si>
    <t>陈书豪</t>
  </si>
  <si>
    <t>吕阳</t>
  </si>
  <si>
    <t>罗智文</t>
  </si>
  <si>
    <t>徐聂英</t>
  </si>
  <si>
    <t>李志远</t>
  </si>
  <si>
    <t>余芳州</t>
  </si>
  <si>
    <t>李一帆</t>
  </si>
  <si>
    <t>李双林</t>
  </si>
  <si>
    <t>伍宏健</t>
  </si>
  <si>
    <t>黄可诗</t>
  </si>
  <si>
    <t>贺敏</t>
  </si>
  <si>
    <t>王蓉</t>
  </si>
  <si>
    <t>邓子怡</t>
  </si>
  <si>
    <t>顾霖林</t>
  </si>
  <si>
    <t>樊若雪</t>
  </si>
  <si>
    <t>马梦林</t>
  </si>
  <si>
    <t>陈坚</t>
  </si>
  <si>
    <t>布秋</t>
  </si>
  <si>
    <t>刘雯清</t>
  </si>
  <si>
    <t>张瑞</t>
  </si>
  <si>
    <t>许万杰</t>
  </si>
  <si>
    <t>王艺桐</t>
  </si>
  <si>
    <t>霍凌云</t>
  </si>
  <si>
    <t>邱乐言</t>
  </si>
  <si>
    <t>马晓倩</t>
  </si>
  <si>
    <t>汤健</t>
  </si>
  <si>
    <t>雷伊萌</t>
  </si>
  <si>
    <t>徐颖君</t>
  </si>
  <si>
    <t>赵之琦</t>
  </si>
  <si>
    <t>朱雷</t>
  </si>
  <si>
    <t>王天泽</t>
  </si>
  <si>
    <t>郑舒心</t>
  </si>
  <si>
    <t>王玉峰</t>
  </si>
  <si>
    <t>刘美仪</t>
  </si>
  <si>
    <t>梅书鸿</t>
  </si>
  <si>
    <t>陈璐宁</t>
  </si>
  <si>
    <t>吴宇翔</t>
  </si>
  <si>
    <t>谢琪</t>
  </si>
  <si>
    <t>徐张刘</t>
  </si>
  <si>
    <t>林立果</t>
  </si>
  <si>
    <t>潘轶舟</t>
  </si>
  <si>
    <t>谢其霖</t>
  </si>
  <si>
    <t>陈希雅</t>
  </si>
  <si>
    <t>胡熙元</t>
  </si>
  <si>
    <t>郑倚倚</t>
  </si>
  <si>
    <t>吴宇清</t>
  </si>
  <si>
    <t>伍洋</t>
  </si>
  <si>
    <t>凌俪珊</t>
  </si>
  <si>
    <t>郭泽昊</t>
  </si>
  <si>
    <t>赵一充</t>
  </si>
  <si>
    <t>王娜</t>
  </si>
  <si>
    <t>朱梓</t>
  </si>
  <si>
    <t>钟一鸣</t>
  </si>
  <si>
    <t>吴青</t>
  </si>
  <si>
    <t>张世民</t>
  </si>
  <si>
    <t>郭锦雨</t>
  </si>
  <si>
    <t>袁境浩</t>
  </si>
  <si>
    <t>赵唯</t>
  </si>
  <si>
    <t>张博雅</t>
  </si>
  <si>
    <t>曹一诺</t>
  </si>
  <si>
    <t>李泓</t>
  </si>
  <si>
    <t>薛宇辰</t>
  </si>
  <si>
    <t>王林</t>
  </si>
  <si>
    <t>崔镇麒</t>
  </si>
  <si>
    <t>邓天昂</t>
  </si>
  <si>
    <t>聂博丰</t>
  </si>
  <si>
    <t>王叶柔</t>
  </si>
  <si>
    <t>林珂</t>
  </si>
  <si>
    <t>王鹏</t>
  </si>
  <si>
    <t>任俊卓</t>
  </si>
  <si>
    <t>谭子如</t>
  </si>
  <si>
    <t>林洛伊</t>
  </si>
  <si>
    <t>罗志华</t>
  </si>
  <si>
    <t>王秀博</t>
  </si>
  <si>
    <t>康思婕</t>
  </si>
  <si>
    <t>王悦嘉</t>
  </si>
  <si>
    <t>袁英迪</t>
  </si>
  <si>
    <t>陆梵宇</t>
  </si>
  <si>
    <t>梁楚楚</t>
  </si>
  <si>
    <t>马爱民</t>
  </si>
  <si>
    <t>马琪</t>
  </si>
  <si>
    <t>李云图</t>
  </si>
  <si>
    <t>石可心</t>
  </si>
  <si>
    <t>李宜琛</t>
  </si>
  <si>
    <t>樊润泽</t>
  </si>
  <si>
    <t>侯淼</t>
  </si>
  <si>
    <t>孙林</t>
  </si>
  <si>
    <t>李昀</t>
  </si>
  <si>
    <t>张雨琦</t>
  </si>
  <si>
    <t>阮韬竹</t>
  </si>
  <si>
    <t>马琦</t>
  </si>
  <si>
    <t>李博文</t>
  </si>
  <si>
    <t>王宇志</t>
  </si>
  <si>
    <t>计数项:姓名</t>
  </si>
  <si>
    <t>总计</t>
  </si>
  <si>
    <t>平均值项:逻辑学</t>
  </si>
  <si>
    <t>&gt;=95</t>
  </si>
  <si>
    <t>男 平均值</t>
  </si>
  <si>
    <t>女 平均值</t>
  </si>
  <si>
    <t>总平均值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</si>
</sst>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.5"/>
      <color rgb="FF333333"/>
      <name val="宋体"/>
      <charset val="134"/>
    </font>
    <font>
      <b/>
      <sz val="13.5"/>
      <color rgb="FF333333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2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176" fontId="0" fillId="0" borderId="0" xfId="0" applyNumberFormat="1" applyBorder="1">
      <alignment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[ET.xlsx]成绩表!数据透视表2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逻辑学成绩分析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成绩表!$B$512:$B$513</c:f>
              <c:strCache>
                <c:ptCount val="1"/>
                <c:pt idx="0">
                  <c:v>一班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成绩表!$B$514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成绩表!$B$514</c:f>
              <c:numCache>
                <c:formatCode>General</c:formatCode>
                <c:ptCount val="1"/>
                <c:pt idx="0">
                  <c:v>77.95</c:v>
                </c:pt>
              </c:numCache>
            </c:numRef>
          </c:val>
        </c:ser>
        <c:ser>
          <c:idx val="1"/>
          <c:order val="1"/>
          <c:tx>
            <c:strRef>
              <c:f>成绩表!$C$512:$C$513</c:f>
              <c:strCache>
                <c:ptCount val="1"/>
                <c:pt idx="0">
                  <c:v>二班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成绩表!$B$514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成绩表!$C$514</c:f>
              <c:numCache>
                <c:formatCode>General</c:formatCode>
                <c:ptCount val="1"/>
                <c:pt idx="0">
                  <c:v>76.1569767441861</c:v>
                </c:pt>
              </c:numCache>
            </c:numRef>
          </c:val>
        </c:ser>
        <c:ser>
          <c:idx val="2"/>
          <c:order val="2"/>
          <c:tx>
            <c:strRef>
              <c:f>成绩表!$D$512:$D$513</c:f>
              <c:strCache>
                <c:ptCount val="1"/>
                <c:pt idx="0">
                  <c:v>三班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成绩表!$B$514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成绩表!$D$514</c:f>
              <c:numCache>
                <c:formatCode>General</c:formatCode>
                <c:ptCount val="1"/>
                <c:pt idx="0">
                  <c:v>77.3235294117647</c:v>
                </c:pt>
              </c:numCache>
            </c:numRef>
          </c:val>
        </c:ser>
        <c:ser>
          <c:idx val="3"/>
          <c:order val="3"/>
          <c:tx>
            <c:strRef>
              <c:f>成绩表!$E$512:$E$513</c:f>
              <c:strCache>
                <c:ptCount val="1"/>
                <c:pt idx="0">
                  <c:v>四班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成绩表!$B$514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成绩表!$E$514</c:f>
              <c:numCache>
                <c:formatCode>General</c:formatCode>
                <c:ptCount val="1"/>
                <c:pt idx="0">
                  <c:v>77.8977272727273</c:v>
                </c:pt>
              </c:numCache>
            </c:numRef>
          </c:val>
        </c:ser>
        <c:ser>
          <c:idx val="4"/>
          <c:order val="4"/>
          <c:tx>
            <c:strRef>
              <c:f>成绩表!$F$512:$F$513</c:f>
              <c:strCache>
                <c:ptCount val="1"/>
                <c:pt idx="0">
                  <c:v>五班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成绩表!$B$514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成绩表!$F$514</c:f>
              <c:numCache>
                <c:formatCode>General</c:formatCode>
                <c:ptCount val="1"/>
                <c:pt idx="0">
                  <c:v>77.320987654321</c:v>
                </c:pt>
              </c:numCache>
            </c:numRef>
          </c:val>
        </c:ser>
        <c:ser>
          <c:idx val="5"/>
          <c:order val="5"/>
          <c:tx>
            <c:strRef>
              <c:f>成绩表!$G$512:$G$513</c:f>
              <c:strCache>
                <c:ptCount val="1"/>
                <c:pt idx="0">
                  <c:v>六班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成绩表!$B$514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成绩表!$G$514</c:f>
              <c:numCache>
                <c:formatCode>General</c:formatCode>
                <c:ptCount val="1"/>
                <c:pt idx="0">
                  <c:v>77.0978260869565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988915"/>
        <c:axId val="451257350"/>
      </c:barChart>
      <c:catAx>
        <c:axId val="7139889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257350"/>
        <c:crosses val="autoZero"/>
        <c:auto val="1"/>
        <c:lblAlgn val="ctr"/>
        <c:lblOffset val="100"/>
        <c:noMultiLvlLbl val="0"/>
      </c:catAx>
      <c:valAx>
        <c:axId val="4512573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9889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511</xdr:row>
      <xdr:rowOff>25400</xdr:rowOff>
    </xdr:from>
    <xdr:to>
      <xdr:col>8</xdr:col>
      <xdr:colOff>10795</xdr:colOff>
      <xdr:row>527</xdr:row>
      <xdr:rowOff>53975</xdr:rowOff>
    </xdr:to>
    <xdr:graphicFrame>
      <xdr:nvGraphicFramePr>
        <xdr:cNvPr id="2" name="图表 1"/>
        <xdr:cNvGraphicFramePr/>
      </xdr:nvGraphicFramePr>
      <xdr:xfrm>
        <a:off x="635" y="3225800"/>
        <a:ext cx="7389495" cy="2873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318.8352083333" refreshedBy="小黑老师" recordCount="502">
  <cacheSource type="worksheet">
    <worksheetSource ref="A1:K503" sheet="成绩表"/>
  </cacheSource>
  <cacheFields count="11">
    <cacheField name="学号" numFmtId="0">
      <sharedItems containsSemiMixedTypes="0" containsString="0" containsNumber="1" containsInteger="1" minValue="0" maxValue="10502" count="502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</sharedItems>
    </cacheField>
    <cacheField name="姓名" numFmtId="0">
      <sharedItems count="500">
        <s v="李心怡"/>
        <s v="韩珂"/>
        <s v="刘艺涵"/>
        <s v="刘俊佟"/>
        <s v="刘佳慧"/>
        <s v="孙舜"/>
        <s v="周米文"/>
        <s v="孙瑜晗"/>
        <s v="赵瑜梦"/>
        <s v="余韬"/>
        <s v="孙芊"/>
        <s v="李秋阳"/>
        <s v="周雨昕"/>
        <s v="赵玥"/>
        <s v="郭玲玲"/>
        <s v="程恬"/>
        <s v="陈温格"/>
        <s v="杨程雁"/>
        <s v="李冰月"/>
        <s v="黄怀中"/>
        <s v="潘国瑞"/>
        <s v="陈标"/>
        <s v="郭潘"/>
        <s v="洪玉敏"/>
        <s v="汪祺钊"/>
        <s v="史婷"/>
        <s v="陈颖"/>
        <s v="李萌"/>
        <s v="李丁"/>
        <s v="梁玮芸"/>
        <s v="高靖扬"/>
        <s v="郝浚伊"/>
        <s v="鲁颜"/>
        <s v="吴天一"/>
        <s v="董婧雯"/>
        <s v="周沫"/>
        <s v="蔡洁"/>
        <s v="蔡昕澎"/>
        <s v="苗凝"/>
        <s v="王同硕"/>
        <s v="黄一豪"/>
        <s v="高雷"/>
        <s v="王萍"/>
        <s v="冯紫寒"/>
        <s v="袁颖"/>
        <s v="王粤中"/>
        <s v="姜宜辰"/>
        <s v="齐畅"/>
        <s v="许李嘉"/>
        <s v="蒋子咺"/>
        <s v="李琛"/>
        <s v="崔晓乐"/>
        <s v="王天博"/>
        <s v="龙美辰"/>
        <s v="林心怡"/>
        <s v="徐冰"/>
        <s v="刘鑫培"/>
        <s v="李林欣"/>
        <s v="陈洁"/>
        <s v="陈渝"/>
        <s v="李文涛"/>
        <s v="高林"/>
        <s v="李飞杭"/>
        <s v="曹光玮"/>
        <s v="沈先晖"/>
        <s v="张丹宁"/>
        <s v="苏浩"/>
        <s v="董学敏"/>
        <s v="孙逸萱"/>
        <s v="袁艳杰"/>
        <s v="徐宁"/>
        <s v="李星辰"/>
        <s v="宋金苗"/>
        <s v="孙新仪"/>
        <s v="贺怡宁"/>
        <s v="陈怡"/>
        <s v="章怡文"/>
        <s v="张小荷"/>
        <s v="崔越"/>
        <s v="孟雪"/>
        <s v="柯景轩"/>
        <s v="王威"/>
        <s v="曾佳"/>
        <s v="陆清一"/>
        <s v="张康怡"/>
        <s v="秦旭昆"/>
        <s v="王文平"/>
        <s v="李子奇"/>
        <s v="顾岩"/>
        <s v="祁星玥"/>
        <s v="胡文琦"/>
        <s v="窦姝"/>
        <s v="薛耀清"/>
        <s v="黎彤"/>
        <s v="于鑫"/>
        <s v="高一可"/>
        <s v="许琴悦"/>
        <s v="林妙"/>
        <s v="陈乐诗"/>
        <s v="钟佳邑"/>
        <s v="韩畅"/>
        <s v="邢鑫洁"/>
        <s v="赵茗菲"/>
        <s v="朱磊"/>
        <s v="沈乐怡"/>
        <s v="刘炎昊"/>
        <s v="李思雨"/>
        <s v="杨颖安"/>
        <s v="潘睿"/>
        <s v="李怡丹"/>
        <s v="范杰"/>
        <s v="乔健超"/>
        <s v="魏伸洋"/>
        <s v="孟令仪"/>
        <s v="李梓赫"/>
        <s v="周知晓"/>
        <s v="陆怡雯"/>
        <s v="计雨欣"/>
        <s v="杨莹"/>
        <s v="张朱"/>
        <s v="宫涛"/>
        <s v="范力"/>
        <s v="胡海"/>
        <s v="王笑冉"/>
        <s v="杨一"/>
        <s v="贺宜婷"/>
        <s v="杨烨骏"/>
        <s v="李奕均"/>
        <s v="代晗辰"/>
        <s v="蒲晓源"/>
        <s v="邓文佳"/>
        <s v="苏瑾仪"/>
        <s v="杨鹏"/>
        <s v="宋昊"/>
        <s v="谷含"/>
        <s v="宁文秀"/>
        <s v="都文斌"/>
        <s v="姚雨航"/>
        <s v="孙嘉晟"/>
        <s v="彭思"/>
        <s v="林思思"/>
        <s v="俞思沁"/>
        <s v="庞欣艺"/>
        <s v="陈思扬"/>
        <s v="王天一"/>
        <s v="吴佳益"/>
        <s v="刘元茂"/>
        <s v="李扬均"/>
        <s v="胡湘明"/>
        <s v="王笑竹"/>
        <s v="刘萱"/>
        <s v="宋欣"/>
        <s v="马行宇"/>
        <s v="邵田"/>
        <s v="单彤"/>
        <s v="赵叶濛"/>
        <s v="丁诗茹"/>
        <s v="陈俊"/>
        <s v="陈依"/>
        <s v="王文聪"/>
        <s v="张子义"/>
        <s v="任真"/>
        <s v="董之毓"/>
        <s v="王硕"/>
        <s v="周泓正"/>
        <s v="彭翔宇"/>
        <s v="李介立"/>
        <s v="钟秉睿"/>
        <s v="符乐"/>
        <s v="彭乾淞"/>
        <s v="童逸飞"/>
        <s v="张晓萌"/>
        <s v="李阳"/>
        <s v="李文静"/>
        <s v="敬一凡"/>
        <s v="诸葛仁"/>
        <s v="袁聪阳"/>
        <s v="梁思齐"/>
        <s v="解明朗"/>
        <s v="李湘涵"/>
        <s v="谭心怡"/>
        <s v="黄鸿思"/>
        <s v="高菲苑"/>
        <s v="陶冶红"/>
        <s v="张晗"/>
        <s v="王一然"/>
        <s v="谭昕池"/>
        <s v="严冰"/>
        <s v="储博宇"/>
        <s v="陈语何"/>
        <s v="唐晨萱"/>
        <s v="李伟生"/>
        <s v="宋怡心"/>
        <s v="潘家乐"/>
        <s v="郭少纲"/>
        <s v="张子平"/>
        <s v="杨博"/>
        <s v="戴纯"/>
        <s v="冯纪洛"/>
        <s v="陈柳津"/>
        <s v="方圆"/>
        <s v="李嘉贝"/>
        <s v="李佳骏"/>
        <s v="卜雨佳"/>
        <s v="郝培源"/>
        <s v="刘亚鑫"/>
        <s v="王新宇"/>
        <s v="段钟雨"/>
        <s v="刘浩伟"/>
        <s v="刘佳"/>
        <s v="杨一平"/>
        <s v="王亦佳"/>
        <s v="李致远"/>
        <s v="刘秋怡"/>
        <s v="陈方"/>
        <s v="何浩瑞"/>
        <s v="郑林"/>
        <s v="韩雨桐"/>
        <s v="贾卉卓"/>
        <s v="俞亦宸"/>
        <s v="顾昕"/>
        <s v="刘昊谕"/>
        <s v="宋恩泽"/>
        <s v="蔡余音"/>
        <s v="裴明杰"/>
        <s v="郭元"/>
        <s v="史青"/>
        <s v="肖颖琪"/>
        <s v="潘虹羽"/>
        <s v="许凡"/>
        <s v="陈政霖"/>
        <s v="周渤皓"/>
        <s v="陈晓"/>
        <s v="兰羽"/>
        <s v="陈俊杰"/>
        <s v="周婧"/>
        <s v="陈雨卓"/>
        <s v="周明杰"/>
        <s v="杨瑞"/>
        <s v="武必旭"/>
        <s v="赵宇"/>
        <s v="高佳芙"/>
        <s v="李家琪"/>
        <s v="韩欣然"/>
        <s v="刘思媛"/>
        <s v="马一丁"/>
        <s v="张嘉兵"/>
        <s v="王韵鸿"/>
        <s v="张宇恒"/>
        <s v="李雨鑫"/>
        <s v="余海洋"/>
        <s v="郝朦娜"/>
        <s v="马文"/>
        <s v="刘梦瑶"/>
        <s v="李佳澈"/>
        <s v="吕浩然"/>
        <s v="刘乃赫"/>
        <s v="曹思颖"/>
        <s v="马一文"/>
        <s v="孙思一"/>
        <s v="刘祥宇"/>
        <s v="陈思怡"/>
        <s v="余俊焱"/>
        <s v="邵展荣"/>
        <s v="王顾臻"/>
        <s v="陆涵"/>
        <s v="张美然"/>
        <s v="龚先炳"/>
        <s v="李佳竹"/>
        <s v="朱娴云"/>
        <s v="徐伟"/>
        <s v="卢丽芸"/>
        <s v="郑义龙"/>
        <s v="刘嘉平"/>
        <s v="杨韬"/>
        <s v="罗真"/>
        <s v="焦愚"/>
        <s v="蔡天仪"/>
        <s v="史燕"/>
        <s v="韩瑞轩"/>
        <s v="刘欣悦"/>
        <s v="刘响"/>
        <s v="张楚卿"/>
        <s v="何雨桐"/>
        <s v="梁亚晶"/>
        <s v="王遥"/>
        <s v="申雅璇"/>
        <s v="李加"/>
        <s v="高平"/>
        <s v="王瑾瑜"/>
        <s v="孙浩"/>
        <s v="温鑫怡"/>
        <s v="朱文凯"/>
        <s v="张媛媛"/>
        <s v="李敬一"/>
        <s v="李阜玥"/>
        <s v="牟瑶"/>
        <s v="羊洋"/>
        <s v="李寒"/>
        <s v="王梓贤"/>
        <s v="高辛睿"/>
        <s v="李尉镕"/>
        <s v="柯雨露"/>
        <s v="乔奕"/>
        <s v="张润林"/>
        <s v="杨珞"/>
        <s v="程远航"/>
        <s v="王时"/>
        <s v="朱亮"/>
        <s v="姚易辰"/>
        <s v="黄维微"/>
        <s v="王一芝"/>
        <s v="晁盖"/>
        <s v="王淇萱"/>
        <s v="韩启琛"/>
        <s v="马旭"/>
        <s v="陈耘"/>
        <s v="柴子涵"/>
        <s v="曲思桦"/>
        <s v="汤景仪"/>
        <s v="王嘉屹"/>
        <s v="韩兆其"/>
        <s v="贾子铮"/>
        <s v="杨熙宇"/>
        <s v="李婧潇"/>
        <s v="李亚楠"/>
        <s v="刘一鸣"/>
        <s v="潘冠辰"/>
        <s v="刘冠群"/>
        <s v="王之笑"/>
        <s v="裘靖依"/>
        <s v="张雯瑾"/>
        <s v="宫成汗"/>
        <s v="白飞凡"/>
        <s v="陈昌昱"/>
        <s v="尹林"/>
        <s v="刘祎"/>
        <s v="周泽昊"/>
        <s v="周可"/>
        <s v="祁天"/>
        <s v="吴金程"/>
        <s v="何贤平"/>
        <s v="姜洋"/>
        <s v="冉岩"/>
        <s v="潘颖欣"/>
        <s v="雷雨"/>
        <s v="秦玮艺"/>
        <s v="王深"/>
        <s v="周宇尧"/>
        <s v="陈智航"/>
        <s v="袁一平"/>
        <s v="汤强"/>
        <s v="赵阳"/>
        <s v="张立"/>
        <s v="张路"/>
        <s v="孙蕊"/>
        <s v="张嘉阳"/>
        <s v="高阳"/>
        <s v="王兆易"/>
        <s v="李艺鑫"/>
        <s v="周涛"/>
        <s v="王一陶"/>
        <s v="刘云从"/>
        <s v="刘明康"/>
        <s v="高京文"/>
        <s v="仇长平"/>
        <s v="尚林"/>
        <s v="李澄"/>
        <s v="王姝涵"/>
        <s v="王亚宁"/>
        <s v="宁思"/>
        <s v="梁书萌"/>
        <s v="刘建依"/>
        <s v="范文杰"/>
        <s v="朱嘉怡"/>
        <s v="程雷"/>
        <s v="王一丁"/>
        <s v="陈雨妍"/>
        <s v="黄军"/>
        <s v="吴晓"/>
        <s v="张瑀珊"/>
        <s v="林昱涛"/>
        <s v="于云路"/>
        <s v="黄嘉媛"/>
        <s v="张孟翔"/>
        <s v="秦然"/>
        <s v="段文东"/>
        <s v="修健榕"/>
        <s v="张子文"/>
        <s v="陈言志"/>
        <s v="谈昕瑜"/>
        <s v="刘家遥"/>
        <s v="周豪"/>
        <s v="肖田乐"/>
        <s v="袁心悦"/>
        <s v="陈艺雯"/>
        <s v="付思源"/>
        <s v="赵熠"/>
        <s v="王珊"/>
        <s v="邱红"/>
        <s v="余颖瑜"/>
        <s v="邹彤"/>
        <s v="李明旭"/>
        <s v="张歆"/>
        <s v="李俊岩"/>
        <s v="余优仪"/>
        <s v="李航"/>
        <s v="陈书豪"/>
        <s v="吕阳"/>
        <s v="罗智文"/>
        <s v="徐聂英"/>
        <s v="李志远"/>
        <s v="余芳州"/>
        <s v="李一帆"/>
        <s v="李双林"/>
        <s v="伍宏健"/>
        <s v="黄可诗"/>
        <s v="贺敏"/>
        <s v="王蓉"/>
        <s v="邓子怡"/>
        <s v="顾霖林"/>
        <s v="樊若雪"/>
        <s v="马梦林"/>
        <s v="陈坚"/>
        <s v="布秋"/>
        <s v="刘雯清"/>
        <s v="张瑞"/>
        <s v="许万杰"/>
        <s v="王艺桐"/>
        <s v="霍凌云"/>
        <s v="邱乐言"/>
        <s v="马晓倩"/>
        <s v="汤健"/>
        <s v="雷伊萌"/>
        <s v="徐颖君"/>
        <s v="赵之琦"/>
        <s v="朱雷"/>
        <s v="王天泽"/>
        <s v="郑舒心"/>
        <s v="王玉峰"/>
        <s v="刘美仪"/>
        <s v="梅书鸿"/>
        <s v="陈璐宁"/>
        <s v="吴宇翔"/>
        <s v="谢琪"/>
        <s v="徐张刘"/>
        <s v="林立果"/>
        <s v="潘轶舟"/>
        <s v="谢其霖"/>
        <s v="陈希雅"/>
        <s v="胡熙元"/>
        <s v="郑倚倚"/>
        <s v="吴宇清"/>
        <s v="伍洋"/>
        <s v="凌俪珊"/>
        <s v="郭泽昊"/>
        <s v="赵一充"/>
        <s v="王娜"/>
        <s v="朱梓"/>
        <s v="钟一鸣"/>
        <s v="吴青"/>
        <s v="张世民"/>
        <s v="郭锦雨"/>
        <s v="袁境浩"/>
        <s v="赵唯"/>
        <s v="张博雅"/>
        <s v="曹一诺"/>
        <s v="李泓"/>
        <s v="薛宇辰"/>
        <s v="王林"/>
        <s v="崔镇麒"/>
        <s v="邓天昂"/>
        <s v="聂博丰"/>
        <s v="王叶柔"/>
        <s v="林珂"/>
        <s v="王鹏"/>
        <s v="任俊卓"/>
        <s v="谭子如"/>
        <s v="林洛伊"/>
        <s v="罗志华"/>
        <s v="王秀博"/>
        <s v="康思婕"/>
        <s v="王悦嘉"/>
        <s v="袁英迪"/>
        <s v="陆梵宇"/>
        <s v="梁楚楚"/>
        <s v="马爱民"/>
        <s v="马琪"/>
        <s v="李云图"/>
        <s v="石可心"/>
        <s v="李宜琛"/>
        <s v="樊润泽"/>
        <s v="侯淼"/>
        <s v="孙林"/>
        <s v="李昀"/>
        <s v="张雨琦"/>
        <s v="阮韬竹"/>
        <s v="马琦"/>
        <s v="李博文"/>
        <s v="王宇志"/>
      </sharedItems>
    </cacheField>
    <cacheField name="性别" numFmtId="0">
      <sharedItems count="2">
        <s v="女"/>
        <s v="男"/>
      </sharedItems>
    </cacheField>
    <cacheField name="班级" numFmtId="0">
      <sharedItems count="6">
        <s v="二班"/>
        <s v="一班"/>
        <s v="六班"/>
        <s v="四班"/>
        <s v="三班"/>
        <s v="五班"/>
      </sharedItems>
    </cacheField>
    <cacheField name="高等数学" numFmtId="0">
      <sharedItems containsSemiMixedTypes="0" containsString="0" containsNumber="1" minValue="0" maxValue="97" count="89">
        <n v="91"/>
        <n v="87"/>
        <n v="66"/>
        <n v="90.5"/>
        <n v="73.5"/>
        <n v="78"/>
        <n v="84"/>
        <n v="86.5"/>
        <n v="77"/>
        <n v="94"/>
        <n v="65"/>
        <n v="67"/>
        <n v="82.5"/>
        <n v="89"/>
        <n v="80"/>
        <n v="73"/>
        <n v="71"/>
        <n v="78.5"/>
        <n v="72.5"/>
        <n v="93"/>
        <n v="71.5"/>
        <n v="63.5"/>
        <n v="69"/>
        <n v="52.5"/>
        <n v="77.5"/>
        <n v="85"/>
        <n v="76.5"/>
        <n v="85.5"/>
        <n v="79.5"/>
        <n v="80.5"/>
        <n v="60.5"/>
        <n v="92"/>
        <n v="64.5"/>
        <n v="65.5"/>
        <n v="76"/>
        <n v="96"/>
        <n v="81.5"/>
        <n v="92.5"/>
        <n v="93.5"/>
        <n v="62"/>
        <n v="64"/>
        <n v="74"/>
        <n v="68"/>
        <n v="75.5"/>
        <n v="68.5"/>
        <n v="56"/>
        <n v="82"/>
        <n v="70.5"/>
        <n v="81"/>
        <n v="87.5"/>
        <n v="83"/>
        <n v="58.5"/>
        <n v="88"/>
        <n v="72"/>
        <n v="74.5"/>
        <n v="67.5"/>
        <n v="63"/>
        <n v="97"/>
        <n v="61"/>
        <n v="75"/>
        <n v="79"/>
        <n v="91.5"/>
        <n v="53.5"/>
        <n v="90"/>
        <n v="59.5"/>
        <n v="58"/>
        <n v="66.5"/>
        <n v="69.5"/>
        <n v="52"/>
        <n v="62.5"/>
        <n v="51"/>
        <n v="70"/>
        <n v="60"/>
        <n v="86"/>
        <n v="88.5"/>
        <n v="95.5"/>
        <n v="57"/>
        <n v="83.5"/>
        <n v="95"/>
        <n v="49"/>
        <n v="84.5"/>
        <n v="94.5"/>
        <n v="61.5"/>
        <n v="53"/>
        <n v="55.5"/>
        <n v="59"/>
        <n v="54.5"/>
        <n v="89.5"/>
        <n v="46.5"/>
      </sharedItems>
    </cacheField>
    <cacheField name="大学英语" numFmtId="0">
      <sharedItems containsSemiMixedTypes="0" containsString="0" containsNumber="1" minValue="0" maxValue="98" count="88">
        <n v="98"/>
        <n v="90"/>
        <n v="66"/>
        <n v="50"/>
        <n v="78"/>
        <n v="86.5"/>
        <n v="70.5"/>
        <n v="65"/>
        <n v="88"/>
        <n v="70"/>
        <n v="64"/>
        <n v="86"/>
        <n v="72"/>
        <n v="76"/>
        <n v="73"/>
        <n v="82.5"/>
        <n v="68.5"/>
        <n v="74.5"/>
        <n v="61.5"/>
        <n v="77.5"/>
        <n v="75"/>
        <n v="75.5"/>
        <n v="85.5"/>
        <n v="95"/>
        <n v="76.5"/>
        <n v="60"/>
        <n v="82"/>
        <n v="79.5"/>
        <n v="77"/>
        <n v="91.5"/>
        <n v="69"/>
        <n v="81.5"/>
        <n v="80"/>
        <n v="93"/>
        <n v="66.5"/>
        <n v="74"/>
        <n v="83"/>
        <n v="72.5"/>
        <n v="71.5"/>
        <n v="94"/>
        <n v="87.5"/>
        <n v="84"/>
        <n v="81"/>
        <n v="65.5"/>
        <n v="63"/>
        <n v="60.5"/>
        <n v="85"/>
        <n v="69.5"/>
        <n v="83.5"/>
        <n v="94.5"/>
        <n v="80.5"/>
        <n v="62.5"/>
        <n v="67.5"/>
        <n v="91"/>
        <n v="57"/>
        <n v="58.5"/>
        <n v="62"/>
        <n v="92"/>
        <n v="92.5"/>
        <n v="78.5"/>
        <n v="84.5"/>
        <n v="68"/>
        <n v="95.5"/>
        <n v="51"/>
        <n v="55.5"/>
        <n v="67"/>
        <n v="73.5"/>
        <n v="79"/>
        <n v="71"/>
        <n v="59"/>
        <n v="64.5"/>
        <n v="87"/>
        <n v="88.5"/>
        <n v="97.5"/>
        <n v="58"/>
        <n v="57.5"/>
        <n v="63.5"/>
        <n v="61"/>
        <n v="53.5"/>
        <n v="59.5"/>
        <n v="97"/>
        <n v="96"/>
        <n v="49"/>
        <n v="90.5"/>
        <n v="52"/>
        <n v="89.5"/>
        <n v="53"/>
        <n v="96.5"/>
      </sharedItems>
    </cacheField>
    <cacheField name="逻辑学" numFmtId="0">
      <sharedItems containsSemiMixedTypes="0" containsString="0" containsNumber="1" minValue="0" maxValue="98" count="87">
        <n v="94"/>
        <n v="97"/>
        <n v="74"/>
        <n v="88"/>
        <n v="73"/>
        <n v="67"/>
        <n v="75"/>
        <n v="62.5"/>
        <n v="95"/>
        <n v="74.5"/>
        <n v="80"/>
        <n v="96"/>
        <n v="75.5"/>
        <n v="70.5"/>
        <n v="67.5"/>
        <n v="79"/>
        <n v="83"/>
        <n v="56"/>
        <n v="70"/>
        <n v="89"/>
        <n v="64.5"/>
        <n v="72.5"/>
        <n v="66"/>
        <n v="94.5"/>
        <n v="81"/>
        <n v="84.5"/>
        <n v="92"/>
        <n v="64"/>
        <n v="63.5"/>
        <n v="89.5"/>
        <n v="50"/>
        <n v="68"/>
        <n v="56.5"/>
        <n v="88.5"/>
        <n v="71.5"/>
        <n v="52"/>
        <n v="80.5"/>
        <n v="69"/>
        <n v="78"/>
        <n v="73.5"/>
        <n v="76"/>
        <n v="93"/>
        <n v="98"/>
        <n v="79.5"/>
        <n v="66.5"/>
        <n v="62"/>
        <n v="92.5"/>
        <n v="85.5"/>
        <n v="77"/>
        <n v="85"/>
        <n v="54"/>
        <n v="82.5"/>
        <n v="61"/>
        <n v="82"/>
        <n v="91"/>
        <n v="72"/>
        <n v="87"/>
        <n v="71"/>
        <n v="95.5"/>
        <n v="77.5"/>
        <n v="47"/>
        <n v="83.5"/>
        <n v="86.5"/>
        <n v="58.5"/>
        <n v="91.5"/>
        <n v="65"/>
        <n v="81.5"/>
        <n v="96.5"/>
        <n v="69.5"/>
        <n v="59"/>
        <n v="86"/>
        <n v="63"/>
        <n v="87.5"/>
        <n v="76.5"/>
        <n v="53"/>
        <n v="90"/>
        <n v="68.5"/>
        <n v="57"/>
        <n v="84"/>
        <n v="90.5"/>
        <n v="97.5"/>
        <n v="60"/>
        <n v="65.5"/>
        <n v="93.5"/>
        <n v="78.5"/>
        <n v="52.5"/>
        <n v="49.5"/>
      </sharedItems>
    </cacheField>
    <cacheField name="应用文写作" numFmtId="0">
      <sharedItems containsSemiMixedTypes="0" containsString="0" containsNumber="1" minValue="0" maxValue="98" count="89">
        <n v="92"/>
        <n v="69.5"/>
        <n v="72"/>
        <n v="71"/>
        <n v="65"/>
        <n v="73"/>
        <n v="60.5"/>
        <n v="90"/>
        <n v="72.5"/>
        <n v="82.5"/>
        <n v="83.5"/>
        <n v="73.5"/>
        <n v="68.5"/>
        <n v="65.5"/>
        <n v="87"/>
        <n v="81"/>
        <n v="54"/>
        <n v="76"/>
        <n v="62.5"/>
        <n v="70.5"/>
        <n v="64"/>
        <n v="92.5"/>
        <n v="85"/>
        <n v="62"/>
        <n v="80"/>
        <n v="77"/>
        <n v="61.5"/>
        <n v="86.5"/>
        <n v="87.5"/>
        <n v="52.5"/>
        <n v="97"/>
        <n v="66"/>
        <n v="54.5"/>
        <n v="50"/>
        <n v="78.5"/>
        <n v="63.5"/>
        <n v="67"/>
        <n v="71.5"/>
        <n v="74"/>
        <n v="88"/>
        <n v="96"/>
        <n v="77.5"/>
        <n v="64.5"/>
        <n v="90.5"/>
        <n v="75"/>
        <n v="83"/>
        <n v="86"/>
        <n v="79"/>
        <n v="75.5"/>
        <n v="80.5"/>
        <n v="59"/>
        <n v="89"/>
        <n v="95"/>
        <n v="82"/>
        <n v="60"/>
        <n v="70"/>
        <n v="98"/>
        <n v="69"/>
        <n v="93.5"/>
        <n v="96.5"/>
        <n v="81.5"/>
        <n v="84.5"/>
        <n v="56.5"/>
        <n v="89.5"/>
        <n v="63"/>
        <n v="79.5"/>
        <n v="94.5"/>
        <n v="67.5"/>
        <n v="57"/>
        <n v="78"/>
        <n v="68"/>
        <n v="84"/>
        <n v="61"/>
        <n v="85.5"/>
        <n v="74.5"/>
        <n v="51"/>
        <n v="66.5"/>
        <n v="93"/>
        <n v="55"/>
        <n v="91"/>
        <n v="88.5"/>
        <n v="95.5"/>
        <n v="58"/>
        <n v="91.5"/>
        <n v="94"/>
        <n v="76.5"/>
        <n v="50.5"/>
        <n v="47.5"/>
        <n v="97.5"/>
      </sharedItems>
    </cacheField>
    <cacheField name="程序设计基础" numFmtId="0">
      <sharedItems containsSemiMixedTypes="0" containsString="0" containsNumber="1" minValue="0" maxValue="97" count="83">
        <n v="82"/>
        <n v="88.5"/>
        <n v="83"/>
        <n v="91.5"/>
        <n v="77.5"/>
        <n v="68"/>
        <n v="75"/>
        <n v="58.5"/>
        <n v="94.5"/>
        <n v="84"/>
        <n v="93"/>
        <n v="83.5"/>
        <n v="62.5"/>
        <n v="97"/>
        <n v="73"/>
        <n v="88"/>
        <n v="79"/>
        <n v="76.5"/>
        <n v="67"/>
        <n v="69"/>
        <n v="82.5"/>
        <n v="80"/>
        <n v="60"/>
        <n v="72"/>
        <n v="92"/>
        <n v="62"/>
        <n v="71.5"/>
        <n v="65.5"/>
        <n v="74"/>
        <n v="92.5"/>
        <n v="58"/>
        <n v="76"/>
        <n v="65"/>
        <n v="90"/>
        <n v="70"/>
        <n v="67.5"/>
        <n v="95"/>
        <n v="91"/>
        <n v="69.5"/>
        <n v="70.5"/>
        <n v="85"/>
        <n v="73.5"/>
        <n v="78.5"/>
        <n v="61"/>
        <n v="77"/>
        <n v="87.5"/>
        <n v="93.5"/>
        <n v="64.5"/>
        <n v="94"/>
        <n v="84.5"/>
        <n v="64"/>
        <n v="57"/>
        <n v="89.5"/>
        <n v="66.5"/>
        <n v="86.5"/>
        <n v="79.5"/>
        <n v="87"/>
        <n v="74.5"/>
        <n v="81"/>
        <n v="71"/>
        <n v="75.5"/>
        <n v="78"/>
        <n v="56.5"/>
        <n v="53.5"/>
        <n v="86"/>
        <n v="63.5"/>
        <n v="85.5"/>
        <n v="81.5"/>
        <n v="68.5"/>
        <n v="96"/>
        <n v="90.5"/>
        <n v="60.5"/>
        <n v="66"/>
        <n v="51"/>
        <n v="72.5"/>
        <n v="59"/>
        <n v="52"/>
        <n v="89"/>
        <n v="80.5"/>
        <n v="59.5"/>
        <n v="61.5"/>
        <n v="56"/>
        <n v="63"/>
      </sharedItems>
    </cacheField>
    <cacheField name="总分" numFmtId="0">
      <sharedItems containsSemiMixedTypes="0" containsString="0" containsNumber="1" minValue="0" maxValue="461" count="201">
        <n v="457"/>
        <n v="432"/>
        <n v="361"/>
        <n v="392"/>
        <n v="373"/>
        <n v="364.5"/>
        <n v="377.5"/>
        <n v="333"/>
        <n v="458"/>
        <n v="391.5"/>
        <n v="390"/>
        <n v="456.5"/>
        <n v="361.5"/>
        <n v="354.5"/>
        <n v="365"/>
        <n v="424"/>
        <n v="418"/>
        <n v="332"/>
        <n v="391"/>
        <n v="408.5"/>
        <n v="363"/>
        <n v="388.5"/>
        <n v="357"/>
        <n v="338.5"/>
        <n v="459"/>
        <n v="408"/>
        <n v="388"/>
        <n v="414"/>
        <n v="288.5"/>
        <n v="389"/>
        <n v="359.5"/>
        <n v="452.5"/>
        <n v="413.5"/>
        <n v="289.5"/>
        <n v="461"/>
        <n v="371"/>
        <n v="364"/>
        <n v="411.5"/>
        <n v="291.5"/>
        <n v="375.5"/>
        <n v="405.5"/>
        <n v="370"/>
        <n v="345.5"/>
        <n v="341.5"/>
        <n v="380"/>
        <n v="360"/>
        <n v="369.5"/>
        <n v="454.5"/>
        <n v="404.5"/>
        <n v="412.5"/>
        <n v="371.5"/>
        <n v="443.5"/>
        <n v="347"/>
        <n v="383.5"/>
        <n v="419"/>
        <n v="375"/>
        <n v="357.5"/>
        <n v="394.5"/>
        <n v="378.5"/>
        <n v="326"/>
        <n v="378"/>
        <n v="406.5"/>
        <n v="367.5"/>
        <n v="387.5"/>
        <n v="360.5"/>
        <n v="405"/>
        <n v="410"/>
        <n v="411"/>
        <n v="335"/>
        <n v="407"/>
        <n v="382.5"/>
        <n v="455"/>
        <n v="421.5"/>
        <n v="379"/>
        <n v="406"/>
        <n v="410.5"/>
        <n v="351"/>
        <n v="386.5"/>
        <n v="460.5"/>
        <n v="379.5"/>
        <n v="384"/>
        <n v="358.5"/>
        <n v="429"/>
        <n v="365.5"/>
        <n v="314.5"/>
        <n v="386"/>
        <n v="382"/>
        <n v="381"/>
        <n v="453"/>
        <n v="400.5"/>
        <n v="384.5"/>
        <n v="356.5"/>
        <n v="450.5"/>
        <n v="409"/>
        <n v="362.5"/>
        <n v="432.5"/>
        <n v="390.5"/>
        <n v="394"/>
        <n v="366"/>
        <n v="337"/>
        <n v="344.5"/>
        <n v="385.5"/>
        <n v="413"/>
        <n v="377"/>
        <n v="369"/>
        <n v="334.5"/>
        <n v="290.5"/>
        <n v="318.5"/>
        <n v="396.5"/>
        <n v="355.5"/>
        <n v="389.5"/>
        <n v="430.5"/>
        <n v="376"/>
        <n v="415"/>
        <n v="367"/>
        <n v="402"/>
        <n v="323.5"/>
        <n v="397"/>
        <n v="324.5"/>
        <n v="414.5"/>
        <n v="393"/>
        <n v="363.5"/>
        <n v="427.5"/>
        <n v="362"/>
        <n v="370.5"/>
        <n v="383"/>
        <n v="316.5"/>
        <n v="340"/>
        <n v="341"/>
        <n v="348.5"/>
        <n v="399"/>
        <n v="423.5"/>
        <n v="381.5"/>
        <n v="351.5"/>
        <n v="342"/>
        <n v="339"/>
        <n v="418.5"/>
        <n v="401.5"/>
        <n v="403.5"/>
        <n v="404"/>
        <n v="342.5"/>
        <n v="340.5"/>
        <n v="352.5"/>
        <n v="373.5"/>
        <n v="412"/>
        <n v="355"/>
        <n v="417.5"/>
        <n v="423"/>
        <n v="416"/>
        <n v="450"/>
        <n v="425.5"/>
        <n v="332.5"/>
        <n v="402.5"/>
        <n v="419.5"/>
        <n v="333.5"/>
        <n v="354"/>
        <n v="416.5"/>
        <n v="392.5"/>
        <n v="380.5"/>
        <n v="426.5"/>
        <n v="372"/>
        <n v="376.5"/>
        <n v="339.5"/>
        <n v="331"/>
        <n v="393.5"/>
        <n v="422"/>
        <n v="346"/>
        <n v="429.5"/>
        <n v="421"/>
        <n v="343"/>
        <n v="344"/>
        <n v="343.5"/>
        <n v="400"/>
        <n v="368"/>
        <n v="320.5"/>
        <n v="325.5"/>
        <n v="336"/>
        <n v="407.5"/>
        <n v="403"/>
        <n v="415.5"/>
        <n v="401"/>
        <n v="385"/>
        <n v="338"/>
        <n v="458.5"/>
        <n v="336.5"/>
        <n v="334"/>
        <n v="330"/>
        <n v="337.5"/>
        <n v="308.5"/>
        <n v="374"/>
        <n v="387"/>
        <n v="335.5"/>
        <n v="368.5"/>
        <n v="317"/>
        <n v="399.5"/>
        <n v="286.5"/>
        <n v="372.5"/>
        <n v="350.5"/>
        <n v="409.5"/>
        <n v="356"/>
        <n v="422.5"/>
      </sharedItems>
    </cacheField>
    <cacheField name="平均分" numFmtId="176">
      <sharedItems containsSemiMixedTypes="0" containsString="0" containsNumber="1" minValue="0" maxValue="92.2" count="201">
        <n v="91.4"/>
        <n v="86.4"/>
        <n v="72.2"/>
        <n v="78.4"/>
        <n v="74.6"/>
        <n v="72.9"/>
        <n v="75.5"/>
        <n v="66.6"/>
        <n v="91.6"/>
        <n v="78.3"/>
        <n v="78"/>
        <n v="91.3"/>
        <n v="72.3"/>
        <n v="70.9"/>
        <n v="73"/>
        <n v="84.8"/>
        <n v="83.6"/>
        <n v="66.4"/>
        <n v="78.2"/>
        <n v="81.7"/>
        <n v="72.6"/>
        <n v="77.7"/>
        <n v="71.4"/>
        <n v="67.7"/>
        <n v="91.8"/>
        <n v="81.6"/>
        <n v="77.6"/>
        <n v="82.8"/>
        <n v="57.7"/>
        <n v="77.8"/>
        <n v="71.9"/>
        <n v="90.5"/>
        <n v="82.7"/>
        <n v="57.9"/>
        <n v="92.2"/>
        <n v="74.2"/>
        <n v="72.8"/>
        <n v="82.3"/>
        <n v="58.3"/>
        <n v="75.1"/>
        <n v="81.1"/>
        <n v="74"/>
        <n v="69.1"/>
        <n v="68.3"/>
        <n v="76"/>
        <n v="72"/>
        <n v="73.9"/>
        <n v="90.9"/>
        <n v="80.9"/>
        <n v="82.5"/>
        <n v="74.3"/>
        <n v="88.7"/>
        <n v="69.4"/>
        <n v="76.7"/>
        <n v="83.8"/>
        <n v="75"/>
        <n v="71.5"/>
        <n v="78.9"/>
        <n v="75.7"/>
        <n v="65.2"/>
        <n v="75.6"/>
        <n v="81.3"/>
        <n v="73.5"/>
        <n v="77.5"/>
        <n v="72.1"/>
        <n v="81"/>
        <n v="82"/>
        <n v="82.2"/>
        <n v="67"/>
        <n v="81.4"/>
        <n v="76.5"/>
        <n v="91"/>
        <n v="84.3"/>
        <n v="75.8"/>
        <n v="81.2"/>
        <n v="82.1"/>
        <n v="70.2"/>
        <n v="77.3"/>
        <n v="92.1"/>
        <n v="75.9"/>
        <n v="76.8"/>
        <n v="71.7"/>
        <n v="85.8"/>
        <n v="73.1"/>
        <n v="62.9"/>
        <n v="77.2"/>
        <n v="76.4"/>
        <n v="76.2"/>
        <n v="90.6"/>
        <n v="80.1"/>
        <n v="76.9"/>
        <n v="71.3"/>
        <n v="90.1"/>
        <n v="81.8"/>
        <n v="72.5"/>
        <n v="86.5"/>
        <n v="78.1"/>
        <n v="78.8"/>
        <n v="73.2"/>
        <n v="67.4"/>
        <n v="68.9"/>
        <n v="77.1"/>
        <n v="82.6"/>
        <n v="75.4"/>
        <n v="73.8"/>
        <n v="66.9"/>
        <n v="58.1"/>
        <n v="63.7"/>
        <n v="79.3"/>
        <n v="71.1"/>
        <n v="77.9"/>
        <n v="86.1"/>
        <n v="75.2"/>
        <n v="83"/>
        <n v="73.4"/>
        <n v="80.4"/>
        <n v="64.7"/>
        <n v="79.4"/>
        <n v="64.9"/>
        <n v="82.9"/>
        <n v="78.6"/>
        <n v="72.7"/>
        <n v="85.5"/>
        <n v="72.4"/>
        <n v="74.1"/>
        <n v="76.6"/>
        <n v="63.3"/>
        <n v="68"/>
        <n v="68.2"/>
        <n v="69.7"/>
        <n v="79.8"/>
        <n v="84.7"/>
        <n v="76.3"/>
        <n v="70.3"/>
        <n v="68.4"/>
        <n v="67.8"/>
        <n v="83.7"/>
        <n v="80.3"/>
        <n v="80.7"/>
        <n v="80.8"/>
        <n v="68.5"/>
        <n v="68.1"/>
        <n v="70.5"/>
        <n v="74.7"/>
        <n v="82.4"/>
        <n v="71"/>
        <n v="83.5"/>
        <n v="84.6"/>
        <n v="83.2"/>
        <n v="90"/>
        <n v="85.1"/>
        <n v="66.5"/>
        <n v="80.5"/>
        <n v="83.9"/>
        <n v="66.7"/>
        <n v="70.8"/>
        <n v="83.3"/>
        <n v="78.5"/>
        <n v="76.1"/>
        <n v="85.3"/>
        <n v="74.4"/>
        <n v="75.3"/>
        <n v="67.9"/>
        <n v="66.2"/>
        <n v="78.7"/>
        <n v="84.4"/>
        <n v="69.2"/>
        <n v="85.9"/>
        <n v="84.2"/>
        <n v="68.6"/>
        <n v="68.8"/>
        <n v="68.7"/>
        <n v="80"/>
        <n v="73.6"/>
        <n v="64.1"/>
        <n v="65.1"/>
        <n v="67.2"/>
        <n v="81.5"/>
        <n v="80.6"/>
        <n v="83.1"/>
        <n v="80.2"/>
        <n v="77"/>
        <n v="67.6"/>
        <n v="91.7"/>
        <n v="67.3"/>
        <n v="66.8"/>
        <n v="66"/>
        <n v="67.5"/>
        <n v="61.7"/>
        <n v="74.8"/>
        <n v="77.4"/>
        <n v="67.1"/>
        <n v="73.7"/>
        <n v="63.4"/>
        <n v="79.9"/>
        <n v="57.3"/>
        <n v="74.5"/>
        <n v="70.1"/>
        <n v="81.9"/>
        <n v="71.2"/>
        <n v="84.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2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0"/>
    <x v="2"/>
    <x v="2"/>
    <x v="2"/>
    <x v="2"/>
    <x v="2"/>
    <x v="2"/>
    <x v="2"/>
    <x v="2"/>
  </r>
  <r>
    <x v="3"/>
    <x v="3"/>
    <x v="0"/>
    <x v="3"/>
    <x v="3"/>
    <x v="3"/>
    <x v="3"/>
    <x v="2"/>
    <x v="3"/>
    <x v="3"/>
    <x v="3"/>
  </r>
  <r>
    <x v="4"/>
    <x v="4"/>
    <x v="0"/>
    <x v="0"/>
    <x v="4"/>
    <x v="4"/>
    <x v="4"/>
    <x v="3"/>
    <x v="4"/>
    <x v="4"/>
    <x v="4"/>
  </r>
  <r>
    <x v="5"/>
    <x v="5"/>
    <x v="1"/>
    <x v="0"/>
    <x v="5"/>
    <x v="5"/>
    <x v="5"/>
    <x v="4"/>
    <x v="5"/>
    <x v="5"/>
    <x v="5"/>
  </r>
  <r>
    <x v="6"/>
    <x v="6"/>
    <x v="1"/>
    <x v="2"/>
    <x v="6"/>
    <x v="6"/>
    <x v="6"/>
    <x v="5"/>
    <x v="6"/>
    <x v="6"/>
    <x v="6"/>
  </r>
  <r>
    <x v="7"/>
    <x v="7"/>
    <x v="1"/>
    <x v="4"/>
    <x v="7"/>
    <x v="7"/>
    <x v="7"/>
    <x v="6"/>
    <x v="7"/>
    <x v="7"/>
    <x v="7"/>
  </r>
  <r>
    <x v="8"/>
    <x v="8"/>
    <x v="1"/>
    <x v="3"/>
    <x v="3"/>
    <x v="8"/>
    <x v="8"/>
    <x v="7"/>
    <x v="8"/>
    <x v="8"/>
    <x v="8"/>
  </r>
  <r>
    <x v="9"/>
    <x v="9"/>
    <x v="0"/>
    <x v="0"/>
    <x v="8"/>
    <x v="1"/>
    <x v="9"/>
    <x v="8"/>
    <x v="4"/>
    <x v="9"/>
    <x v="9"/>
  </r>
  <r>
    <x v="10"/>
    <x v="10"/>
    <x v="0"/>
    <x v="4"/>
    <x v="4"/>
    <x v="9"/>
    <x v="10"/>
    <x v="9"/>
    <x v="9"/>
    <x v="10"/>
    <x v="10"/>
  </r>
  <r>
    <x v="11"/>
    <x v="11"/>
    <x v="1"/>
    <x v="3"/>
    <x v="9"/>
    <x v="1"/>
    <x v="11"/>
    <x v="10"/>
    <x v="10"/>
    <x v="11"/>
    <x v="11"/>
  </r>
  <r>
    <x v="12"/>
    <x v="12"/>
    <x v="1"/>
    <x v="2"/>
    <x v="10"/>
    <x v="10"/>
    <x v="12"/>
    <x v="11"/>
    <x v="11"/>
    <x v="12"/>
    <x v="12"/>
  </r>
  <r>
    <x v="13"/>
    <x v="13"/>
    <x v="1"/>
    <x v="5"/>
    <x v="11"/>
    <x v="11"/>
    <x v="13"/>
    <x v="12"/>
    <x v="12"/>
    <x v="13"/>
    <x v="13"/>
  </r>
  <r>
    <x v="14"/>
    <x v="14"/>
    <x v="0"/>
    <x v="0"/>
    <x v="12"/>
    <x v="12"/>
    <x v="14"/>
    <x v="13"/>
    <x v="4"/>
    <x v="14"/>
    <x v="14"/>
  </r>
  <r>
    <x v="15"/>
    <x v="15"/>
    <x v="1"/>
    <x v="1"/>
    <x v="13"/>
    <x v="12"/>
    <x v="15"/>
    <x v="14"/>
    <x v="13"/>
    <x v="15"/>
    <x v="15"/>
  </r>
  <r>
    <x v="16"/>
    <x v="16"/>
    <x v="1"/>
    <x v="4"/>
    <x v="14"/>
    <x v="1"/>
    <x v="16"/>
    <x v="15"/>
    <x v="9"/>
    <x v="16"/>
    <x v="16"/>
  </r>
  <r>
    <x v="17"/>
    <x v="17"/>
    <x v="0"/>
    <x v="3"/>
    <x v="15"/>
    <x v="13"/>
    <x v="17"/>
    <x v="16"/>
    <x v="14"/>
    <x v="17"/>
    <x v="17"/>
  </r>
  <r>
    <x v="18"/>
    <x v="18"/>
    <x v="0"/>
    <x v="4"/>
    <x v="6"/>
    <x v="14"/>
    <x v="18"/>
    <x v="17"/>
    <x v="15"/>
    <x v="18"/>
    <x v="18"/>
  </r>
  <r>
    <x v="19"/>
    <x v="19"/>
    <x v="1"/>
    <x v="4"/>
    <x v="16"/>
    <x v="15"/>
    <x v="19"/>
    <x v="14"/>
    <x v="16"/>
    <x v="19"/>
    <x v="19"/>
  </r>
  <r>
    <x v="20"/>
    <x v="20"/>
    <x v="1"/>
    <x v="2"/>
    <x v="0"/>
    <x v="16"/>
    <x v="20"/>
    <x v="18"/>
    <x v="17"/>
    <x v="20"/>
    <x v="20"/>
  </r>
  <r>
    <x v="21"/>
    <x v="21"/>
    <x v="1"/>
    <x v="0"/>
    <x v="17"/>
    <x v="14"/>
    <x v="16"/>
    <x v="15"/>
    <x v="14"/>
    <x v="21"/>
    <x v="21"/>
  </r>
  <r>
    <x v="22"/>
    <x v="22"/>
    <x v="1"/>
    <x v="1"/>
    <x v="18"/>
    <x v="17"/>
    <x v="21"/>
    <x v="19"/>
    <x v="18"/>
    <x v="22"/>
    <x v="22"/>
  </r>
  <r>
    <x v="23"/>
    <x v="23"/>
    <x v="1"/>
    <x v="3"/>
    <x v="5"/>
    <x v="18"/>
    <x v="22"/>
    <x v="20"/>
    <x v="19"/>
    <x v="23"/>
    <x v="23"/>
  </r>
  <r>
    <x v="24"/>
    <x v="24"/>
    <x v="1"/>
    <x v="4"/>
    <x v="19"/>
    <x v="11"/>
    <x v="23"/>
    <x v="21"/>
    <x v="10"/>
    <x v="24"/>
    <x v="24"/>
  </r>
  <r>
    <x v="25"/>
    <x v="25"/>
    <x v="0"/>
    <x v="3"/>
    <x v="20"/>
    <x v="8"/>
    <x v="24"/>
    <x v="22"/>
    <x v="20"/>
    <x v="25"/>
    <x v="25"/>
  </r>
  <r>
    <x v="26"/>
    <x v="26"/>
    <x v="1"/>
    <x v="0"/>
    <x v="21"/>
    <x v="19"/>
    <x v="25"/>
    <x v="9"/>
    <x v="21"/>
    <x v="26"/>
    <x v="26"/>
  </r>
  <r>
    <x v="27"/>
    <x v="27"/>
    <x v="0"/>
    <x v="2"/>
    <x v="22"/>
    <x v="16"/>
    <x v="26"/>
    <x v="7"/>
    <x v="8"/>
    <x v="27"/>
    <x v="27"/>
  </r>
  <r>
    <x v="28"/>
    <x v="28"/>
    <x v="1"/>
    <x v="0"/>
    <x v="23"/>
    <x v="3"/>
    <x v="27"/>
    <x v="23"/>
    <x v="22"/>
    <x v="28"/>
    <x v="28"/>
  </r>
  <r>
    <x v="29"/>
    <x v="29"/>
    <x v="0"/>
    <x v="2"/>
    <x v="22"/>
    <x v="20"/>
    <x v="19"/>
    <x v="24"/>
    <x v="6"/>
    <x v="26"/>
    <x v="26"/>
  </r>
  <r>
    <x v="30"/>
    <x v="30"/>
    <x v="1"/>
    <x v="5"/>
    <x v="24"/>
    <x v="21"/>
    <x v="15"/>
    <x v="25"/>
    <x v="21"/>
    <x v="29"/>
    <x v="29"/>
  </r>
  <r>
    <x v="31"/>
    <x v="31"/>
    <x v="1"/>
    <x v="2"/>
    <x v="8"/>
    <x v="22"/>
    <x v="28"/>
    <x v="26"/>
    <x v="23"/>
    <x v="30"/>
    <x v="30"/>
  </r>
  <r>
    <x v="32"/>
    <x v="32"/>
    <x v="0"/>
    <x v="2"/>
    <x v="25"/>
    <x v="23"/>
    <x v="0"/>
    <x v="27"/>
    <x v="24"/>
    <x v="31"/>
    <x v="31"/>
  </r>
  <r>
    <x v="33"/>
    <x v="33"/>
    <x v="1"/>
    <x v="2"/>
    <x v="14"/>
    <x v="24"/>
    <x v="29"/>
    <x v="28"/>
    <x v="21"/>
    <x v="32"/>
    <x v="32"/>
  </r>
  <r>
    <x v="34"/>
    <x v="34"/>
    <x v="1"/>
    <x v="2"/>
    <x v="10"/>
    <x v="25"/>
    <x v="30"/>
    <x v="29"/>
    <x v="25"/>
    <x v="33"/>
    <x v="33"/>
  </r>
  <r>
    <x v="35"/>
    <x v="35"/>
    <x v="1"/>
    <x v="0"/>
    <x v="19"/>
    <x v="26"/>
    <x v="1"/>
    <x v="30"/>
    <x v="24"/>
    <x v="34"/>
    <x v="34"/>
  </r>
  <r>
    <x v="36"/>
    <x v="36"/>
    <x v="1"/>
    <x v="4"/>
    <x v="26"/>
    <x v="27"/>
    <x v="31"/>
    <x v="31"/>
    <x v="26"/>
    <x v="12"/>
    <x v="12"/>
  </r>
  <r>
    <x v="37"/>
    <x v="37"/>
    <x v="0"/>
    <x v="4"/>
    <x v="8"/>
    <x v="28"/>
    <x v="4"/>
    <x v="3"/>
    <x v="14"/>
    <x v="35"/>
    <x v="35"/>
  </r>
  <r>
    <x v="38"/>
    <x v="38"/>
    <x v="1"/>
    <x v="2"/>
    <x v="27"/>
    <x v="29"/>
    <x v="32"/>
    <x v="32"/>
    <x v="17"/>
    <x v="5"/>
    <x v="5"/>
  </r>
  <r>
    <x v="39"/>
    <x v="39"/>
    <x v="0"/>
    <x v="1"/>
    <x v="27"/>
    <x v="2"/>
    <x v="2"/>
    <x v="2"/>
    <x v="27"/>
    <x v="20"/>
    <x v="20"/>
  </r>
  <r>
    <x v="40"/>
    <x v="40"/>
    <x v="0"/>
    <x v="0"/>
    <x v="4"/>
    <x v="30"/>
    <x v="33"/>
    <x v="27"/>
    <x v="28"/>
    <x v="9"/>
    <x v="9"/>
  </r>
  <r>
    <x v="41"/>
    <x v="41"/>
    <x v="0"/>
    <x v="1"/>
    <x v="28"/>
    <x v="31"/>
    <x v="34"/>
    <x v="1"/>
    <x v="25"/>
    <x v="36"/>
    <x v="36"/>
  </r>
  <r>
    <x v="42"/>
    <x v="42"/>
    <x v="0"/>
    <x v="3"/>
    <x v="29"/>
    <x v="1"/>
    <x v="28"/>
    <x v="22"/>
    <x v="29"/>
    <x v="37"/>
    <x v="37"/>
  </r>
  <r>
    <x v="43"/>
    <x v="43"/>
    <x v="0"/>
    <x v="2"/>
    <x v="20"/>
    <x v="25"/>
    <x v="35"/>
    <x v="33"/>
    <x v="30"/>
    <x v="38"/>
    <x v="38"/>
  </r>
  <r>
    <x v="44"/>
    <x v="44"/>
    <x v="0"/>
    <x v="5"/>
    <x v="30"/>
    <x v="32"/>
    <x v="36"/>
    <x v="34"/>
    <x v="31"/>
    <x v="39"/>
    <x v="39"/>
  </r>
  <r>
    <x v="45"/>
    <x v="45"/>
    <x v="1"/>
    <x v="5"/>
    <x v="31"/>
    <x v="33"/>
    <x v="26"/>
    <x v="35"/>
    <x v="32"/>
    <x v="40"/>
    <x v="40"/>
  </r>
  <r>
    <x v="46"/>
    <x v="46"/>
    <x v="1"/>
    <x v="3"/>
    <x v="32"/>
    <x v="34"/>
    <x v="12"/>
    <x v="11"/>
    <x v="33"/>
    <x v="41"/>
    <x v="41"/>
  </r>
  <r>
    <x v="47"/>
    <x v="47"/>
    <x v="0"/>
    <x v="1"/>
    <x v="33"/>
    <x v="35"/>
    <x v="37"/>
    <x v="36"/>
    <x v="34"/>
    <x v="42"/>
    <x v="42"/>
  </r>
  <r>
    <x v="48"/>
    <x v="48"/>
    <x v="0"/>
    <x v="5"/>
    <x v="21"/>
    <x v="36"/>
    <x v="28"/>
    <x v="26"/>
    <x v="34"/>
    <x v="43"/>
    <x v="43"/>
  </r>
  <r>
    <x v="49"/>
    <x v="49"/>
    <x v="1"/>
    <x v="1"/>
    <x v="5"/>
    <x v="35"/>
    <x v="38"/>
    <x v="17"/>
    <x v="28"/>
    <x v="44"/>
    <x v="44"/>
  </r>
  <r>
    <x v="50"/>
    <x v="50"/>
    <x v="0"/>
    <x v="1"/>
    <x v="0"/>
    <x v="11"/>
    <x v="4"/>
    <x v="3"/>
    <x v="35"/>
    <x v="21"/>
    <x v="21"/>
  </r>
  <r>
    <x v="51"/>
    <x v="51"/>
    <x v="1"/>
    <x v="3"/>
    <x v="24"/>
    <x v="37"/>
    <x v="39"/>
    <x v="37"/>
    <x v="32"/>
    <x v="45"/>
    <x v="45"/>
  </r>
  <r>
    <x v="52"/>
    <x v="52"/>
    <x v="1"/>
    <x v="0"/>
    <x v="34"/>
    <x v="38"/>
    <x v="40"/>
    <x v="38"/>
    <x v="23"/>
    <x v="46"/>
    <x v="46"/>
  </r>
  <r>
    <x v="53"/>
    <x v="53"/>
    <x v="1"/>
    <x v="5"/>
    <x v="35"/>
    <x v="8"/>
    <x v="41"/>
    <x v="39"/>
    <x v="24"/>
    <x v="0"/>
    <x v="0"/>
  </r>
  <r>
    <x v="54"/>
    <x v="54"/>
    <x v="0"/>
    <x v="2"/>
    <x v="36"/>
    <x v="39"/>
    <x v="0"/>
    <x v="7"/>
    <x v="36"/>
    <x v="47"/>
    <x v="47"/>
  </r>
  <r>
    <x v="55"/>
    <x v="55"/>
    <x v="1"/>
    <x v="5"/>
    <x v="28"/>
    <x v="40"/>
    <x v="9"/>
    <x v="8"/>
    <x v="6"/>
    <x v="29"/>
    <x v="29"/>
  </r>
  <r>
    <x v="56"/>
    <x v="56"/>
    <x v="0"/>
    <x v="0"/>
    <x v="37"/>
    <x v="26"/>
    <x v="6"/>
    <x v="5"/>
    <x v="0"/>
    <x v="48"/>
    <x v="48"/>
  </r>
  <r>
    <x v="57"/>
    <x v="57"/>
    <x v="1"/>
    <x v="0"/>
    <x v="38"/>
    <x v="36"/>
    <x v="39"/>
    <x v="37"/>
    <x v="37"/>
    <x v="49"/>
    <x v="49"/>
  </r>
  <r>
    <x v="58"/>
    <x v="58"/>
    <x v="1"/>
    <x v="1"/>
    <x v="39"/>
    <x v="20"/>
    <x v="25"/>
    <x v="9"/>
    <x v="35"/>
    <x v="50"/>
    <x v="50"/>
  </r>
  <r>
    <x v="59"/>
    <x v="59"/>
    <x v="1"/>
    <x v="2"/>
    <x v="35"/>
    <x v="41"/>
    <x v="42"/>
    <x v="40"/>
    <x v="38"/>
    <x v="51"/>
    <x v="51"/>
  </r>
  <r>
    <x v="60"/>
    <x v="60"/>
    <x v="0"/>
    <x v="0"/>
    <x v="28"/>
    <x v="14"/>
    <x v="43"/>
    <x v="41"/>
    <x v="39"/>
    <x v="44"/>
    <x v="44"/>
  </r>
  <r>
    <x v="61"/>
    <x v="61"/>
    <x v="0"/>
    <x v="3"/>
    <x v="16"/>
    <x v="25"/>
    <x v="44"/>
    <x v="42"/>
    <x v="40"/>
    <x v="52"/>
    <x v="52"/>
  </r>
  <r>
    <x v="62"/>
    <x v="62"/>
    <x v="0"/>
    <x v="0"/>
    <x v="40"/>
    <x v="6"/>
    <x v="45"/>
    <x v="22"/>
    <x v="22"/>
    <x v="43"/>
    <x v="43"/>
  </r>
  <r>
    <x v="63"/>
    <x v="63"/>
    <x v="1"/>
    <x v="3"/>
    <x v="41"/>
    <x v="22"/>
    <x v="39"/>
    <x v="37"/>
    <x v="16"/>
    <x v="53"/>
    <x v="53"/>
  </r>
  <r>
    <x v="64"/>
    <x v="64"/>
    <x v="1"/>
    <x v="1"/>
    <x v="12"/>
    <x v="32"/>
    <x v="46"/>
    <x v="43"/>
    <x v="41"/>
    <x v="54"/>
    <x v="54"/>
  </r>
  <r>
    <x v="65"/>
    <x v="65"/>
    <x v="0"/>
    <x v="5"/>
    <x v="42"/>
    <x v="42"/>
    <x v="47"/>
    <x v="10"/>
    <x v="27"/>
    <x v="53"/>
    <x v="53"/>
  </r>
  <r>
    <x v="66"/>
    <x v="66"/>
    <x v="1"/>
    <x v="2"/>
    <x v="20"/>
    <x v="14"/>
    <x v="48"/>
    <x v="44"/>
    <x v="42"/>
    <x v="55"/>
    <x v="55"/>
  </r>
  <r>
    <x v="67"/>
    <x v="67"/>
    <x v="0"/>
    <x v="1"/>
    <x v="43"/>
    <x v="43"/>
    <x v="39"/>
    <x v="37"/>
    <x v="26"/>
    <x v="56"/>
    <x v="56"/>
  </r>
  <r>
    <x v="68"/>
    <x v="68"/>
    <x v="1"/>
    <x v="3"/>
    <x v="28"/>
    <x v="11"/>
    <x v="49"/>
    <x v="45"/>
    <x v="43"/>
    <x v="57"/>
    <x v="57"/>
  </r>
  <r>
    <x v="69"/>
    <x v="69"/>
    <x v="0"/>
    <x v="2"/>
    <x v="44"/>
    <x v="44"/>
    <x v="3"/>
    <x v="46"/>
    <x v="14"/>
    <x v="58"/>
    <x v="58"/>
  </r>
  <r>
    <x v="70"/>
    <x v="70"/>
    <x v="1"/>
    <x v="0"/>
    <x v="45"/>
    <x v="45"/>
    <x v="50"/>
    <x v="47"/>
    <x v="17"/>
    <x v="59"/>
    <x v="59"/>
  </r>
  <r>
    <x v="71"/>
    <x v="71"/>
    <x v="1"/>
    <x v="3"/>
    <x v="27"/>
    <x v="39"/>
    <x v="0"/>
    <x v="48"/>
    <x v="34"/>
    <x v="54"/>
    <x v="54"/>
  </r>
  <r>
    <x v="72"/>
    <x v="72"/>
    <x v="0"/>
    <x v="2"/>
    <x v="46"/>
    <x v="42"/>
    <x v="7"/>
    <x v="6"/>
    <x v="24"/>
    <x v="60"/>
    <x v="60"/>
  </r>
  <r>
    <x v="73"/>
    <x v="73"/>
    <x v="0"/>
    <x v="3"/>
    <x v="13"/>
    <x v="37"/>
    <x v="51"/>
    <x v="49"/>
    <x v="0"/>
    <x v="61"/>
    <x v="61"/>
  </r>
  <r>
    <x v="74"/>
    <x v="74"/>
    <x v="1"/>
    <x v="4"/>
    <x v="47"/>
    <x v="35"/>
    <x v="2"/>
    <x v="2"/>
    <x v="44"/>
    <x v="62"/>
    <x v="62"/>
  </r>
  <r>
    <x v="75"/>
    <x v="75"/>
    <x v="0"/>
    <x v="5"/>
    <x v="48"/>
    <x v="36"/>
    <x v="12"/>
    <x v="11"/>
    <x v="12"/>
    <x v="39"/>
    <x v="39"/>
  </r>
  <r>
    <x v="76"/>
    <x v="76"/>
    <x v="1"/>
    <x v="5"/>
    <x v="20"/>
    <x v="27"/>
    <x v="12"/>
    <x v="11"/>
    <x v="45"/>
    <x v="63"/>
    <x v="63"/>
  </r>
  <r>
    <x v="77"/>
    <x v="77"/>
    <x v="0"/>
    <x v="4"/>
    <x v="13"/>
    <x v="20"/>
    <x v="52"/>
    <x v="50"/>
    <x v="17"/>
    <x v="64"/>
    <x v="64"/>
  </r>
  <r>
    <x v="78"/>
    <x v="78"/>
    <x v="1"/>
    <x v="0"/>
    <x v="41"/>
    <x v="46"/>
    <x v="4"/>
    <x v="3"/>
    <x v="15"/>
    <x v="18"/>
    <x v="18"/>
  </r>
  <r>
    <x v="79"/>
    <x v="79"/>
    <x v="1"/>
    <x v="4"/>
    <x v="1"/>
    <x v="32"/>
    <x v="53"/>
    <x v="2"/>
    <x v="9"/>
    <x v="65"/>
    <x v="65"/>
  </r>
  <r>
    <x v="80"/>
    <x v="80"/>
    <x v="1"/>
    <x v="5"/>
    <x v="49"/>
    <x v="14"/>
    <x v="54"/>
    <x v="51"/>
    <x v="38"/>
    <x v="66"/>
    <x v="66"/>
  </r>
  <r>
    <x v="81"/>
    <x v="81"/>
    <x v="1"/>
    <x v="2"/>
    <x v="48"/>
    <x v="29"/>
    <x v="1"/>
    <x v="52"/>
    <x v="24"/>
    <x v="11"/>
    <x v="11"/>
  </r>
  <r>
    <x v="82"/>
    <x v="82"/>
    <x v="1"/>
    <x v="1"/>
    <x v="50"/>
    <x v="32"/>
    <x v="21"/>
    <x v="53"/>
    <x v="46"/>
    <x v="67"/>
    <x v="67"/>
  </r>
  <r>
    <x v="83"/>
    <x v="83"/>
    <x v="1"/>
    <x v="0"/>
    <x v="51"/>
    <x v="26"/>
    <x v="18"/>
    <x v="54"/>
    <x v="47"/>
    <x v="68"/>
    <x v="68"/>
  </r>
  <r>
    <x v="84"/>
    <x v="84"/>
    <x v="0"/>
    <x v="4"/>
    <x v="48"/>
    <x v="17"/>
    <x v="6"/>
    <x v="39"/>
    <x v="33"/>
    <x v="19"/>
    <x v="19"/>
  </r>
  <r>
    <x v="85"/>
    <x v="85"/>
    <x v="0"/>
    <x v="2"/>
    <x v="19"/>
    <x v="8"/>
    <x v="42"/>
    <x v="22"/>
    <x v="48"/>
    <x v="8"/>
    <x v="8"/>
  </r>
  <r>
    <x v="86"/>
    <x v="86"/>
    <x v="1"/>
    <x v="5"/>
    <x v="52"/>
    <x v="31"/>
    <x v="16"/>
    <x v="15"/>
    <x v="41"/>
    <x v="69"/>
    <x v="69"/>
  </r>
  <r>
    <x v="87"/>
    <x v="87"/>
    <x v="0"/>
    <x v="0"/>
    <x v="36"/>
    <x v="24"/>
    <x v="55"/>
    <x v="55"/>
    <x v="20"/>
    <x v="70"/>
    <x v="70"/>
  </r>
  <r>
    <x v="88"/>
    <x v="88"/>
    <x v="1"/>
    <x v="0"/>
    <x v="14"/>
    <x v="46"/>
    <x v="1"/>
    <x v="56"/>
    <x v="36"/>
    <x v="71"/>
    <x v="71"/>
  </r>
  <r>
    <x v="89"/>
    <x v="89"/>
    <x v="0"/>
    <x v="3"/>
    <x v="26"/>
    <x v="13"/>
    <x v="56"/>
    <x v="14"/>
    <x v="0"/>
    <x v="19"/>
    <x v="19"/>
  </r>
  <r>
    <x v="90"/>
    <x v="90"/>
    <x v="1"/>
    <x v="2"/>
    <x v="2"/>
    <x v="47"/>
    <x v="43"/>
    <x v="41"/>
    <x v="2"/>
    <x v="39"/>
    <x v="39"/>
  </r>
  <r>
    <x v="91"/>
    <x v="91"/>
    <x v="0"/>
    <x v="1"/>
    <x v="0"/>
    <x v="48"/>
    <x v="51"/>
    <x v="49"/>
    <x v="9"/>
    <x v="72"/>
    <x v="72"/>
  </r>
  <r>
    <x v="92"/>
    <x v="92"/>
    <x v="0"/>
    <x v="4"/>
    <x v="53"/>
    <x v="49"/>
    <x v="13"/>
    <x v="12"/>
    <x v="49"/>
    <x v="10"/>
    <x v="10"/>
  </r>
  <r>
    <x v="93"/>
    <x v="93"/>
    <x v="1"/>
    <x v="0"/>
    <x v="54"/>
    <x v="50"/>
    <x v="24"/>
    <x v="47"/>
    <x v="6"/>
    <x v="10"/>
    <x v="10"/>
  </r>
  <r>
    <x v="94"/>
    <x v="94"/>
    <x v="1"/>
    <x v="2"/>
    <x v="26"/>
    <x v="51"/>
    <x v="43"/>
    <x v="41"/>
    <x v="2"/>
    <x v="73"/>
    <x v="73"/>
  </r>
  <r>
    <x v="95"/>
    <x v="95"/>
    <x v="0"/>
    <x v="5"/>
    <x v="36"/>
    <x v="35"/>
    <x v="57"/>
    <x v="57"/>
    <x v="50"/>
    <x v="30"/>
    <x v="30"/>
  </r>
  <r>
    <x v="96"/>
    <x v="96"/>
    <x v="0"/>
    <x v="1"/>
    <x v="43"/>
    <x v="35"/>
    <x v="40"/>
    <x v="38"/>
    <x v="41"/>
    <x v="4"/>
    <x v="4"/>
  </r>
  <r>
    <x v="97"/>
    <x v="97"/>
    <x v="0"/>
    <x v="3"/>
    <x v="55"/>
    <x v="26"/>
    <x v="58"/>
    <x v="58"/>
    <x v="6"/>
    <x v="32"/>
    <x v="32"/>
  </r>
  <r>
    <x v="98"/>
    <x v="98"/>
    <x v="1"/>
    <x v="5"/>
    <x v="48"/>
    <x v="46"/>
    <x v="43"/>
    <x v="41"/>
    <x v="2"/>
    <x v="74"/>
    <x v="74"/>
  </r>
  <r>
    <x v="99"/>
    <x v="99"/>
    <x v="1"/>
    <x v="5"/>
    <x v="56"/>
    <x v="27"/>
    <x v="33"/>
    <x v="27"/>
    <x v="10"/>
    <x v="75"/>
    <x v="75"/>
  </r>
  <r>
    <x v="100"/>
    <x v="100"/>
    <x v="1"/>
    <x v="5"/>
    <x v="40"/>
    <x v="15"/>
    <x v="55"/>
    <x v="55"/>
    <x v="12"/>
    <x v="76"/>
    <x v="76"/>
  </r>
  <r>
    <x v="101"/>
    <x v="101"/>
    <x v="0"/>
    <x v="3"/>
    <x v="15"/>
    <x v="52"/>
    <x v="15"/>
    <x v="25"/>
    <x v="33"/>
    <x v="77"/>
    <x v="77"/>
  </r>
  <r>
    <x v="102"/>
    <x v="102"/>
    <x v="0"/>
    <x v="2"/>
    <x v="13"/>
    <x v="53"/>
    <x v="11"/>
    <x v="59"/>
    <x v="15"/>
    <x v="78"/>
    <x v="78"/>
  </r>
  <r>
    <x v="103"/>
    <x v="103"/>
    <x v="1"/>
    <x v="1"/>
    <x v="52"/>
    <x v="19"/>
    <x v="59"/>
    <x v="48"/>
    <x v="43"/>
    <x v="79"/>
    <x v="79"/>
  </r>
  <r>
    <x v="104"/>
    <x v="104"/>
    <x v="0"/>
    <x v="0"/>
    <x v="54"/>
    <x v="24"/>
    <x v="38"/>
    <x v="17"/>
    <x v="16"/>
    <x v="80"/>
    <x v="80"/>
  </r>
  <r>
    <x v="105"/>
    <x v="105"/>
    <x v="0"/>
    <x v="0"/>
    <x v="54"/>
    <x v="23"/>
    <x v="12"/>
    <x v="22"/>
    <x v="42"/>
    <x v="19"/>
    <x v="19"/>
  </r>
  <r>
    <x v="106"/>
    <x v="106"/>
    <x v="1"/>
    <x v="0"/>
    <x v="46"/>
    <x v="30"/>
    <x v="12"/>
    <x v="11"/>
    <x v="16"/>
    <x v="73"/>
    <x v="73"/>
  </r>
  <r>
    <x v="107"/>
    <x v="107"/>
    <x v="0"/>
    <x v="5"/>
    <x v="15"/>
    <x v="13"/>
    <x v="14"/>
    <x v="13"/>
    <x v="17"/>
    <x v="81"/>
    <x v="81"/>
  </r>
  <r>
    <x v="108"/>
    <x v="108"/>
    <x v="0"/>
    <x v="1"/>
    <x v="54"/>
    <x v="38"/>
    <x v="51"/>
    <x v="49"/>
    <x v="2"/>
    <x v="3"/>
    <x v="3"/>
  </r>
  <r>
    <x v="109"/>
    <x v="109"/>
    <x v="1"/>
    <x v="3"/>
    <x v="10"/>
    <x v="34"/>
    <x v="39"/>
    <x v="37"/>
    <x v="25"/>
    <x v="23"/>
    <x v="23"/>
  </r>
  <r>
    <x v="110"/>
    <x v="110"/>
    <x v="1"/>
    <x v="2"/>
    <x v="57"/>
    <x v="54"/>
    <x v="39"/>
    <x v="37"/>
    <x v="42"/>
    <x v="6"/>
    <x v="6"/>
  </r>
  <r>
    <x v="111"/>
    <x v="111"/>
    <x v="1"/>
    <x v="3"/>
    <x v="44"/>
    <x v="4"/>
    <x v="31"/>
    <x v="31"/>
    <x v="43"/>
    <x v="43"/>
    <x v="43"/>
  </r>
  <r>
    <x v="112"/>
    <x v="112"/>
    <x v="1"/>
    <x v="4"/>
    <x v="43"/>
    <x v="26"/>
    <x v="23"/>
    <x v="21"/>
    <x v="49"/>
    <x v="82"/>
    <x v="82"/>
  </r>
  <r>
    <x v="113"/>
    <x v="113"/>
    <x v="1"/>
    <x v="0"/>
    <x v="2"/>
    <x v="6"/>
    <x v="56"/>
    <x v="22"/>
    <x v="51"/>
    <x v="83"/>
    <x v="83"/>
  </r>
  <r>
    <x v="114"/>
    <x v="114"/>
    <x v="1"/>
    <x v="5"/>
    <x v="58"/>
    <x v="55"/>
    <x v="60"/>
    <x v="44"/>
    <x v="14"/>
    <x v="84"/>
    <x v="84"/>
  </r>
  <r>
    <x v="115"/>
    <x v="115"/>
    <x v="0"/>
    <x v="3"/>
    <x v="59"/>
    <x v="13"/>
    <x v="39"/>
    <x v="37"/>
    <x v="33"/>
    <x v="85"/>
    <x v="85"/>
  </r>
  <r>
    <x v="116"/>
    <x v="116"/>
    <x v="0"/>
    <x v="2"/>
    <x v="33"/>
    <x v="56"/>
    <x v="61"/>
    <x v="60"/>
    <x v="52"/>
    <x v="86"/>
    <x v="86"/>
  </r>
  <r>
    <x v="117"/>
    <x v="117"/>
    <x v="0"/>
    <x v="3"/>
    <x v="60"/>
    <x v="24"/>
    <x v="36"/>
    <x v="34"/>
    <x v="53"/>
    <x v="87"/>
    <x v="87"/>
  </r>
  <r>
    <x v="118"/>
    <x v="118"/>
    <x v="0"/>
    <x v="4"/>
    <x v="19"/>
    <x v="57"/>
    <x v="62"/>
    <x v="61"/>
    <x v="13"/>
    <x v="88"/>
    <x v="88"/>
  </r>
  <r>
    <x v="119"/>
    <x v="119"/>
    <x v="1"/>
    <x v="3"/>
    <x v="50"/>
    <x v="39"/>
    <x v="59"/>
    <x v="48"/>
    <x v="39"/>
    <x v="89"/>
    <x v="89"/>
  </r>
  <r>
    <x v="120"/>
    <x v="120"/>
    <x v="1"/>
    <x v="3"/>
    <x v="20"/>
    <x v="58"/>
    <x v="63"/>
    <x v="62"/>
    <x v="54"/>
    <x v="83"/>
    <x v="83"/>
  </r>
  <r>
    <x v="121"/>
    <x v="121"/>
    <x v="0"/>
    <x v="0"/>
    <x v="31"/>
    <x v="24"/>
    <x v="37"/>
    <x v="36"/>
    <x v="21"/>
    <x v="90"/>
    <x v="90"/>
  </r>
  <r>
    <x v="122"/>
    <x v="122"/>
    <x v="1"/>
    <x v="2"/>
    <x v="25"/>
    <x v="37"/>
    <x v="56"/>
    <x v="22"/>
    <x v="0"/>
    <x v="37"/>
    <x v="37"/>
  </r>
  <r>
    <x v="123"/>
    <x v="123"/>
    <x v="1"/>
    <x v="4"/>
    <x v="54"/>
    <x v="19"/>
    <x v="14"/>
    <x v="13"/>
    <x v="26"/>
    <x v="91"/>
    <x v="91"/>
  </r>
  <r>
    <x v="124"/>
    <x v="124"/>
    <x v="1"/>
    <x v="5"/>
    <x v="61"/>
    <x v="1"/>
    <x v="64"/>
    <x v="63"/>
    <x v="15"/>
    <x v="92"/>
    <x v="92"/>
  </r>
  <r>
    <x v="125"/>
    <x v="125"/>
    <x v="0"/>
    <x v="5"/>
    <x v="14"/>
    <x v="26"/>
    <x v="62"/>
    <x v="61"/>
    <x v="31"/>
    <x v="93"/>
    <x v="93"/>
  </r>
  <r>
    <x v="126"/>
    <x v="126"/>
    <x v="0"/>
    <x v="4"/>
    <x v="28"/>
    <x v="59"/>
    <x v="9"/>
    <x v="8"/>
    <x v="14"/>
    <x v="60"/>
    <x v="60"/>
  </r>
  <r>
    <x v="127"/>
    <x v="127"/>
    <x v="0"/>
    <x v="1"/>
    <x v="46"/>
    <x v="50"/>
    <x v="59"/>
    <x v="48"/>
    <x v="50"/>
    <x v="79"/>
    <x v="79"/>
  </r>
  <r>
    <x v="128"/>
    <x v="128"/>
    <x v="1"/>
    <x v="5"/>
    <x v="5"/>
    <x v="32"/>
    <x v="31"/>
    <x v="31"/>
    <x v="39"/>
    <x v="94"/>
    <x v="94"/>
  </r>
  <r>
    <x v="129"/>
    <x v="129"/>
    <x v="0"/>
    <x v="2"/>
    <x v="26"/>
    <x v="60"/>
    <x v="1"/>
    <x v="52"/>
    <x v="55"/>
    <x v="95"/>
    <x v="95"/>
  </r>
  <r>
    <x v="130"/>
    <x v="130"/>
    <x v="1"/>
    <x v="3"/>
    <x v="25"/>
    <x v="15"/>
    <x v="37"/>
    <x v="36"/>
    <x v="56"/>
    <x v="96"/>
    <x v="96"/>
  </r>
  <r>
    <x v="131"/>
    <x v="131"/>
    <x v="0"/>
    <x v="2"/>
    <x v="25"/>
    <x v="60"/>
    <x v="40"/>
    <x v="38"/>
    <x v="57"/>
    <x v="97"/>
    <x v="97"/>
  </r>
  <r>
    <x v="132"/>
    <x v="132"/>
    <x v="1"/>
    <x v="2"/>
    <x v="43"/>
    <x v="45"/>
    <x v="12"/>
    <x v="11"/>
    <x v="58"/>
    <x v="98"/>
    <x v="98"/>
  </r>
  <r>
    <x v="133"/>
    <x v="133"/>
    <x v="0"/>
    <x v="5"/>
    <x v="58"/>
    <x v="61"/>
    <x v="15"/>
    <x v="25"/>
    <x v="48"/>
    <x v="73"/>
    <x v="73"/>
  </r>
  <r>
    <x v="134"/>
    <x v="134"/>
    <x v="1"/>
    <x v="2"/>
    <x v="54"/>
    <x v="12"/>
    <x v="65"/>
    <x v="64"/>
    <x v="50"/>
    <x v="23"/>
    <x v="23"/>
  </r>
  <r>
    <x v="135"/>
    <x v="135"/>
    <x v="0"/>
    <x v="4"/>
    <x v="62"/>
    <x v="24"/>
    <x v="9"/>
    <x v="8"/>
    <x v="22"/>
    <x v="99"/>
    <x v="99"/>
  </r>
  <r>
    <x v="136"/>
    <x v="136"/>
    <x v="1"/>
    <x v="3"/>
    <x v="58"/>
    <x v="13"/>
    <x v="14"/>
    <x v="13"/>
    <x v="57"/>
    <x v="100"/>
    <x v="100"/>
  </r>
  <r>
    <x v="137"/>
    <x v="137"/>
    <x v="1"/>
    <x v="5"/>
    <x v="63"/>
    <x v="49"/>
    <x v="22"/>
    <x v="20"/>
    <x v="59"/>
    <x v="101"/>
    <x v="101"/>
  </r>
  <r>
    <x v="138"/>
    <x v="138"/>
    <x v="0"/>
    <x v="5"/>
    <x v="48"/>
    <x v="62"/>
    <x v="66"/>
    <x v="65"/>
    <x v="60"/>
    <x v="102"/>
    <x v="102"/>
  </r>
  <r>
    <x v="139"/>
    <x v="139"/>
    <x v="1"/>
    <x v="1"/>
    <x v="64"/>
    <x v="59"/>
    <x v="43"/>
    <x v="41"/>
    <x v="5"/>
    <x v="20"/>
    <x v="20"/>
  </r>
  <r>
    <x v="140"/>
    <x v="140"/>
    <x v="0"/>
    <x v="0"/>
    <x v="43"/>
    <x v="6"/>
    <x v="47"/>
    <x v="10"/>
    <x v="41"/>
    <x v="21"/>
    <x v="21"/>
  </r>
  <r>
    <x v="141"/>
    <x v="141"/>
    <x v="0"/>
    <x v="1"/>
    <x v="18"/>
    <x v="29"/>
    <x v="55"/>
    <x v="55"/>
    <x v="0"/>
    <x v="26"/>
    <x v="26"/>
  </r>
  <r>
    <x v="142"/>
    <x v="142"/>
    <x v="0"/>
    <x v="4"/>
    <x v="55"/>
    <x v="6"/>
    <x v="12"/>
    <x v="11"/>
    <x v="33"/>
    <x v="103"/>
    <x v="103"/>
  </r>
  <r>
    <x v="143"/>
    <x v="143"/>
    <x v="1"/>
    <x v="2"/>
    <x v="44"/>
    <x v="7"/>
    <x v="67"/>
    <x v="66"/>
    <x v="15"/>
    <x v="49"/>
    <x v="49"/>
  </r>
  <r>
    <x v="144"/>
    <x v="144"/>
    <x v="1"/>
    <x v="1"/>
    <x v="24"/>
    <x v="27"/>
    <x v="34"/>
    <x v="1"/>
    <x v="49"/>
    <x v="70"/>
    <x v="70"/>
  </r>
  <r>
    <x v="145"/>
    <x v="145"/>
    <x v="0"/>
    <x v="2"/>
    <x v="47"/>
    <x v="48"/>
    <x v="68"/>
    <x v="67"/>
    <x v="61"/>
    <x v="104"/>
    <x v="104"/>
  </r>
  <r>
    <x v="146"/>
    <x v="146"/>
    <x v="1"/>
    <x v="2"/>
    <x v="14"/>
    <x v="4"/>
    <x v="17"/>
    <x v="16"/>
    <x v="53"/>
    <x v="105"/>
    <x v="105"/>
  </r>
  <r>
    <x v="147"/>
    <x v="147"/>
    <x v="1"/>
    <x v="2"/>
    <x v="65"/>
    <x v="63"/>
    <x v="28"/>
    <x v="26"/>
    <x v="62"/>
    <x v="106"/>
    <x v="106"/>
  </r>
  <r>
    <x v="148"/>
    <x v="148"/>
    <x v="1"/>
    <x v="3"/>
    <x v="66"/>
    <x v="47"/>
    <x v="69"/>
    <x v="68"/>
    <x v="53"/>
    <x v="107"/>
    <x v="107"/>
  </r>
  <r>
    <x v="149"/>
    <x v="149"/>
    <x v="1"/>
    <x v="2"/>
    <x v="67"/>
    <x v="24"/>
    <x v="64"/>
    <x v="63"/>
    <x v="38"/>
    <x v="108"/>
    <x v="108"/>
  </r>
  <r>
    <x v="150"/>
    <x v="150"/>
    <x v="0"/>
    <x v="1"/>
    <x v="12"/>
    <x v="16"/>
    <x v="53"/>
    <x v="24"/>
    <x v="16"/>
    <x v="3"/>
    <x v="3"/>
  </r>
  <r>
    <x v="151"/>
    <x v="151"/>
    <x v="0"/>
    <x v="4"/>
    <x v="28"/>
    <x v="64"/>
    <x v="10"/>
    <x v="69"/>
    <x v="17"/>
    <x v="46"/>
    <x v="46"/>
  </r>
  <r>
    <x v="152"/>
    <x v="152"/>
    <x v="1"/>
    <x v="5"/>
    <x v="48"/>
    <x v="38"/>
    <x v="12"/>
    <x v="11"/>
    <x v="55"/>
    <x v="87"/>
    <x v="87"/>
  </r>
  <r>
    <x v="153"/>
    <x v="153"/>
    <x v="1"/>
    <x v="2"/>
    <x v="15"/>
    <x v="45"/>
    <x v="4"/>
    <x v="3"/>
    <x v="61"/>
    <x v="109"/>
    <x v="109"/>
  </r>
  <r>
    <x v="154"/>
    <x v="154"/>
    <x v="1"/>
    <x v="2"/>
    <x v="19"/>
    <x v="23"/>
    <x v="10"/>
    <x v="70"/>
    <x v="63"/>
    <x v="110"/>
    <x v="110"/>
  </r>
  <r>
    <x v="155"/>
    <x v="155"/>
    <x v="1"/>
    <x v="1"/>
    <x v="26"/>
    <x v="46"/>
    <x v="33"/>
    <x v="2"/>
    <x v="64"/>
    <x v="25"/>
    <x v="25"/>
  </r>
  <r>
    <x v="156"/>
    <x v="156"/>
    <x v="0"/>
    <x v="0"/>
    <x v="27"/>
    <x v="13"/>
    <x v="70"/>
    <x v="71"/>
    <x v="55"/>
    <x v="67"/>
    <x v="67"/>
  </r>
  <r>
    <x v="157"/>
    <x v="157"/>
    <x v="0"/>
    <x v="4"/>
    <x v="0"/>
    <x v="53"/>
    <x v="8"/>
    <x v="65"/>
    <x v="28"/>
    <x v="111"/>
    <x v="111"/>
  </r>
  <r>
    <x v="158"/>
    <x v="158"/>
    <x v="1"/>
    <x v="2"/>
    <x v="24"/>
    <x v="65"/>
    <x v="45"/>
    <x v="54"/>
    <x v="49"/>
    <x v="76"/>
    <x v="76"/>
  </r>
  <r>
    <x v="159"/>
    <x v="159"/>
    <x v="0"/>
    <x v="0"/>
    <x v="50"/>
    <x v="34"/>
    <x v="2"/>
    <x v="2"/>
    <x v="31"/>
    <x v="50"/>
    <x v="50"/>
  </r>
  <r>
    <x v="160"/>
    <x v="160"/>
    <x v="0"/>
    <x v="3"/>
    <x v="6"/>
    <x v="26"/>
    <x v="24"/>
    <x v="47"/>
    <x v="2"/>
    <x v="93"/>
    <x v="93"/>
  </r>
  <r>
    <x v="161"/>
    <x v="161"/>
    <x v="0"/>
    <x v="3"/>
    <x v="8"/>
    <x v="60"/>
    <x v="21"/>
    <x v="19"/>
    <x v="26"/>
    <x v="112"/>
    <x v="112"/>
  </r>
  <r>
    <x v="162"/>
    <x v="162"/>
    <x v="0"/>
    <x v="0"/>
    <x v="43"/>
    <x v="29"/>
    <x v="61"/>
    <x v="60"/>
    <x v="2"/>
    <x v="113"/>
    <x v="113"/>
  </r>
  <r>
    <x v="163"/>
    <x v="163"/>
    <x v="0"/>
    <x v="3"/>
    <x v="43"/>
    <x v="61"/>
    <x v="24"/>
    <x v="47"/>
    <x v="65"/>
    <x v="114"/>
    <x v="114"/>
  </r>
  <r>
    <x v="164"/>
    <x v="164"/>
    <x v="0"/>
    <x v="4"/>
    <x v="59"/>
    <x v="43"/>
    <x v="36"/>
    <x v="34"/>
    <x v="56"/>
    <x v="77"/>
    <x v="77"/>
  </r>
  <r>
    <x v="165"/>
    <x v="165"/>
    <x v="0"/>
    <x v="3"/>
    <x v="43"/>
    <x v="43"/>
    <x v="10"/>
    <x v="69"/>
    <x v="45"/>
    <x v="77"/>
    <x v="77"/>
  </r>
  <r>
    <x v="166"/>
    <x v="166"/>
    <x v="0"/>
    <x v="4"/>
    <x v="34"/>
    <x v="38"/>
    <x v="66"/>
    <x v="65"/>
    <x v="28"/>
    <x v="70"/>
    <x v="70"/>
  </r>
  <r>
    <x v="167"/>
    <x v="167"/>
    <x v="1"/>
    <x v="2"/>
    <x v="12"/>
    <x v="9"/>
    <x v="51"/>
    <x v="49"/>
    <x v="54"/>
    <x v="115"/>
    <x v="115"/>
  </r>
  <r>
    <x v="168"/>
    <x v="168"/>
    <x v="1"/>
    <x v="3"/>
    <x v="68"/>
    <x v="51"/>
    <x v="18"/>
    <x v="70"/>
    <x v="59"/>
    <x v="116"/>
    <x v="116"/>
  </r>
  <r>
    <x v="169"/>
    <x v="169"/>
    <x v="0"/>
    <x v="1"/>
    <x v="67"/>
    <x v="20"/>
    <x v="66"/>
    <x v="65"/>
    <x v="26"/>
    <x v="103"/>
    <x v="103"/>
  </r>
  <r>
    <x v="170"/>
    <x v="170"/>
    <x v="0"/>
    <x v="5"/>
    <x v="69"/>
    <x v="15"/>
    <x v="61"/>
    <x v="60"/>
    <x v="56"/>
    <x v="117"/>
    <x v="117"/>
  </r>
  <r>
    <x v="171"/>
    <x v="171"/>
    <x v="0"/>
    <x v="4"/>
    <x v="70"/>
    <x v="56"/>
    <x v="71"/>
    <x v="72"/>
    <x v="45"/>
    <x v="118"/>
    <x v="118"/>
  </r>
  <r>
    <x v="172"/>
    <x v="172"/>
    <x v="0"/>
    <x v="4"/>
    <x v="21"/>
    <x v="58"/>
    <x v="25"/>
    <x v="9"/>
    <x v="3"/>
    <x v="119"/>
    <x v="119"/>
  </r>
  <r>
    <x v="173"/>
    <x v="173"/>
    <x v="0"/>
    <x v="3"/>
    <x v="19"/>
    <x v="12"/>
    <x v="72"/>
    <x v="73"/>
    <x v="6"/>
    <x v="102"/>
    <x v="102"/>
  </r>
  <r>
    <x v="174"/>
    <x v="174"/>
    <x v="1"/>
    <x v="1"/>
    <x v="60"/>
    <x v="60"/>
    <x v="55"/>
    <x v="55"/>
    <x v="45"/>
    <x v="120"/>
    <x v="120"/>
  </r>
  <r>
    <x v="175"/>
    <x v="175"/>
    <x v="0"/>
    <x v="0"/>
    <x v="53"/>
    <x v="66"/>
    <x v="2"/>
    <x v="2"/>
    <x v="23"/>
    <x v="121"/>
    <x v="121"/>
  </r>
  <r>
    <x v="176"/>
    <x v="176"/>
    <x v="0"/>
    <x v="5"/>
    <x v="24"/>
    <x v="50"/>
    <x v="0"/>
    <x v="0"/>
    <x v="11"/>
    <x v="122"/>
    <x v="122"/>
  </r>
  <r>
    <x v="177"/>
    <x v="177"/>
    <x v="1"/>
    <x v="2"/>
    <x v="40"/>
    <x v="46"/>
    <x v="48"/>
    <x v="44"/>
    <x v="66"/>
    <x v="77"/>
    <x v="77"/>
  </r>
  <r>
    <x v="178"/>
    <x v="178"/>
    <x v="1"/>
    <x v="3"/>
    <x v="48"/>
    <x v="67"/>
    <x v="51"/>
    <x v="49"/>
    <x v="2"/>
    <x v="74"/>
    <x v="74"/>
  </r>
  <r>
    <x v="179"/>
    <x v="179"/>
    <x v="1"/>
    <x v="5"/>
    <x v="60"/>
    <x v="48"/>
    <x v="71"/>
    <x v="72"/>
    <x v="44"/>
    <x v="121"/>
    <x v="121"/>
  </r>
  <r>
    <x v="180"/>
    <x v="180"/>
    <x v="0"/>
    <x v="2"/>
    <x v="44"/>
    <x v="68"/>
    <x v="73"/>
    <x v="74"/>
    <x v="26"/>
    <x v="123"/>
    <x v="123"/>
  </r>
  <r>
    <x v="181"/>
    <x v="181"/>
    <x v="1"/>
    <x v="2"/>
    <x v="67"/>
    <x v="47"/>
    <x v="40"/>
    <x v="38"/>
    <x v="46"/>
    <x v="70"/>
    <x v="70"/>
  </r>
  <r>
    <x v="182"/>
    <x v="182"/>
    <x v="0"/>
    <x v="0"/>
    <x v="71"/>
    <x v="24"/>
    <x v="2"/>
    <x v="2"/>
    <x v="61"/>
    <x v="124"/>
    <x v="124"/>
  </r>
  <r>
    <x v="183"/>
    <x v="183"/>
    <x v="0"/>
    <x v="0"/>
    <x v="43"/>
    <x v="69"/>
    <x v="62"/>
    <x v="61"/>
    <x v="4"/>
    <x v="125"/>
    <x v="125"/>
  </r>
  <r>
    <x v="184"/>
    <x v="184"/>
    <x v="0"/>
    <x v="3"/>
    <x v="32"/>
    <x v="15"/>
    <x v="34"/>
    <x v="1"/>
    <x v="67"/>
    <x v="46"/>
    <x v="46"/>
  </r>
  <r>
    <x v="185"/>
    <x v="185"/>
    <x v="1"/>
    <x v="5"/>
    <x v="43"/>
    <x v="70"/>
    <x v="9"/>
    <x v="8"/>
    <x v="0"/>
    <x v="104"/>
    <x v="104"/>
  </r>
  <r>
    <x v="186"/>
    <x v="186"/>
    <x v="0"/>
    <x v="5"/>
    <x v="54"/>
    <x v="61"/>
    <x v="16"/>
    <x v="15"/>
    <x v="32"/>
    <x v="50"/>
    <x v="50"/>
  </r>
  <r>
    <x v="187"/>
    <x v="187"/>
    <x v="0"/>
    <x v="3"/>
    <x v="1"/>
    <x v="26"/>
    <x v="31"/>
    <x v="31"/>
    <x v="17"/>
    <x v="79"/>
    <x v="79"/>
  </r>
  <r>
    <x v="188"/>
    <x v="188"/>
    <x v="0"/>
    <x v="2"/>
    <x v="45"/>
    <x v="52"/>
    <x v="65"/>
    <x v="64"/>
    <x v="32"/>
    <x v="126"/>
    <x v="126"/>
  </r>
  <r>
    <x v="189"/>
    <x v="189"/>
    <x v="0"/>
    <x v="5"/>
    <x v="67"/>
    <x v="51"/>
    <x v="9"/>
    <x v="4"/>
    <x v="68"/>
    <x v="127"/>
    <x v="127"/>
  </r>
  <r>
    <x v="190"/>
    <x v="190"/>
    <x v="0"/>
    <x v="3"/>
    <x v="72"/>
    <x v="21"/>
    <x v="3"/>
    <x v="46"/>
    <x v="61"/>
    <x v="63"/>
    <x v="63"/>
  </r>
  <r>
    <x v="191"/>
    <x v="191"/>
    <x v="0"/>
    <x v="1"/>
    <x v="18"/>
    <x v="17"/>
    <x v="34"/>
    <x v="1"/>
    <x v="58"/>
    <x v="104"/>
    <x v="104"/>
  </r>
  <r>
    <x v="192"/>
    <x v="192"/>
    <x v="1"/>
    <x v="5"/>
    <x v="6"/>
    <x v="65"/>
    <x v="15"/>
    <x v="14"/>
    <x v="11"/>
    <x v="89"/>
    <x v="89"/>
  </r>
  <r>
    <x v="193"/>
    <x v="193"/>
    <x v="1"/>
    <x v="2"/>
    <x v="22"/>
    <x v="29"/>
    <x v="9"/>
    <x v="8"/>
    <x v="23"/>
    <x v="79"/>
    <x v="79"/>
  </r>
  <r>
    <x v="194"/>
    <x v="194"/>
    <x v="1"/>
    <x v="0"/>
    <x v="19"/>
    <x v="1"/>
    <x v="41"/>
    <x v="51"/>
    <x v="45"/>
    <x v="31"/>
    <x v="31"/>
  </r>
  <r>
    <x v="195"/>
    <x v="195"/>
    <x v="1"/>
    <x v="3"/>
    <x v="71"/>
    <x v="16"/>
    <x v="10"/>
    <x v="69"/>
    <x v="3"/>
    <x v="26"/>
    <x v="26"/>
  </r>
  <r>
    <x v="196"/>
    <x v="196"/>
    <x v="1"/>
    <x v="4"/>
    <x v="33"/>
    <x v="52"/>
    <x v="57"/>
    <x v="57"/>
    <x v="5"/>
    <x v="128"/>
    <x v="128"/>
  </r>
  <r>
    <x v="197"/>
    <x v="197"/>
    <x v="1"/>
    <x v="2"/>
    <x v="25"/>
    <x v="14"/>
    <x v="61"/>
    <x v="60"/>
    <x v="4"/>
    <x v="89"/>
    <x v="89"/>
  </r>
  <r>
    <x v="198"/>
    <x v="198"/>
    <x v="0"/>
    <x v="0"/>
    <x v="42"/>
    <x v="6"/>
    <x v="18"/>
    <x v="70"/>
    <x v="23"/>
    <x v="129"/>
    <x v="129"/>
  </r>
  <r>
    <x v="199"/>
    <x v="199"/>
    <x v="0"/>
    <x v="2"/>
    <x v="26"/>
    <x v="50"/>
    <x v="66"/>
    <x v="65"/>
    <x v="58"/>
    <x v="130"/>
    <x v="130"/>
  </r>
  <r>
    <x v="200"/>
    <x v="200"/>
    <x v="1"/>
    <x v="5"/>
    <x v="0"/>
    <x v="22"/>
    <x v="1"/>
    <x v="46"/>
    <x v="50"/>
    <x v="131"/>
    <x v="131"/>
  </r>
  <r>
    <x v="201"/>
    <x v="201"/>
    <x v="1"/>
    <x v="0"/>
    <x v="36"/>
    <x v="30"/>
    <x v="24"/>
    <x v="47"/>
    <x v="59"/>
    <x v="132"/>
    <x v="132"/>
  </r>
  <r>
    <x v="202"/>
    <x v="202"/>
    <x v="1"/>
    <x v="3"/>
    <x v="48"/>
    <x v="38"/>
    <x v="2"/>
    <x v="2"/>
    <x v="16"/>
    <x v="6"/>
    <x v="6"/>
  </r>
  <r>
    <x v="203"/>
    <x v="203"/>
    <x v="1"/>
    <x v="4"/>
    <x v="26"/>
    <x v="8"/>
    <x v="12"/>
    <x v="11"/>
    <x v="24"/>
    <x v="40"/>
    <x v="40"/>
  </r>
  <r>
    <x v="204"/>
    <x v="204"/>
    <x v="0"/>
    <x v="1"/>
    <x v="7"/>
    <x v="67"/>
    <x v="53"/>
    <x v="44"/>
    <x v="0"/>
    <x v="48"/>
    <x v="48"/>
  </r>
  <r>
    <x v="205"/>
    <x v="205"/>
    <x v="0"/>
    <x v="1"/>
    <x v="5"/>
    <x v="36"/>
    <x v="74"/>
    <x v="75"/>
    <x v="54"/>
    <x v="133"/>
    <x v="133"/>
  </r>
  <r>
    <x v="206"/>
    <x v="206"/>
    <x v="1"/>
    <x v="3"/>
    <x v="0"/>
    <x v="33"/>
    <x v="75"/>
    <x v="39"/>
    <x v="37"/>
    <x v="88"/>
    <x v="88"/>
  </r>
  <r>
    <x v="207"/>
    <x v="207"/>
    <x v="1"/>
    <x v="3"/>
    <x v="43"/>
    <x v="2"/>
    <x v="68"/>
    <x v="67"/>
    <x v="65"/>
    <x v="134"/>
    <x v="134"/>
  </r>
  <r>
    <x v="208"/>
    <x v="208"/>
    <x v="0"/>
    <x v="4"/>
    <x v="18"/>
    <x v="25"/>
    <x v="59"/>
    <x v="72"/>
    <x v="5"/>
    <x v="135"/>
    <x v="135"/>
  </r>
  <r>
    <x v="209"/>
    <x v="209"/>
    <x v="1"/>
    <x v="5"/>
    <x v="54"/>
    <x v="71"/>
    <x v="46"/>
    <x v="43"/>
    <x v="28"/>
    <x v="136"/>
    <x v="136"/>
  </r>
  <r>
    <x v="210"/>
    <x v="210"/>
    <x v="0"/>
    <x v="2"/>
    <x v="67"/>
    <x v="30"/>
    <x v="38"/>
    <x v="17"/>
    <x v="39"/>
    <x v="20"/>
    <x v="20"/>
  </r>
  <r>
    <x v="211"/>
    <x v="211"/>
    <x v="1"/>
    <x v="5"/>
    <x v="60"/>
    <x v="32"/>
    <x v="12"/>
    <x v="7"/>
    <x v="9"/>
    <x v="19"/>
    <x v="19"/>
  </r>
  <r>
    <x v="212"/>
    <x v="212"/>
    <x v="1"/>
    <x v="4"/>
    <x v="16"/>
    <x v="32"/>
    <x v="66"/>
    <x v="65"/>
    <x v="52"/>
    <x v="137"/>
    <x v="137"/>
  </r>
  <r>
    <x v="213"/>
    <x v="213"/>
    <x v="0"/>
    <x v="1"/>
    <x v="73"/>
    <x v="15"/>
    <x v="10"/>
    <x v="2"/>
    <x v="2"/>
    <x v="138"/>
    <x v="138"/>
  </r>
  <r>
    <x v="214"/>
    <x v="214"/>
    <x v="1"/>
    <x v="4"/>
    <x v="74"/>
    <x v="72"/>
    <x v="36"/>
    <x v="34"/>
    <x v="27"/>
    <x v="137"/>
    <x v="137"/>
  </r>
  <r>
    <x v="215"/>
    <x v="215"/>
    <x v="0"/>
    <x v="1"/>
    <x v="4"/>
    <x v="11"/>
    <x v="3"/>
    <x v="7"/>
    <x v="60"/>
    <x v="102"/>
    <x v="102"/>
  </r>
  <r>
    <x v="216"/>
    <x v="216"/>
    <x v="1"/>
    <x v="4"/>
    <x v="12"/>
    <x v="20"/>
    <x v="56"/>
    <x v="22"/>
    <x v="57"/>
    <x v="139"/>
    <x v="139"/>
  </r>
  <r>
    <x v="217"/>
    <x v="217"/>
    <x v="0"/>
    <x v="5"/>
    <x v="44"/>
    <x v="57"/>
    <x v="55"/>
    <x v="55"/>
    <x v="67"/>
    <x v="80"/>
    <x v="80"/>
  </r>
  <r>
    <x v="218"/>
    <x v="218"/>
    <x v="1"/>
    <x v="3"/>
    <x v="12"/>
    <x v="28"/>
    <x v="38"/>
    <x v="39"/>
    <x v="67"/>
    <x v="69"/>
    <x v="69"/>
  </r>
  <r>
    <x v="219"/>
    <x v="219"/>
    <x v="1"/>
    <x v="5"/>
    <x v="60"/>
    <x v="16"/>
    <x v="10"/>
    <x v="69"/>
    <x v="50"/>
    <x v="46"/>
    <x v="46"/>
  </r>
  <r>
    <x v="220"/>
    <x v="220"/>
    <x v="0"/>
    <x v="0"/>
    <x v="43"/>
    <x v="73"/>
    <x v="65"/>
    <x v="22"/>
    <x v="3"/>
    <x v="119"/>
    <x v="119"/>
  </r>
  <r>
    <x v="221"/>
    <x v="221"/>
    <x v="1"/>
    <x v="1"/>
    <x v="63"/>
    <x v="74"/>
    <x v="25"/>
    <x v="9"/>
    <x v="69"/>
    <x v="67"/>
    <x v="67"/>
  </r>
  <r>
    <x v="222"/>
    <x v="222"/>
    <x v="0"/>
    <x v="5"/>
    <x v="55"/>
    <x v="75"/>
    <x v="20"/>
    <x v="18"/>
    <x v="70"/>
    <x v="140"/>
    <x v="140"/>
  </r>
  <r>
    <x v="223"/>
    <x v="223"/>
    <x v="1"/>
    <x v="3"/>
    <x v="43"/>
    <x v="66"/>
    <x v="48"/>
    <x v="44"/>
    <x v="68"/>
    <x v="46"/>
    <x v="46"/>
  </r>
  <r>
    <x v="224"/>
    <x v="224"/>
    <x v="0"/>
    <x v="0"/>
    <x v="8"/>
    <x v="12"/>
    <x v="57"/>
    <x v="54"/>
    <x v="71"/>
    <x v="141"/>
    <x v="141"/>
  </r>
  <r>
    <x v="225"/>
    <x v="225"/>
    <x v="1"/>
    <x v="3"/>
    <x v="32"/>
    <x v="18"/>
    <x v="43"/>
    <x v="41"/>
    <x v="38"/>
    <x v="142"/>
    <x v="142"/>
  </r>
  <r>
    <x v="226"/>
    <x v="226"/>
    <x v="0"/>
    <x v="2"/>
    <x v="47"/>
    <x v="17"/>
    <x v="65"/>
    <x v="64"/>
    <x v="72"/>
    <x v="135"/>
    <x v="135"/>
  </r>
  <r>
    <x v="227"/>
    <x v="227"/>
    <x v="0"/>
    <x v="3"/>
    <x v="75"/>
    <x v="76"/>
    <x v="2"/>
    <x v="2"/>
    <x v="53"/>
    <x v="50"/>
    <x v="50"/>
  </r>
  <r>
    <x v="228"/>
    <x v="228"/>
    <x v="0"/>
    <x v="3"/>
    <x v="2"/>
    <x v="22"/>
    <x v="34"/>
    <x v="1"/>
    <x v="58"/>
    <x v="143"/>
    <x v="143"/>
  </r>
  <r>
    <x v="229"/>
    <x v="229"/>
    <x v="1"/>
    <x v="4"/>
    <x v="2"/>
    <x v="14"/>
    <x v="15"/>
    <x v="25"/>
    <x v="15"/>
    <x v="125"/>
    <x v="125"/>
  </r>
  <r>
    <x v="230"/>
    <x v="230"/>
    <x v="1"/>
    <x v="3"/>
    <x v="69"/>
    <x v="5"/>
    <x v="62"/>
    <x v="61"/>
    <x v="24"/>
    <x v="144"/>
    <x v="144"/>
  </r>
  <r>
    <x v="231"/>
    <x v="231"/>
    <x v="0"/>
    <x v="4"/>
    <x v="64"/>
    <x v="17"/>
    <x v="9"/>
    <x v="8"/>
    <x v="28"/>
    <x v="145"/>
    <x v="145"/>
  </r>
  <r>
    <x v="232"/>
    <x v="232"/>
    <x v="1"/>
    <x v="0"/>
    <x v="67"/>
    <x v="42"/>
    <x v="9"/>
    <x v="8"/>
    <x v="14"/>
    <x v="124"/>
    <x v="124"/>
  </r>
  <r>
    <x v="233"/>
    <x v="233"/>
    <x v="1"/>
    <x v="3"/>
    <x v="57"/>
    <x v="15"/>
    <x v="55"/>
    <x v="7"/>
    <x v="31"/>
    <x v="146"/>
    <x v="146"/>
  </r>
  <r>
    <x v="234"/>
    <x v="234"/>
    <x v="1"/>
    <x v="0"/>
    <x v="40"/>
    <x v="70"/>
    <x v="6"/>
    <x v="69"/>
    <x v="22"/>
    <x v="43"/>
    <x v="43"/>
  </r>
  <r>
    <x v="235"/>
    <x v="235"/>
    <x v="0"/>
    <x v="5"/>
    <x v="26"/>
    <x v="77"/>
    <x v="3"/>
    <x v="46"/>
    <x v="33"/>
    <x v="137"/>
    <x v="137"/>
  </r>
  <r>
    <x v="236"/>
    <x v="236"/>
    <x v="0"/>
    <x v="3"/>
    <x v="26"/>
    <x v="2"/>
    <x v="2"/>
    <x v="2"/>
    <x v="59"/>
    <x v="30"/>
    <x v="30"/>
  </r>
  <r>
    <x v="237"/>
    <x v="237"/>
    <x v="0"/>
    <x v="5"/>
    <x v="41"/>
    <x v="26"/>
    <x v="18"/>
    <x v="70"/>
    <x v="59"/>
    <x v="14"/>
    <x v="14"/>
  </r>
  <r>
    <x v="238"/>
    <x v="238"/>
    <x v="1"/>
    <x v="2"/>
    <x v="74"/>
    <x v="34"/>
    <x v="76"/>
    <x v="76"/>
    <x v="67"/>
    <x v="50"/>
    <x v="50"/>
  </r>
  <r>
    <x v="239"/>
    <x v="239"/>
    <x v="1"/>
    <x v="3"/>
    <x v="61"/>
    <x v="37"/>
    <x v="14"/>
    <x v="13"/>
    <x v="52"/>
    <x v="77"/>
    <x v="77"/>
  </r>
  <r>
    <x v="240"/>
    <x v="240"/>
    <x v="1"/>
    <x v="4"/>
    <x v="34"/>
    <x v="57"/>
    <x v="8"/>
    <x v="77"/>
    <x v="18"/>
    <x v="147"/>
    <x v="147"/>
  </r>
  <r>
    <x v="241"/>
    <x v="241"/>
    <x v="0"/>
    <x v="2"/>
    <x v="20"/>
    <x v="1"/>
    <x v="70"/>
    <x v="71"/>
    <x v="49"/>
    <x v="148"/>
    <x v="148"/>
  </r>
  <r>
    <x v="242"/>
    <x v="242"/>
    <x v="0"/>
    <x v="0"/>
    <x v="9"/>
    <x v="47"/>
    <x v="24"/>
    <x v="47"/>
    <x v="45"/>
    <x v="67"/>
    <x v="67"/>
  </r>
  <r>
    <x v="243"/>
    <x v="243"/>
    <x v="0"/>
    <x v="2"/>
    <x v="35"/>
    <x v="26"/>
    <x v="18"/>
    <x v="70"/>
    <x v="73"/>
    <x v="114"/>
    <x v="114"/>
  </r>
  <r>
    <x v="244"/>
    <x v="244"/>
    <x v="0"/>
    <x v="2"/>
    <x v="11"/>
    <x v="16"/>
    <x v="39"/>
    <x v="54"/>
    <x v="74"/>
    <x v="43"/>
    <x v="43"/>
  </r>
  <r>
    <x v="245"/>
    <x v="245"/>
    <x v="0"/>
    <x v="4"/>
    <x v="68"/>
    <x v="65"/>
    <x v="71"/>
    <x v="69"/>
    <x v="42"/>
    <x v="23"/>
    <x v="23"/>
  </r>
  <r>
    <x v="246"/>
    <x v="246"/>
    <x v="1"/>
    <x v="3"/>
    <x v="20"/>
    <x v="25"/>
    <x v="13"/>
    <x v="12"/>
    <x v="33"/>
    <x v="64"/>
    <x v="64"/>
  </r>
  <r>
    <x v="247"/>
    <x v="247"/>
    <x v="1"/>
    <x v="2"/>
    <x v="54"/>
    <x v="37"/>
    <x v="57"/>
    <x v="23"/>
    <x v="25"/>
    <x v="134"/>
    <x v="134"/>
  </r>
  <r>
    <x v="248"/>
    <x v="248"/>
    <x v="0"/>
    <x v="1"/>
    <x v="63"/>
    <x v="48"/>
    <x v="0"/>
    <x v="0"/>
    <x v="36"/>
    <x v="47"/>
    <x v="47"/>
  </r>
  <r>
    <x v="249"/>
    <x v="249"/>
    <x v="1"/>
    <x v="5"/>
    <x v="36"/>
    <x v="12"/>
    <x v="15"/>
    <x v="51"/>
    <x v="56"/>
    <x v="19"/>
    <x v="19"/>
  </r>
  <r>
    <x v="250"/>
    <x v="206"/>
    <x v="1"/>
    <x v="2"/>
    <x v="33"/>
    <x v="46"/>
    <x v="16"/>
    <x v="15"/>
    <x v="13"/>
    <x v="37"/>
    <x v="37"/>
  </r>
  <r>
    <x v="251"/>
    <x v="250"/>
    <x v="1"/>
    <x v="1"/>
    <x v="4"/>
    <x v="61"/>
    <x v="76"/>
    <x v="76"/>
    <x v="32"/>
    <x v="43"/>
    <x v="43"/>
  </r>
  <r>
    <x v="252"/>
    <x v="251"/>
    <x v="0"/>
    <x v="3"/>
    <x v="19"/>
    <x v="33"/>
    <x v="41"/>
    <x v="69"/>
    <x v="10"/>
    <x v="149"/>
    <x v="149"/>
  </r>
  <r>
    <x v="253"/>
    <x v="252"/>
    <x v="1"/>
    <x v="2"/>
    <x v="37"/>
    <x v="75"/>
    <x v="3"/>
    <x v="46"/>
    <x v="58"/>
    <x v="65"/>
    <x v="65"/>
  </r>
  <r>
    <x v="254"/>
    <x v="253"/>
    <x v="0"/>
    <x v="5"/>
    <x v="19"/>
    <x v="74"/>
    <x v="26"/>
    <x v="7"/>
    <x v="29"/>
    <x v="150"/>
    <x v="150"/>
  </r>
  <r>
    <x v="255"/>
    <x v="254"/>
    <x v="1"/>
    <x v="2"/>
    <x v="12"/>
    <x v="62"/>
    <x v="21"/>
    <x v="22"/>
    <x v="19"/>
    <x v="48"/>
    <x v="48"/>
  </r>
  <r>
    <x v="256"/>
    <x v="255"/>
    <x v="1"/>
    <x v="5"/>
    <x v="10"/>
    <x v="36"/>
    <x v="77"/>
    <x v="78"/>
    <x v="74"/>
    <x v="151"/>
    <x v="151"/>
  </r>
  <r>
    <x v="257"/>
    <x v="256"/>
    <x v="1"/>
    <x v="2"/>
    <x v="2"/>
    <x v="16"/>
    <x v="73"/>
    <x v="74"/>
    <x v="57"/>
    <x v="45"/>
    <x v="45"/>
  </r>
  <r>
    <x v="258"/>
    <x v="257"/>
    <x v="0"/>
    <x v="4"/>
    <x v="1"/>
    <x v="65"/>
    <x v="27"/>
    <x v="23"/>
    <x v="43"/>
    <x v="128"/>
    <x v="128"/>
  </r>
  <r>
    <x v="259"/>
    <x v="258"/>
    <x v="1"/>
    <x v="5"/>
    <x v="22"/>
    <x v="46"/>
    <x v="10"/>
    <x v="69"/>
    <x v="70"/>
    <x v="152"/>
    <x v="152"/>
  </r>
  <r>
    <x v="260"/>
    <x v="259"/>
    <x v="1"/>
    <x v="4"/>
    <x v="75"/>
    <x v="76"/>
    <x v="19"/>
    <x v="14"/>
    <x v="49"/>
    <x v="153"/>
    <x v="153"/>
  </r>
  <r>
    <x v="261"/>
    <x v="260"/>
    <x v="1"/>
    <x v="4"/>
    <x v="76"/>
    <x v="22"/>
    <x v="33"/>
    <x v="27"/>
    <x v="39"/>
    <x v="26"/>
    <x v="26"/>
  </r>
  <r>
    <x v="262"/>
    <x v="261"/>
    <x v="1"/>
    <x v="2"/>
    <x v="41"/>
    <x v="42"/>
    <x v="53"/>
    <x v="24"/>
    <x v="37"/>
    <x v="25"/>
    <x v="25"/>
  </r>
  <r>
    <x v="263"/>
    <x v="61"/>
    <x v="1"/>
    <x v="0"/>
    <x v="63"/>
    <x v="57"/>
    <x v="56"/>
    <x v="79"/>
    <x v="33"/>
    <x v="149"/>
    <x v="149"/>
  </r>
  <r>
    <x v="264"/>
    <x v="262"/>
    <x v="1"/>
    <x v="0"/>
    <x v="60"/>
    <x v="26"/>
    <x v="73"/>
    <x v="74"/>
    <x v="74"/>
    <x v="90"/>
    <x v="90"/>
  </r>
  <r>
    <x v="265"/>
    <x v="263"/>
    <x v="0"/>
    <x v="1"/>
    <x v="6"/>
    <x v="36"/>
    <x v="53"/>
    <x v="5"/>
    <x v="64"/>
    <x v="25"/>
    <x v="25"/>
  </r>
  <r>
    <x v="266"/>
    <x v="264"/>
    <x v="0"/>
    <x v="5"/>
    <x v="53"/>
    <x v="78"/>
    <x v="12"/>
    <x v="11"/>
    <x v="75"/>
    <x v="154"/>
    <x v="154"/>
  </r>
  <r>
    <x v="267"/>
    <x v="265"/>
    <x v="1"/>
    <x v="4"/>
    <x v="5"/>
    <x v="61"/>
    <x v="33"/>
    <x v="27"/>
    <x v="20"/>
    <x v="138"/>
    <x v="138"/>
  </r>
  <r>
    <x v="268"/>
    <x v="266"/>
    <x v="0"/>
    <x v="1"/>
    <x v="11"/>
    <x v="12"/>
    <x v="16"/>
    <x v="15"/>
    <x v="73"/>
    <x v="155"/>
    <x v="155"/>
  </r>
  <r>
    <x v="269"/>
    <x v="267"/>
    <x v="1"/>
    <x v="1"/>
    <x v="16"/>
    <x v="67"/>
    <x v="41"/>
    <x v="79"/>
    <x v="20"/>
    <x v="156"/>
    <x v="156"/>
  </r>
  <r>
    <x v="270"/>
    <x v="268"/>
    <x v="0"/>
    <x v="3"/>
    <x v="17"/>
    <x v="31"/>
    <x v="53"/>
    <x v="24"/>
    <x v="52"/>
    <x v="37"/>
    <x v="37"/>
  </r>
  <r>
    <x v="271"/>
    <x v="269"/>
    <x v="0"/>
    <x v="4"/>
    <x v="50"/>
    <x v="41"/>
    <x v="48"/>
    <x v="44"/>
    <x v="41"/>
    <x v="157"/>
    <x v="157"/>
  </r>
  <r>
    <x v="272"/>
    <x v="270"/>
    <x v="1"/>
    <x v="3"/>
    <x v="5"/>
    <x v="44"/>
    <x v="26"/>
    <x v="7"/>
    <x v="32"/>
    <x v="26"/>
    <x v="26"/>
  </r>
  <r>
    <x v="273"/>
    <x v="271"/>
    <x v="0"/>
    <x v="0"/>
    <x v="24"/>
    <x v="59"/>
    <x v="65"/>
    <x v="64"/>
    <x v="41"/>
    <x v="56"/>
    <x v="56"/>
  </r>
  <r>
    <x v="274"/>
    <x v="272"/>
    <x v="0"/>
    <x v="1"/>
    <x v="15"/>
    <x v="17"/>
    <x v="66"/>
    <x v="65"/>
    <x v="60"/>
    <x v="80"/>
    <x v="80"/>
  </r>
  <r>
    <x v="275"/>
    <x v="273"/>
    <x v="1"/>
    <x v="3"/>
    <x v="34"/>
    <x v="20"/>
    <x v="5"/>
    <x v="4"/>
    <x v="75"/>
    <x v="134"/>
    <x v="134"/>
  </r>
  <r>
    <x v="276"/>
    <x v="274"/>
    <x v="1"/>
    <x v="0"/>
    <x v="77"/>
    <x v="5"/>
    <x v="78"/>
    <x v="53"/>
    <x v="21"/>
    <x v="148"/>
    <x v="148"/>
  </r>
  <r>
    <x v="277"/>
    <x v="275"/>
    <x v="1"/>
    <x v="2"/>
    <x v="7"/>
    <x v="39"/>
    <x v="14"/>
    <x v="13"/>
    <x v="57"/>
    <x v="26"/>
    <x v="26"/>
  </r>
  <r>
    <x v="278"/>
    <x v="276"/>
    <x v="1"/>
    <x v="2"/>
    <x v="46"/>
    <x v="15"/>
    <x v="15"/>
    <x v="25"/>
    <x v="58"/>
    <x v="137"/>
    <x v="137"/>
  </r>
  <r>
    <x v="279"/>
    <x v="277"/>
    <x v="0"/>
    <x v="2"/>
    <x v="22"/>
    <x v="36"/>
    <x v="68"/>
    <x v="67"/>
    <x v="61"/>
    <x v="114"/>
    <x v="114"/>
  </r>
  <r>
    <x v="280"/>
    <x v="278"/>
    <x v="0"/>
    <x v="4"/>
    <x v="39"/>
    <x v="4"/>
    <x v="38"/>
    <x v="17"/>
    <x v="6"/>
    <x v="104"/>
    <x v="104"/>
  </r>
  <r>
    <x v="281"/>
    <x v="279"/>
    <x v="0"/>
    <x v="2"/>
    <x v="78"/>
    <x v="71"/>
    <x v="79"/>
    <x v="80"/>
    <x v="24"/>
    <x v="88"/>
    <x v="88"/>
  </r>
  <r>
    <x v="282"/>
    <x v="280"/>
    <x v="0"/>
    <x v="4"/>
    <x v="24"/>
    <x v="43"/>
    <x v="59"/>
    <x v="48"/>
    <x v="49"/>
    <x v="158"/>
    <x v="158"/>
  </r>
  <r>
    <x v="283"/>
    <x v="281"/>
    <x v="1"/>
    <x v="4"/>
    <x v="57"/>
    <x v="35"/>
    <x v="6"/>
    <x v="22"/>
    <x v="44"/>
    <x v="25"/>
    <x v="25"/>
  </r>
  <r>
    <x v="284"/>
    <x v="282"/>
    <x v="1"/>
    <x v="4"/>
    <x v="77"/>
    <x v="79"/>
    <x v="43"/>
    <x v="41"/>
    <x v="55"/>
    <x v="79"/>
    <x v="79"/>
  </r>
  <r>
    <x v="285"/>
    <x v="283"/>
    <x v="1"/>
    <x v="2"/>
    <x v="8"/>
    <x v="54"/>
    <x v="76"/>
    <x v="76"/>
    <x v="23"/>
    <x v="128"/>
    <x v="128"/>
  </r>
  <r>
    <x v="286"/>
    <x v="284"/>
    <x v="0"/>
    <x v="3"/>
    <x v="50"/>
    <x v="38"/>
    <x v="6"/>
    <x v="5"/>
    <x v="14"/>
    <x v="39"/>
    <x v="39"/>
  </r>
  <r>
    <x v="287"/>
    <x v="285"/>
    <x v="1"/>
    <x v="4"/>
    <x v="79"/>
    <x v="66"/>
    <x v="70"/>
    <x v="71"/>
    <x v="17"/>
    <x v="104"/>
    <x v="104"/>
  </r>
  <r>
    <x v="288"/>
    <x v="286"/>
    <x v="0"/>
    <x v="5"/>
    <x v="46"/>
    <x v="7"/>
    <x v="72"/>
    <x v="73"/>
    <x v="37"/>
    <x v="67"/>
    <x v="67"/>
  </r>
  <r>
    <x v="289"/>
    <x v="287"/>
    <x v="1"/>
    <x v="1"/>
    <x v="63"/>
    <x v="61"/>
    <x v="80"/>
    <x v="81"/>
    <x v="58"/>
    <x v="1"/>
    <x v="1"/>
  </r>
  <r>
    <x v="290"/>
    <x v="288"/>
    <x v="1"/>
    <x v="1"/>
    <x v="5"/>
    <x v="27"/>
    <x v="73"/>
    <x v="74"/>
    <x v="6"/>
    <x v="53"/>
    <x v="53"/>
  </r>
  <r>
    <x v="291"/>
    <x v="289"/>
    <x v="1"/>
    <x v="5"/>
    <x v="29"/>
    <x v="7"/>
    <x v="39"/>
    <x v="37"/>
    <x v="58"/>
    <x v="50"/>
    <x v="50"/>
  </r>
  <r>
    <x v="292"/>
    <x v="290"/>
    <x v="1"/>
    <x v="0"/>
    <x v="49"/>
    <x v="31"/>
    <x v="49"/>
    <x v="45"/>
    <x v="52"/>
    <x v="159"/>
    <x v="159"/>
  </r>
  <r>
    <x v="293"/>
    <x v="291"/>
    <x v="0"/>
    <x v="1"/>
    <x v="59"/>
    <x v="0"/>
    <x v="77"/>
    <x v="78"/>
    <x v="56"/>
    <x v="160"/>
    <x v="160"/>
  </r>
  <r>
    <x v="294"/>
    <x v="292"/>
    <x v="1"/>
    <x v="1"/>
    <x v="22"/>
    <x v="26"/>
    <x v="18"/>
    <x v="70"/>
    <x v="45"/>
    <x v="161"/>
    <x v="161"/>
  </r>
  <r>
    <x v="295"/>
    <x v="293"/>
    <x v="0"/>
    <x v="0"/>
    <x v="61"/>
    <x v="32"/>
    <x v="69"/>
    <x v="68"/>
    <x v="76"/>
    <x v="162"/>
    <x v="162"/>
  </r>
  <r>
    <x v="296"/>
    <x v="294"/>
    <x v="0"/>
    <x v="2"/>
    <x v="80"/>
    <x v="55"/>
    <x v="71"/>
    <x v="72"/>
    <x v="50"/>
    <x v="163"/>
    <x v="163"/>
  </r>
  <r>
    <x v="297"/>
    <x v="295"/>
    <x v="0"/>
    <x v="1"/>
    <x v="5"/>
    <x v="24"/>
    <x v="26"/>
    <x v="69"/>
    <x v="19"/>
    <x v="164"/>
    <x v="164"/>
  </r>
  <r>
    <x v="298"/>
    <x v="296"/>
    <x v="0"/>
    <x v="1"/>
    <x v="44"/>
    <x v="66"/>
    <x v="81"/>
    <x v="82"/>
    <x v="23"/>
    <x v="17"/>
    <x v="17"/>
  </r>
  <r>
    <x v="299"/>
    <x v="297"/>
    <x v="0"/>
    <x v="3"/>
    <x v="8"/>
    <x v="56"/>
    <x v="76"/>
    <x v="76"/>
    <x v="5"/>
    <x v="134"/>
    <x v="134"/>
  </r>
  <r>
    <x v="300"/>
    <x v="298"/>
    <x v="1"/>
    <x v="0"/>
    <x v="36"/>
    <x v="17"/>
    <x v="76"/>
    <x v="76"/>
    <x v="37"/>
    <x v="86"/>
    <x v="86"/>
  </r>
  <r>
    <x v="301"/>
    <x v="299"/>
    <x v="1"/>
    <x v="2"/>
    <x v="12"/>
    <x v="8"/>
    <x v="70"/>
    <x v="71"/>
    <x v="67"/>
    <x v="165"/>
    <x v="165"/>
  </r>
  <r>
    <x v="302"/>
    <x v="300"/>
    <x v="1"/>
    <x v="3"/>
    <x v="43"/>
    <x v="2"/>
    <x v="56"/>
    <x v="22"/>
    <x v="74"/>
    <x v="85"/>
    <x v="85"/>
  </r>
  <r>
    <x v="303"/>
    <x v="301"/>
    <x v="0"/>
    <x v="3"/>
    <x v="29"/>
    <x v="38"/>
    <x v="28"/>
    <x v="26"/>
    <x v="50"/>
    <x v="128"/>
    <x v="128"/>
  </r>
  <r>
    <x v="304"/>
    <x v="302"/>
    <x v="0"/>
    <x v="0"/>
    <x v="5"/>
    <x v="21"/>
    <x v="51"/>
    <x v="49"/>
    <x v="48"/>
    <x v="75"/>
    <x v="75"/>
  </r>
  <r>
    <x v="305"/>
    <x v="303"/>
    <x v="0"/>
    <x v="2"/>
    <x v="54"/>
    <x v="38"/>
    <x v="65"/>
    <x v="64"/>
    <x v="23"/>
    <x v="166"/>
    <x v="166"/>
  </r>
  <r>
    <x v="306"/>
    <x v="304"/>
    <x v="1"/>
    <x v="5"/>
    <x v="25"/>
    <x v="14"/>
    <x v="41"/>
    <x v="59"/>
    <x v="0"/>
    <x v="167"/>
    <x v="167"/>
  </r>
  <r>
    <x v="307"/>
    <x v="305"/>
    <x v="0"/>
    <x v="4"/>
    <x v="46"/>
    <x v="20"/>
    <x v="75"/>
    <x v="39"/>
    <x v="6"/>
    <x v="66"/>
    <x v="66"/>
  </r>
  <r>
    <x v="308"/>
    <x v="306"/>
    <x v="1"/>
    <x v="4"/>
    <x v="14"/>
    <x v="30"/>
    <x v="11"/>
    <x v="40"/>
    <x v="15"/>
    <x v="82"/>
    <x v="82"/>
  </r>
  <r>
    <x v="309"/>
    <x v="307"/>
    <x v="1"/>
    <x v="2"/>
    <x v="8"/>
    <x v="1"/>
    <x v="40"/>
    <x v="38"/>
    <x v="28"/>
    <x v="18"/>
    <x v="18"/>
  </r>
  <r>
    <x v="310"/>
    <x v="308"/>
    <x v="1"/>
    <x v="0"/>
    <x v="26"/>
    <x v="59"/>
    <x v="71"/>
    <x v="72"/>
    <x v="38"/>
    <x v="129"/>
    <x v="129"/>
  </r>
  <r>
    <x v="311"/>
    <x v="309"/>
    <x v="1"/>
    <x v="1"/>
    <x v="0"/>
    <x v="39"/>
    <x v="9"/>
    <x v="8"/>
    <x v="77"/>
    <x v="168"/>
    <x v="168"/>
  </r>
  <r>
    <x v="312"/>
    <x v="310"/>
    <x v="0"/>
    <x v="4"/>
    <x v="29"/>
    <x v="42"/>
    <x v="2"/>
    <x v="2"/>
    <x v="10"/>
    <x v="89"/>
    <x v="89"/>
  </r>
  <r>
    <x v="313"/>
    <x v="311"/>
    <x v="0"/>
    <x v="1"/>
    <x v="24"/>
    <x v="46"/>
    <x v="72"/>
    <x v="73"/>
    <x v="60"/>
    <x v="67"/>
    <x v="67"/>
  </r>
  <r>
    <x v="314"/>
    <x v="312"/>
    <x v="1"/>
    <x v="2"/>
    <x v="32"/>
    <x v="56"/>
    <x v="73"/>
    <x v="74"/>
    <x v="27"/>
    <x v="169"/>
    <x v="169"/>
  </r>
  <r>
    <x v="315"/>
    <x v="313"/>
    <x v="1"/>
    <x v="5"/>
    <x v="2"/>
    <x v="14"/>
    <x v="48"/>
    <x v="64"/>
    <x v="32"/>
    <x v="170"/>
    <x v="170"/>
  </r>
  <r>
    <x v="316"/>
    <x v="314"/>
    <x v="1"/>
    <x v="3"/>
    <x v="73"/>
    <x v="80"/>
    <x v="38"/>
    <x v="17"/>
    <x v="19"/>
    <x v="74"/>
    <x v="74"/>
  </r>
  <r>
    <x v="317"/>
    <x v="315"/>
    <x v="1"/>
    <x v="3"/>
    <x v="81"/>
    <x v="9"/>
    <x v="48"/>
    <x v="44"/>
    <x v="43"/>
    <x v="6"/>
    <x v="6"/>
  </r>
  <r>
    <x v="318"/>
    <x v="316"/>
    <x v="1"/>
    <x v="0"/>
    <x v="63"/>
    <x v="39"/>
    <x v="13"/>
    <x v="12"/>
    <x v="15"/>
    <x v="67"/>
    <x v="67"/>
  </r>
  <r>
    <x v="319"/>
    <x v="317"/>
    <x v="0"/>
    <x v="0"/>
    <x v="52"/>
    <x v="81"/>
    <x v="45"/>
    <x v="24"/>
    <x v="78"/>
    <x v="61"/>
    <x v="61"/>
  </r>
  <r>
    <x v="320"/>
    <x v="318"/>
    <x v="0"/>
    <x v="2"/>
    <x v="20"/>
    <x v="35"/>
    <x v="14"/>
    <x v="13"/>
    <x v="32"/>
    <x v="171"/>
    <x v="171"/>
  </r>
  <r>
    <x v="321"/>
    <x v="319"/>
    <x v="0"/>
    <x v="0"/>
    <x v="46"/>
    <x v="6"/>
    <x v="36"/>
    <x v="46"/>
    <x v="56"/>
    <x v="74"/>
    <x v="74"/>
  </r>
  <r>
    <x v="322"/>
    <x v="320"/>
    <x v="0"/>
    <x v="5"/>
    <x v="43"/>
    <x v="51"/>
    <x v="9"/>
    <x v="64"/>
    <x v="18"/>
    <x v="140"/>
    <x v="140"/>
  </r>
  <r>
    <x v="323"/>
    <x v="321"/>
    <x v="1"/>
    <x v="0"/>
    <x v="34"/>
    <x v="8"/>
    <x v="16"/>
    <x v="15"/>
    <x v="23"/>
    <x v="172"/>
    <x v="172"/>
  </r>
  <r>
    <x v="324"/>
    <x v="322"/>
    <x v="1"/>
    <x v="0"/>
    <x v="26"/>
    <x v="50"/>
    <x v="76"/>
    <x v="76"/>
    <x v="54"/>
    <x v="58"/>
    <x v="58"/>
  </r>
  <r>
    <x v="325"/>
    <x v="323"/>
    <x v="1"/>
    <x v="1"/>
    <x v="2"/>
    <x v="23"/>
    <x v="7"/>
    <x v="6"/>
    <x v="64"/>
    <x v="41"/>
    <x v="41"/>
  </r>
  <r>
    <x v="326"/>
    <x v="324"/>
    <x v="0"/>
    <x v="1"/>
    <x v="25"/>
    <x v="28"/>
    <x v="25"/>
    <x v="9"/>
    <x v="4"/>
    <x v="61"/>
    <x v="61"/>
  </r>
  <r>
    <x v="327"/>
    <x v="325"/>
    <x v="0"/>
    <x v="4"/>
    <x v="46"/>
    <x v="4"/>
    <x v="19"/>
    <x v="14"/>
    <x v="47"/>
    <x v="89"/>
    <x v="89"/>
  </r>
  <r>
    <x v="328"/>
    <x v="326"/>
    <x v="1"/>
    <x v="1"/>
    <x v="58"/>
    <x v="44"/>
    <x v="2"/>
    <x v="2"/>
    <x v="23"/>
    <x v="134"/>
    <x v="134"/>
  </r>
  <r>
    <x v="329"/>
    <x v="327"/>
    <x v="1"/>
    <x v="3"/>
    <x v="60"/>
    <x v="22"/>
    <x v="28"/>
    <x v="26"/>
    <x v="66"/>
    <x v="55"/>
    <x v="55"/>
  </r>
  <r>
    <x v="330"/>
    <x v="328"/>
    <x v="1"/>
    <x v="4"/>
    <x v="2"/>
    <x v="82"/>
    <x v="4"/>
    <x v="3"/>
    <x v="78"/>
    <x v="162"/>
    <x v="162"/>
  </r>
  <r>
    <x v="331"/>
    <x v="329"/>
    <x v="1"/>
    <x v="3"/>
    <x v="56"/>
    <x v="67"/>
    <x v="40"/>
    <x v="38"/>
    <x v="31"/>
    <x v="173"/>
    <x v="173"/>
  </r>
  <r>
    <x v="332"/>
    <x v="330"/>
    <x v="0"/>
    <x v="0"/>
    <x v="20"/>
    <x v="70"/>
    <x v="52"/>
    <x v="44"/>
    <x v="68"/>
    <x v="141"/>
    <x v="141"/>
  </r>
  <r>
    <x v="333"/>
    <x v="331"/>
    <x v="0"/>
    <x v="0"/>
    <x v="6"/>
    <x v="65"/>
    <x v="39"/>
    <x v="37"/>
    <x v="60"/>
    <x v="50"/>
    <x v="50"/>
  </r>
  <r>
    <x v="334"/>
    <x v="332"/>
    <x v="0"/>
    <x v="2"/>
    <x v="67"/>
    <x v="71"/>
    <x v="43"/>
    <x v="41"/>
    <x v="15"/>
    <x v="137"/>
    <x v="137"/>
  </r>
  <r>
    <x v="335"/>
    <x v="333"/>
    <x v="1"/>
    <x v="4"/>
    <x v="22"/>
    <x v="67"/>
    <x v="37"/>
    <x v="36"/>
    <x v="58"/>
    <x v="14"/>
    <x v="14"/>
  </r>
  <r>
    <x v="336"/>
    <x v="334"/>
    <x v="1"/>
    <x v="0"/>
    <x v="80"/>
    <x v="25"/>
    <x v="12"/>
    <x v="11"/>
    <x v="0"/>
    <x v="39"/>
    <x v="39"/>
  </r>
  <r>
    <x v="337"/>
    <x v="335"/>
    <x v="1"/>
    <x v="2"/>
    <x v="27"/>
    <x v="67"/>
    <x v="16"/>
    <x v="15"/>
    <x v="6"/>
    <x v="138"/>
    <x v="138"/>
  </r>
  <r>
    <x v="338"/>
    <x v="336"/>
    <x v="0"/>
    <x v="5"/>
    <x v="82"/>
    <x v="62"/>
    <x v="82"/>
    <x v="35"/>
    <x v="52"/>
    <x v="39"/>
    <x v="39"/>
  </r>
  <r>
    <x v="339"/>
    <x v="337"/>
    <x v="1"/>
    <x v="4"/>
    <x v="25"/>
    <x v="15"/>
    <x v="43"/>
    <x v="41"/>
    <x v="9"/>
    <x v="19"/>
    <x v="19"/>
  </r>
  <r>
    <x v="340"/>
    <x v="338"/>
    <x v="1"/>
    <x v="5"/>
    <x v="22"/>
    <x v="77"/>
    <x v="63"/>
    <x v="62"/>
    <x v="60"/>
    <x v="174"/>
    <x v="174"/>
  </r>
  <r>
    <x v="341"/>
    <x v="339"/>
    <x v="0"/>
    <x v="3"/>
    <x v="83"/>
    <x v="1"/>
    <x v="46"/>
    <x v="43"/>
    <x v="21"/>
    <x v="74"/>
    <x v="74"/>
  </r>
  <r>
    <x v="342"/>
    <x v="340"/>
    <x v="0"/>
    <x v="3"/>
    <x v="54"/>
    <x v="48"/>
    <x v="4"/>
    <x v="3"/>
    <x v="21"/>
    <x v="86"/>
    <x v="86"/>
  </r>
  <r>
    <x v="343"/>
    <x v="341"/>
    <x v="1"/>
    <x v="4"/>
    <x v="50"/>
    <x v="6"/>
    <x v="73"/>
    <x v="46"/>
    <x v="37"/>
    <x v="69"/>
    <x v="69"/>
  </r>
  <r>
    <x v="344"/>
    <x v="342"/>
    <x v="0"/>
    <x v="5"/>
    <x v="84"/>
    <x v="79"/>
    <x v="34"/>
    <x v="1"/>
    <x v="38"/>
    <x v="175"/>
    <x v="175"/>
  </r>
  <r>
    <x v="345"/>
    <x v="343"/>
    <x v="1"/>
    <x v="1"/>
    <x v="22"/>
    <x v="37"/>
    <x v="61"/>
    <x v="60"/>
    <x v="41"/>
    <x v="44"/>
    <x v="44"/>
  </r>
  <r>
    <x v="346"/>
    <x v="344"/>
    <x v="0"/>
    <x v="2"/>
    <x v="59"/>
    <x v="52"/>
    <x v="34"/>
    <x v="1"/>
    <x v="79"/>
    <x v="169"/>
    <x v="169"/>
  </r>
  <r>
    <x v="347"/>
    <x v="345"/>
    <x v="0"/>
    <x v="0"/>
    <x v="35"/>
    <x v="35"/>
    <x v="8"/>
    <x v="77"/>
    <x v="27"/>
    <x v="131"/>
    <x v="131"/>
  </r>
  <r>
    <x v="348"/>
    <x v="346"/>
    <x v="0"/>
    <x v="1"/>
    <x v="2"/>
    <x v="83"/>
    <x v="48"/>
    <x v="44"/>
    <x v="28"/>
    <x v="70"/>
    <x v="70"/>
  </r>
  <r>
    <x v="349"/>
    <x v="347"/>
    <x v="0"/>
    <x v="3"/>
    <x v="85"/>
    <x v="8"/>
    <x v="13"/>
    <x v="12"/>
    <x v="69"/>
    <x v="86"/>
    <x v="86"/>
  </r>
  <r>
    <x v="350"/>
    <x v="348"/>
    <x v="0"/>
    <x v="0"/>
    <x v="31"/>
    <x v="46"/>
    <x v="0"/>
    <x v="0"/>
    <x v="24"/>
    <x v="71"/>
    <x v="71"/>
  </r>
  <r>
    <x v="351"/>
    <x v="349"/>
    <x v="1"/>
    <x v="3"/>
    <x v="63"/>
    <x v="24"/>
    <x v="34"/>
    <x v="1"/>
    <x v="9"/>
    <x v="9"/>
    <x v="9"/>
  </r>
  <r>
    <x v="352"/>
    <x v="350"/>
    <x v="1"/>
    <x v="5"/>
    <x v="76"/>
    <x v="34"/>
    <x v="43"/>
    <x v="70"/>
    <x v="32"/>
    <x v="176"/>
    <x v="176"/>
  </r>
  <r>
    <x v="353"/>
    <x v="351"/>
    <x v="1"/>
    <x v="5"/>
    <x v="53"/>
    <x v="26"/>
    <x v="22"/>
    <x v="20"/>
    <x v="41"/>
    <x v="56"/>
    <x v="56"/>
  </r>
  <r>
    <x v="354"/>
    <x v="352"/>
    <x v="1"/>
    <x v="3"/>
    <x v="34"/>
    <x v="32"/>
    <x v="47"/>
    <x v="10"/>
    <x v="2"/>
    <x v="25"/>
    <x v="25"/>
  </r>
  <r>
    <x v="355"/>
    <x v="353"/>
    <x v="1"/>
    <x v="2"/>
    <x v="2"/>
    <x v="16"/>
    <x v="16"/>
    <x v="15"/>
    <x v="10"/>
    <x v="9"/>
    <x v="9"/>
  </r>
  <r>
    <x v="356"/>
    <x v="354"/>
    <x v="1"/>
    <x v="0"/>
    <x v="63"/>
    <x v="14"/>
    <x v="78"/>
    <x v="53"/>
    <x v="21"/>
    <x v="93"/>
    <x v="93"/>
  </r>
  <r>
    <x v="357"/>
    <x v="355"/>
    <x v="0"/>
    <x v="1"/>
    <x v="34"/>
    <x v="41"/>
    <x v="49"/>
    <x v="45"/>
    <x v="55"/>
    <x v="177"/>
    <x v="177"/>
  </r>
  <r>
    <x v="358"/>
    <x v="356"/>
    <x v="0"/>
    <x v="2"/>
    <x v="25"/>
    <x v="84"/>
    <x v="1"/>
    <x v="52"/>
    <x v="52"/>
    <x v="136"/>
    <x v="136"/>
  </r>
  <r>
    <x v="359"/>
    <x v="357"/>
    <x v="1"/>
    <x v="3"/>
    <x v="50"/>
    <x v="68"/>
    <x v="75"/>
    <x v="58"/>
    <x v="36"/>
    <x v="95"/>
    <x v="95"/>
  </r>
  <r>
    <x v="360"/>
    <x v="358"/>
    <x v="1"/>
    <x v="4"/>
    <x v="5"/>
    <x v="27"/>
    <x v="75"/>
    <x v="41"/>
    <x v="61"/>
    <x v="178"/>
    <x v="178"/>
  </r>
  <r>
    <x v="361"/>
    <x v="359"/>
    <x v="1"/>
    <x v="0"/>
    <x v="30"/>
    <x v="11"/>
    <x v="15"/>
    <x v="25"/>
    <x v="42"/>
    <x v="87"/>
    <x v="87"/>
  </r>
  <r>
    <x v="362"/>
    <x v="360"/>
    <x v="1"/>
    <x v="0"/>
    <x v="19"/>
    <x v="34"/>
    <x v="5"/>
    <x v="4"/>
    <x v="55"/>
    <x v="35"/>
    <x v="35"/>
  </r>
  <r>
    <x v="363"/>
    <x v="361"/>
    <x v="0"/>
    <x v="5"/>
    <x v="60"/>
    <x v="16"/>
    <x v="48"/>
    <x v="44"/>
    <x v="21"/>
    <x v="79"/>
    <x v="79"/>
  </r>
  <r>
    <x v="364"/>
    <x v="362"/>
    <x v="0"/>
    <x v="2"/>
    <x v="5"/>
    <x v="2"/>
    <x v="64"/>
    <x v="63"/>
    <x v="33"/>
    <x v="113"/>
    <x v="113"/>
  </r>
  <r>
    <x v="365"/>
    <x v="363"/>
    <x v="1"/>
    <x v="1"/>
    <x v="32"/>
    <x v="56"/>
    <x v="9"/>
    <x v="8"/>
    <x v="80"/>
    <x v="68"/>
    <x v="68"/>
  </r>
  <r>
    <x v="366"/>
    <x v="364"/>
    <x v="1"/>
    <x v="3"/>
    <x v="53"/>
    <x v="5"/>
    <x v="47"/>
    <x v="10"/>
    <x v="21"/>
    <x v="177"/>
    <x v="177"/>
  </r>
  <r>
    <x v="367"/>
    <x v="365"/>
    <x v="1"/>
    <x v="3"/>
    <x v="50"/>
    <x v="5"/>
    <x v="79"/>
    <x v="80"/>
    <x v="18"/>
    <x v="179"/>
    <x v="179"/>
  </r>
  <r>
    <x v="368"/>
    <x v="366"/>
    <x v="0"/>
    <x v="3"/>
    <x v="60"/>
    <x v="14"/>
    <x v="83"/>
    <x v="83"/>
    <x v="50"/>
    <x v="180"/>
    <x v="180"/>
  </r>
  <r>
    <x v="369"/>
    <x v="367"/>
    <x v="1"/>
    <x v="4"/>
    <x v="31"/>
    <x v="28"/>
    <x v="15"/>
    <x v="7"/>
    <x v="72"/>
    <x v="139"/>
    <x v="139"/>
  </r>
  <r>
    <x v="370"/>
    <x v="368"/>
    <x v="0"/>
    <x v="2"/>
    <x v="14"/>
    <x v="50"/>
    <x v="73"/>
    <x v="74"/>
    <x v="41"/>
    <x v="181"/>
    <x v="181"/>
  </r>
  <r>
    <x v="371"/>
    <x v="369"/>
    <x v="1"/>
    <x v="5"/>
    <x v="20"/>
    <x v="44"/>
    <x v="5"/>
    <x v="4"/>
    <x v="26"/>
    <x v="182"/>
    <x v="182"/>
  </r>
  <r>
    <x v="372"/>
    <x v="370"/>
    <x v="1"/>
    <x v="5"/>
    <x v="80"/>
    <x v="17"/>
    <x v="4"/>
    <x v="3"/>
    <x v="60"/>
    <x v="58"/>
    <x v="58"/>
  </r>
  <r>
    <x v="373"/>
    <x v="371"/>
    <x v="0"/>
    <x v="0"/>
    <x v="29"/>
    <x v="71"/>
    <x v="68"/>
    <x v="67"/>
    <x v="9"/>
    <x v="21"/>
    <x v="21"/>
  </r>
  <r>
    <x v="374"/>
    <x v="372"/>
    <x v="0"/>
    <x v="5"/>
    <x v="41"/>
    <x v="22"/>
    <x v="2"/>
    <x v="0"/>
    <x v="40"/>
    <x v="75"/>
    <x v="75"/>
  </r>
  <r>
    <x v="375"/>
    <x v="373"/>
    <x v="1"/>
    <x v="3"/>
    <x v="78"/>
    <x v="83"/>
    <x v="54"/>
    <x v="77"/>
    <x v="77"/>
    <x v="183"/>
    <x v="183"/>
  </r>
  <r>
    <x v="376"/>
    <x v="374"/>
    <x v="0"/>
    <x v="4"/>
    <x v="40"/>
    <x v="18"/>
    <x v="21"/>
    <x v="4"/>
    <x v="44"/>
    <x v="127"/>
    <x v="127"/>
  </r>
  <r>
    <x v="377"/>
    <x v="375"/>
    <x v="1"/>
    <x v="0"/>
    <x v="48"/>
    <x v="46"/>
    <x v="11"/>
    <x v="84"/>
    <x v="13"/>
    <x v="88"/>
    <x v="88"/>
  </r>
  <r>
    <x v="378"/>
    <x v="376"/>
    <x v="1"/>
    <x v="2"/>
    <x v="35"/>
    <x v="20"/>
    <x v="48"/>
    <x v="44"/>
    <x v="56"/>
    <x v="66"/>
    <x v="66"/>
  </r>
  <r>
    <x v="379"/>
    <x v="377"/>
    <x v="0"/>
    <x v="3"/>
    <x v="74"/>
    <x v="14"/>
    <x v="37"/>
    <x v="36"/>
    <x v="1"/>
    <x v="85"/>
    <x v="85"/>
  </r>
  <r>
    <x v="380"/>
    <x v="378"/>
    <x v="1"/>
    <x v="4"/>
    <x v="66"/>
    <x v="47"/>
    <x v="59"/>
    <x v="72"/>
    <x v="25"/>
    <x v="184"/>
    <x v="184"/>
  </r>
  <r>
    <x v="381"/>
    <x v="379"/>
    <x v="1"/>
    <x v="0"/>
    <x v="55"/>
    <x v="56"/>
    <x v="68"/>
    <x v="67"/>
    <x v="34"/>
    <x v="184"/>
    <x v="184"/>
  </r>
  <r>
    <x v="382"/>
    <x v="380"/>
    <x v="0"/>
    <x v="5"/>
    <x v="43"/>
    <x v="20"/>
    <x v="62"/>
    <x v="61"/>
    <x v="49"/>
    <x v="74"/>
    <x v="74"/>
  </r>
  <r>
    <x v="383"/>
    <x v="381"/>
    <x v="1"/>
    <x v="3"/>
    <x v="28"/>
    <x v="63"/>
    <x v="42"/>
    <x v="40"/>
    <x v="24"/>
    <x v="156"/>
    <x v="156"/>
  </r>
  <r>
    <x v="384"/>
    <x v="382"/>
    <x v="0"/>
    <x v="1"/>
    <x v="2"/>
    <x v="54"/>
    <x v="47"/>
    <x v="10"/>
    <x v="9"/>
    <x v="112"/>
    <x v="112"/>
  </r>
  <r>
    <x v="385"/>
    <x v="383"/>
    <x v="0"/>
    <x v="4"/>
    <x v="16"/>
    <x v="6"/>
    <x v="18"/>
    <x v="70"/>
    <x v="22"/>
    <x v="162"/>
    <x v="162"/>
  </r>
  <r>
    <x v="386"/>
    <x v="384"/>
    <x v="0"/>
    <x v="3"/>
    <x v="53"/>
    <x v="70"/>
    <x v="68"/>
    <x v="67"/>
    <x v="71"/>
    <x v="185"/>
    <x v="185"/>
  </r>
  <r>
    <x v="387"/>
    <x v="385"/>
    <x v="1"/>
    <x v="2"/>
    <x v="42"/>
    <x v="46"/>
    <x v="72"/>
    <x v="73"/>
    <x v="2"/>
    <x v="93"/>
    <x v="93"/>
  </r>
  <r>
    <x v="388"/>
    <x v="386"/>
    <x v="0"/>
    <x v="1"/>
    <x v="7"/>
    <x v="66"/>
    <x v="74"/>
    <x v="75"/>
    <x v="72"/>
    <x v="186"/>
    <x v="186"/>
  </r>
  <r>
    <x v="389"/>
    <x v="387"/>
    <x v="0"/>
    <x v="0"/>
    <x v="29"/>
    <x v="2"/>
    <x v="7"/>
    <x v="6"/>
    <x v="32"/>
    <x v="105"/>
    <x v="105"/>
  </r>
  <r>
    <x v="390"/>
    <x v="388"/>
    <x v="0"/>
    <x v="0"/>
    <x v="54"/>
    <x v="85"/>
    <x v="14"/>
    <x v="13"/>
    <x v="55"/>
    <x v="161"/>
    <x v="161"/>
  </r>
  <r>
    <x v="391"/>
    <x v="389"/>
    <x v="1"/>
    <x v="0"/>
    <x v="73"/>
    <x v="26"/>
    <x v="5"/>
    <x v="4"/>
    <x v="5"/>
    <x v="173"/>
    <x v="173"/>
  </r>
  <r>
    <x v="392"/>
    <x v="390"/>
    <x v="0"/>
    <x v="3"/>
    <x v="44"/>
    <x v="46"/>
    <x v="43"/>
    <x v="41"/>
    <x v="68"/>
    <x v="73"/>
    <x v="73"/>
  </r>
  <r>
    <x v="393"/>
    <x v="391"/>
    <x v="0"/>
    <x v="4"/>
    <x v="31"/>
    <x v="8"/>
    <x v="36"/>
    <x v="34"/>
    <x v="0"/>
    <x v="168"/>
    <x v="168"/>
  </r>
  <r>
    <x v="394"/>
    <x v="392"/>
    <x v="1"/>
    <x v="4"/>
    <x v="3"/>
    <x v="50"/>
    <x v="53"/>
    <x v="64"/>
    <x v="40"/>
    <x v="180"/>
    <x v="180"/>
  </r>
  <r>
    <x v="395"/>
    <x v="393"/>
    <x v="1"/>
    <x v="4"/>
    <x v="40"/>
    <x v="77"/>
    <x v="18"/>
    <x v="70"/>
    <x v="57"/>
    <x v="187"/>
    <x v="187"/>
  </r>
  <r>
    <x v="396"/>
    <x v="394"/>
    <x v="0"/>
    <x v="1"/>
    <x v="10"/>
    <x v="27"/>
    <x v="78"/>
    <x v="53"/>
    <x v="26"/>
    <x v="86"/>
    <x v="86"/>
  </r>
  <r>
    <x v="397"/>
    <x v="395"/>
    <x v="1"/>
    <x v="3"/>
    <x v="86"/>
    <x v="51"/>
    <x v="0"/>
    <x v="0"/>
    <x v="14"/>
    <x v="112"/>
    <x v="112"/>
  </r>
  <r>
    <x v="398"/>
    <x v="396"/>
    <x v="1"/>
    <x v="4"/>
    <x v="84"/>
    <x v="31"/>
    <x v="0"/>
    <x v="0"/>
    <x v="2"/>
    <x v="74"/>
    <x v="74"/>
  </r>
  <r>
    <x v="399"/>
    <x v="397"/>
    <x v="1"/>
    <x v="4"/>
    <x v="21"/>
    <x v="86"/>
    <x v="77"/>
    <x v="18"/>
    <x v="74"/>
    <x v="188"/>
    <x v="188"/>
  </r>
  <r>
    <x v="400"/>
    <x v="398"/>
    <x v="0"/>
    <x v="1"/>
    <x v="60"/>
    <x v="62"/>
    <x v="9"/>
    <x v="8"/>
    <x v="38"/>
    <x v="18"/>
    <x v="18"/>
  </r>
  <r>
    <x v="401"/>
    <x v="399"/>
    <x v="0"/>
    <x v="2"/>
    <x v="1"/>
    <x v="44"/>
    <x v="15"/>
    <x v="25"/>
    <x v="9"/>
    <x v="10"/>
    <x v="10"/>
  </r>
  <r>
    <x v="402"/>
    <x v="400"/>
    <x v="0"/>
    <x v="1"/>
    <x v="19"/>
    <x v="44"/>
    <x v="73"/>
    <x v="74"/>
    <x v="18"/>
    <x v="189"/>
    <x v="189"/>
  </r>
  <r>
    <x v="403"/>
    <x v="401"/>
    <x v="0"/>
    <x v="3"/>
    <x v="20"/>
    <x v="20"/>
    <x v="15"/>
    <x v="25"/>
    <x v="0"/>
    <x v="90"/>
    <x v="90"/>
  </r>
  <r>
    <x v="404"/>
    <x v="402"/>
    <x v="1"/>
    <x v="3"/>
    <x v="34"/>
    <x v="72"/>
    <x v="54"/>
    <x v="51"/>
    <x v="28"/>
    <x v="136"/>
    <x v="136"/>
  </r>
  <r>
    <x v="405"/>
    <x v="403"/>
    <x v="0"/>
    <x v="2"/>
    <x v="71"/>
    <x v="55"/>
    <x v="54"/>
    <x v="51"/>
    <x v="34"/>
    <x v="58"/>
    <x v="58"/>
  </r>
  <r>
    <x v="406"/>
    <x v="404"/>
    <x v="1"/>
    <x v="0"/>
    <x v="36"/>
    <x v="24"/>
    <x v="75"/>
    <x v="46"/>
    <x v="15"/>
    <x v="165"/>
    <x v="165"/>
  </r>
  <r>
    <x v="407"/>
    <x v="405"/>
    <x v="0"/>
    <x v="5"/>
    <x v="48"/>
    <x v="52"/>
    <x v="61"/>
    <x v="60"/>
    <x v="41"/>
    <x v="190"/>
    <x v="190"/>
  </r>
  <r>
    <x v="408"/>
    <x v="406"/>
    <x v="1"/>
    <x v="3"/>
    <x v="59"/>
    <x v="59"/>
    <x v="13"/>
    <x v="12"/>
    <x v="20"/>
    <x v="55"/>
    <x v="55"/>
  </r>
  <r>
    <x v="409"/>
    <x v="407"/>
    <x v="1"/>
    <x v="5"/>
    <x v="8"/>
    <x v="6"/>
    <x v="12"/>
    <x v="11"/>
    <x v="57"/>
    <x v="35"/>
    <x v="35"/>
  </r>
  <r>
    <x v="410"/>
    <x v="408"/>
    <x v="0"/>
    <x v="4"/>
    <x v="16"/>
    <x v="44"/>
    <x v="76"/>
    <x v="76"/>
    <x v="26"/>
    <x v="141"/>
    <x v="141"/>
  </r>
  <r>
    <x v="411"/>
    <x v="409"/>
    <x v="1"/>
    <x v="4"/>
    <x v="5"/>
    <x v="13"/>
    <x v="75"/>
    <x v="25"/>
    <x v="12"/>
    <x v="53"/>
    <x v="53"/>
  </r>
  <r>
    <x v="412"/>
    <x v="410"/>
    <x v="0"/>
    <x v="4"/>
    <x v="3"/>
    <x v="4"/>
    <x v="9"/>
    <x v="8"/>
    <x v="54"/>
    <x v="115"/>
    <x v="115"/>
  </r>
  <r>
    <x v="413"/>
    <x v="411"/>
    <x v="1"/>
    <x v="4"/>
    <x v="5"/>
    <x v="26"/>
    <x v="76"/>
    <x v="76"/>
    <x v="33"/>
    <x v="181"/>
    <x v="181"/>
  </r>
  <r>
    <x v="414"/>
    <x v="412"/>
    <x v="0"/>
    <x v="5"/>
    <x v="4"/>
    <x v="52"/>
    <x v="3"/>
    <x v="46"/>
    <x v="12"/>
    <x v="6"/>
    <x v="6"/>
  </r>
  <r>
    <x v="415"/>
    <x v="413"/>
    <x v="0"/>
    <x v="3"/>
    <x v="40"/>
    <x v="29"/>
    <x v="82"/>
    <x v="35"/>
    <x v="2"/>
    <x v="62"/>
    <x v="62"/>
  </r>
  <r>
    <x v="416"/>
    <x v="414"/>
    <x v="0"/>
    <x v="4"/>
    <x v="20"/>
    <x v="30"/>
    <x v="31"/>
    <x v="31"/>
    <x v="19"/>
    <x v="171"/>
    <x v="171"/>
  </r>
  <r>
    <x v="417"/>
    <x v="415"/>
    <x v="1"/>
    <x v="1"/>
    <x v="18"/>
    <x v="2"/>
    <x v="6"/>
    <x v="5"/>
    <x v="31"/>
    <x v="94"/>
    <x v="94"/>
  </r>
  <r>
    <x v="418"/>
    <x v="416"/>
    <x v="0"/>
    <x v="2"/>
    <x v="38"/>
    <x v="35"/>
    <x v="84"/>
    <x v="85"/>
    <x v="49"/>
    <x v="69"/>
    <x v="69"/>
  </r>
  <r>
    <x v="419"/>
    <x v="417"/>
    <x v="1"/>
    <x v="1"/>
    <x v="77"/>
    <x v="55"/>
    <x v="9"/>
    <x v="8"/>
    <x v="68"/>
    <x v="56"/>
    <x v="56"/>
  </r>
  <r>
    <x v="420"/>
    <x v="418"/>
    <x v="1"/>
    <x v="4"/>
    <x v="17"/>
    <x v="71"/>
    <x v="43"/>
    <x v="41"/>
    <x v="54"/>
    <x v="93"/>
    <x v="93"/>
  </r>
  <r>
    <x v="421"/>
    <x v="419"/>
    <x v="1"/>
    <x v="4"/>
    <x v="58"/>
    <x v="28"/>
    <x v="44"/>
    <x v="42"/>
    <x v="53"/>
    <x v="191"/>
    <x v="191"/>
  </r>
  <r>
    <x v="422"/>
    <x v="420"/>
    <x v="0"/>
    <x v="2"/>
    <x v="29"/>
    <x v="11"/>
    <x v="28"/>
    <x v="26"/>
    <x v="55"/>
    <x v="35"/>
    <x v="35"/>
  </r>
  <r>
    <x v="423"/>
    <x v="421"/>
    <x v="1"/>
    <x v="3"/>
    <x v="30"/>
    <x v="5"/>
    <x v="7"/>
    <x v="6"/>
    <x v="10"/>
    <x v="20"/>
    <x v="20"/>
  </r>
  <r>
    <x v="424"/>
    <x v="422"/>
    <x v="1"/>
    <x v="0"/>
    <x v="54"/>
    <x v="34"/>
    <x v="57"/>
    <x v="57"/>
    <x v="45"/>
    <x v="192"/>
    <x v="192"/>
  </r>
  <r>
    <x v="425"/>
    <x v="423"/>
    <x v="1"/>
    <x v="0"/>
    <x v="18"/>
    <x v="66"/>
    <x v="47"/>
    <x v="10"/>
    <x v="31"/>
    <x v="18"/>
    <x v="18"/>
  </r>
  <r>
    <x v="426"/>
    <x v="424"/>
    <x v="0"/>
    <x v="5"/>
    <x v="41"/>
    <x v="69"/>
    <x v="65"/>
    <x v="64"/>
    <x v="81"/>
    <x v="193"/>
    <x v="193"/>
  </r>
  <r>
    <x v="427"/>
    <x v="425"/>
    <x v="0"/>
    <x v="1"/>
    <x v="43"/>
    <x v="10"/>
    <x v="78"/>
    <x v="53"/>
    <x v="48"/>
    <x v="194"/>
    <x v="194"/>
  </r>
  <r>
    <x v="428"/>
    <x v="426"/>
    <x v="1"/>
    <x v="1"/>
    <x v="4"/>
    <x v="15"/>
    <x v="54"/>
    <x v="51"/>
    <x v="8"/>
    <x v="111"/>
    <x v="111"/>
  </r>
  <r>
    <x v="429"/>
    <x v="427"/>
    <x v="0"/>
    <x v="2"/>
    <x v="50"/>
    <x v="46"/>
    <x v="27"/>
    <x v="23"/>
    <x v="20"/>
    <x v="161"/>
    <x v="161"/>
  </r>
  <r>
    <x v="430"/>
    <x v="428"/>
    <x v="0"/>
    <x v="0"/>
    <x v="87"/>
    <x v="65"/>
    <x v="31"/>
    <x v="31"/>
    <x v="1"/>
    <x v="73"/>
    <x v="73"/>
  </r>
  <r>
    <x v="431"/>
    <x v="429"/>
    <x v="0"/>
    <x v="5"/>
    <x v="1"/>
    <x v="39"/>
    <x v="26"/>
    <x v="61"/>
    <x v="10"/>
    <x v="92"/>
    <x v="92"/>
  </r>
  <r>
    <x v="432"/>
    <x v="430"/>
    <x v="1"/>
    <x v="5"/>
    <x v="53"/>
    <x v="6"/>
    <x v="69"/>
    <x v="68"/>
    <x v="44"/>
    <x v="191"/>
    <x v="191"/>
  </r>
  <r>
    <x v="433"/>
    <x v="431"/>
    <x v="0"/>
    <x v="2"/>
    <x v="4"/>
    <x v="66"/>
    <x v="43"/>
    <x v="41"/>
    <x v="16"/>
    <x v="125"/>
    <x v="125"/>
  </r>
  <r>
    <x v="434"/>
    <x v="432"/>
    <x v="0"/>
    <x v="4"/>
    <x v="52"/>
    <x v="26"/>
    <x v="34"/>
    <x v="1"/>
    <x v="37"/>
    <x v="115"/>
    <x v="115"/>
  </r>
  <r>
    <x v="435"/>
    <x v="433"/>
    <x v="0"/>
    <x v="5"/>
    <x v="1"/>
    <x v="2"/>
    <x v="55"/>
    <x v="55"/>
    <x v="37"/>
    <x v="85"/>
    <x v="85"/>
  </r>
  <r>
    <x v="436"/>
    <x v="434"/>
    <x v="0"/>
    <x v="1"/>
    <x v="60"/>
    <x v="68"/>
    <x v="83"/>
    <x v="83"/>
    <x v="50"/>
    <x v="130"/>
    <x v="130"/>
  </r>
  <r>
    <x v="437"/>
    <x v="435"/>
    <x v="1"/>
    <x v="5"/>
    <x v="82"/>
    <x v="47"/>
    <x v="84"/>
    <x v="85"/>
    <x v="2"/>
    <x v="104"/>
    <x v="104"/>
  </r>
  <r>
    <x v="438"/>
    <x v="436"/>
    <x v="0"/>
    <x v="2"/>
    <x v="2"/>
    <x v="64"/>
    <x v="27"/>
    <x v="23"/>
    <x v="61"/>
    <x v="175"/>
    <x v="175"/>
  </r>
  <r>
    <x v="439"/>
    <x v="437"/>
    <x v="1"/>
    <x v="5"/>
    <x v="40"/>
    <x v="53"/>
    <x v="83"/>
    <x v="83"/>
    <x v="60"/>
    <x v="179"/>
    <x v="179"/>
  </r>
  <r>
    <x v="440"/>
    <x v="438"/>
    <x v="1"/>
    <x v="0"/>
    <x v="35"/>
    <x v="81"/>
    <x v="39"/>
    <x v="37"/>
    <x v="55"/>
    <x v="156"/>
    <x v="156"/>
  </r>
  <r>
    <x v="441"/>
    <x v="439"/>
    <x v="0"/>
    <x v="5"/>
    <x v="53"/>
    <x v="53"/>
    <x v="17"/>
    <x v="16"/>
    <x v="18"/>
    <x v="127"/>
    <x v="127"/>
  </r>
  <r>
    <x v="442"/>
    <x v="440"/>
    <x v="1"/>
    <x v="5"/>
    <x v="63"/>
    <x v="6"/>
    <x v="25"/>
    <x v="9"/>
    <x v="60"/>
    <x v="178"/>
    <x v="178"/>
  </r>
  <r>
    <x v="443"/>
    <x v="441"/>
    <x v="1"/>
    <x v="0"/>
    <x v="30"/>
    <x v="56"/>
    <x v="21"/>
    <x v="19"/>
    <x v="6"/>
    <x v="141"/>
    <x v="141"/>
  </r>
  <r>
    <x v="444"/>
    <x v="442"/>
    <x v="1"/>
    <x v="2"/>
    <x v="47"/>
    <x v="4"/>
    <x v="84"/>
    <x v="39"/>
    <x v="33"/>
    <x v="65"/>
    <x v="65"/>
  </r>
  <r>
    <x v="445"/>
    <x v="443"/>
    <x v="0"/>
    <x v="5"/>
    <x v="80"/>
    <x v="13"/>
    <x v="49"/>
    <x v="34"/>
    <x v="64"/>
    <x v="66"/>
    <x v="66"/>
  </r>
  <r>
    <x v="446"/>
    <x v="444"/>
    <x v="0"/>
    <x v="0"/>
    <x v="54"/>
    <x v="65"/>
    <x v="37"/>
    <x v="36"/>
    <x v="25"/>
    <x v="162"/>
    <x v="162"/>
  </r>
  <r>
    <x v="447"/>
    <x v="445"/>
    <x v="0"/>
    <x v="1"/>
    <x v="56"/>
    <x v="34"/>
    <x v="22"/>
    <x v="20"/>
    <x v="6"/>
    <x v="105"/>
    <x v="105"/>
  </r>
  <r>
    <x v="448"/>
    <x v="446"/>
    <x v="1"/>
    <x v="5"/>
    <x v="11"/>
    <x v="57"/>
    <x v="54"/>
    <x v="51"/>
    <x v="31"/>
    <x v="113"/>
    <x v="113"/>
  </r>
  <r>
    <x v="449"/>
    <x v="447"/>
    <x v="1"/>
    <x v="0"/>
    <x v="25"/>
    <x v="68"/>
    <x v="71"/>
    <x v="72"/>
    <x v="82"/>
    <x v="169"/>
    <x v="169"/>
  </r>
  <r>
    <x v="450"/>
    <x v="448"/>
    <x v="1"/>
    <x v="0"/>
    <x v="56"/>
    <x v="66"/>
    <x v="65"/>
    <x v="64"/>
    <x v="31"/>
    <x v="141"/>
    <x v="141"/>
  </r>
  <r>
    <x v="451"/>
    <x v="449"/>
    <x v="0"/>
    <x v="4"/>
    <x v="41"/>
    <x v="13"/>
    <x v="40"/>
    <x v="49"/>
    <x v="66"/>
    <x v="3"/>
    <x v="3"/>
  </r>
  <r>
    <x v="452"/>
    <x v="450"/>
    <x v="1"/>
    <x v="3"/>
    <x v="57"/>
    <x v="57"/>
    <x v="72"/>
    <x v="73"/>
    <x v="15"/>
    <x v="149"/>
    <x v="149"/>
  </r>
  <r>
    <x v="453"/>
    <x v="451"/>
    <x v="1"/>
    <x v="4"/>
    <x v="56"/>
    <x v="55"/>
    <x v="85"/>
    <x v="86"/>
    <x v="25"/>
    <x v="195"/>
    <x v="195"/>
  </r>
  <r>
    <x v="454"/>
    <x v="452"/>
    <x v="0"/>
    <x v="0"/>
    <x v="63"/>
    <x v="19"/>
    <x v="18"/>
    <x v="47"/>
    <x v="29"/>
    <x v="93"/>
    <x v="93"/>
  </r>
  <r>
    <x v="455"/>
    <x v="453"/>
    <x v="1"/>
    <x v="2"/>
    <x v="80"/>
    <x v="14"/>
    <x v="10"/>
    <x v="69"/>
    <x v="9"/>
    <x v="194"/>
    <x v="194"/>
  </r>
  <r>
    <x v="456"/>
    <x v="454"/>
    <x v="0"/>
    <x v="4"/>
    <x v="48"/>
    <x v="67"/>
    <x v="71"/>
    <x v="72"/>
    <x v="34"/>
    <x v="155"/>
    <x v="155"/>
  </r>
  <r>
    <x v="457"/>
    <x v="455"/>
    <x v="1"/>
    <x v="4"/>
    <x v="18"/>
    <x v="20"/>
    <x v="86"/>
    <x v="87"/>
    <x v="21"/>
    <x v="118"/>
    <x v="118"/>
  </r>
  <r>
    <x v="458"/>
    <x v="456"/>
    <x v="0"/>
    <x v="1"/>
    <x v="63"/>
    <x v="47"/>
    <x v="73"/>
    <x v="39"/>
    <x v="20"/>
    <x v="61"/>
    <x v="61"/>
  </r>
  <r>
    <x v="459"/>
    <x v="457"/>
    <x v="0"/>
    <x v="2"/>
    <x v="10"/>
    <x v="76"/>
    <x v="57"/>
    <x v="57"/>
    <x v="74"/>
    <x v="128"/>
    <x v="128"/>
  </r>
  <r>
    <x v="460"/>
    <x v="458"/>
    <x v="1"/>
    <x v="5"/>
    <x v="35"/>
    <x v="17"/>
    <x v="72"/>
    <x v="73"/>
    <x v="14"/>
    <x v="156"/>
    <x v="156"/>
  </r>
  <r>
    <x v="461"/>
    <x v="459"/>
    <x v="0"/>
    <x v="1"/>
    <x v="8"/>
    <x v="8"/>
    <x v="66"/>
    <x v="65"/>
    <x v="17"/>
    <x v="152"/>
    <x v="152"/>
  </r>
  <r>
    <x v="462"/>
    <x v="460"/>
    <x v="1"/>
    <x v="1"/>
    <x v="27"/>
    <x v="51"/>
    <x v="34"/>
    <x v="1"/>
    <x v="11"/>
    <x v="196"/>
    <x v="196"/>
  </r>
  <r>
    <x v="463"/>
    <x v="461"/>
    <x v="1"/>
    <x v="0"/>
    <x v="11"/>
    <x v="17"/>
    <x v="55"/>
    <x v="55"/>
    <x v="51"/>
    <x v="141"/>
    <x v="141"/>
  </r>
  <r>
    <x v="464"/>
    <x v="462"/>
    <x v="0"/>
    <x v="0"/>
    <x v="28"/>
    <x v="69"/>
    <x v="0"/>
    <x v="88"/>
    <x v="37"/>
    <x v="168"/>
    <x v="168"/>
  </r>
  <r>
    <x v="465"/>
    <x v="463"/>
    <x v="0"/>
    <x v="3"/>
    <x v="58"/>
    <x v="43"/>
    <x v="18"/>
    <x v="70"/>
    <x v="59"/>
    <x v="191"/>
    <x v="191"/>
  </r>
  <r>
    <x v="466"/>
    <x v="464"/>
    <x v="1"/>
    <x v="5"/>
    <x v="76"/>
    <x v="26"/>
    <x v="14"/>
    <x v="13"/>
    <x v="42"/>
    <x v="197"/>
    <x v="197"/>
  </r>
  <r>
    <x v="467"/>
    <x v="465"/>
    <x v="0"/>
    <x v="1"/>
    <x v="48"/>
    <x v="42"/>
    <x v="6"/>
    <x v="7"/>
    <x v="20"/>
    <x v="198"/>
    <x v="198"/>
  </r>
  <r>
    <x v="468"/>
    <x v="466"/>
    <x v="1"/>
    <x v="3"/>
    <x v="60"/>
    <x v="31"/>
    <x v="43"/>
    <x v="41"/>
    <x v="35"/>
    <x v="181"/>
    <x v="181"/>
  </r>
  <r>
    <x v="469"/>
    <x v="467"/>
    <x v="1"/>
    <x v="1"/>
    <x v="4"/>
    <x v="56"/>
    <x v="34"/>
    <x v="1"/>
    <x v="55"/>
    <x v="199"/>
    <x v="199"/>
  </r>
  <r>
    <x v="470"/>
    <x v="468"/>
    <x v="1"/>
    <x v="2"/>
    <x v="53"/>
    <x v="17"/>
    <x v="65"/>
    <x v="36"/>
    <x v="25"/>
    <x v="141"/>
    <x v="141"/>
  </r>
  <r>
    <x v="471"/>
    <x v="469"/>
    <x v="1"/>
    <x v="5"/>
    <x v="81"/>
    <x v="31"/>
    <x v="34"/>
    <x v="1"/>
    <x v="81"/>
    <x v="4"/>
    <x v="4"/>
  </r>
  <r>
    <x v="472"/>
    <x v="470"/>
    <x v="0"/>
    <x v="0"/>
    <x v="3"/>
    <x v="42"/>
    <x v="36"/>
    <x v="34"/>
    <x v="20"/>
    <x v="102"/>
    <x v="102"/>
  </r>
  <r>
    <x v="473"/>
    <x v="471"/>
    <x v="0"/>
    <x v="2"/>
    <x v="39"/>
    <x v="25"/>
    <x v="17"/>
    <x v="16"/>
    <x v="54"/>
    <x v="107"/>
    <x v="107"/>
  </r>
  <r>
    <x v="474"/>
    <x v="472"/>
    <x v="1"/>
    <x v="5"/>
    <x v="82"/>
    <x v="17"/>
    <x v="55"/>
    <x v="55"/>
    <x v="45"/>
    <x v="83"/>
    <x v="83"/>
  </r>
  <r>
    <x v="475"/>
    <x v="473"/>
    <x v="0"/>
    <x v="2"/>
    <x v="52"/>
    <x v="87"/>
    <x v="75"/>
    <x v="65"/>
    <x v="68"/>
    <x v="200"/>
    <x v="200"/>
  </r>
  <r>
    <x v="476"/>
    <x v="474"/>
    <x v="1"/>
    <x v="5"/>
    <x v="63"/>
    <x v="61"/>
    <x v="33"/>
    <x v="27"/>
    <x v="49"/>
    <x v="146"/>
    <x v="146"/>
  </r>
  <r>
    <x v="477"/>
    <x v="475"/>
    <x v="0"/>
    <x v="4"/>
    <x v="88"/>
    <x v="21"/>
    <x v="36"/>
    <x v="34"/>
    <x v="15"/>
    <x v="104"/>
    <x v="104"/>
  </r>
  <r>
    <x v="478"/>
    <x v="476"/>
    <x v="1"/>
    <x v="4"/>
    <x v="18"/>
    <x v="44"/>
    <x v="40"/>
    <x v="38"/>
    <x v="52"/>
    <x v="55"/>
    <x v="55"/>
  </r>
  <r>
    <x v="479"/>
    <x v="477"/>
    <x v="1"/>
    <x v="2"/>
    <x v="48"/>
    <x v="35"/>
    <x v="6"/>
    <x v="7"/>
    <x v="52"/>
    <x v="198"/>
    <x v="198"/>
  </r>
  <r>
    <x v="480"/>
    <x v="478"/>
    <x v="1"/>
    <x v="2"/>
    <x v="75"/>
    <x v="16"/>
    <x v="59"/>
    <x v="22"/>
    <x v="67"/>
    <x v="25"/>
    <x v="25"/>
  </r>
  <r>
    <x v="481"/>
    <x v="479"/>
    <x v="1"/>
    <x v="4"/>
    <x v="59"/>
    <x v="46"/>
    <x v="59"/>
    <x v="48"/>
    <x v="33"/>
    <x v="178"/>
    <x v="178"/>
  </r>
  <r>
    <x v="482"/>
    <x v="480"/>
    <x v="0"/>
    <x v="1"/>
    <x v="44"/>
    <x v="48"/>
    <x v="55"/>
    <x v="55"/>
    <x v="44"/>
    <x v="35"/>
    <x v="35"/>
  </r>
  <r>
    <x v="483"/>
    <x v="481"/>
    <x v="0"/>
    <x v="4"/>
    <x v="46"/>
    <x v="1"/>
    <x v="62"/>
    <x v="61"/>
    <x v="32"/>
    <x v="25"/>
    <x v="25"/>
  </r>
  <r>
    <x v="484"/>
    <x v="482"/>
    <x v="1"/>
    <x v="4"/>
    <x v="12"/>
    <x v="43"/>
    <x v="4"/>
    <x v="3"/>
    <x v="29"/>
    <x v="90"/>
    <x v="90"/>
  </r>
  <r>
    <x v="485"/>
    <x v="483"/>
    <x v="0"/>
    <x v="3"/>
    <x v="27"/>
    <x v="56"/>
    <x v="16"/>
    <x v="15"/>
    <x v="46"/>
    <x v="65"/>
    <x v="65"/>
  </r>
  <r>
    <x v="486"/>
    <x v="484"/>
    <x v="0"/>
    <x v="0"/>
    <x v="57"/>
    <x v="64"/>
    <x v="25"/>
    <x v="9"/>
    <x v="24"/>
    <x v="37"/>
    <x v="37"/>
  </r>
  <r>
    <x v="487"/>
    <x v="485"/>
    <x v="1"/>
    <x v="0"/>
    <x v="43"/>
    <x v="75"/>
    <x v="40"/>
    <x v="54"/>
    <x v="59"/>
    <x v="127"/>
    <x v="127"/>
  </r>
  <r>
    <x v="488"/>
    <x v="486"/>
    <x v="0"/>
    <x v="4"/>
    <x v="31"/>
    <x v="80"/>
    <x v="18"/>
    <x v="70"/>
    <x v="64"/>
    <x v="102"/>
    <x v="102"/>
  </r>
  <r>
    <x v="489"/>
    <x v="487"/>
    <x v="0"/>
    <x v="5"/>
    <x v="71"/>
    <x v="52"/>
    <x v="76"/>
    <x v="76"/>
    <x v="25"/>
    <x v="105"/>
    <x v="105"/>
  </r>
  <r>
    <x v="490"/>
    <x v="488"/>
    <x v="1"/>
    <x v="4"/>
    <x v="49"/>
    <x v="4"/>
    <x v="15"/>
    <x v="39"/>
    <x v="17"/>
    <x v="93"/>
    <x v="93"/>
  </r>
  <r>
    <x v="491"/>
    <x v="489"/>
    <x v="0"/>
    <x v="1"/>
    <x v="8"/>
    <x v="50"/>
    <x v="49"/>
    <x v="17"/>
    <x v="15"/>
    <x v="61"/>
    <x v="61"/>
  </r>
  <r>
    <x v="492"/>
    <x v="490"/>
    <x v="0"/>
    <x v="1"/>
    <x v="18"/>
    <x v="10"/>
    <x v="37"/>
    <x v="36"/>
    <x v="5"/>
    <x v="141"/>
    <x v="141"/>
  </r>
  <r>
    <x v="493"/>
    <x v="491"/>
    <x v="1"/>
    <x v="4"/>
    <x v="46"/>
    <x v="9"/>
    <x v="78"/>
    <x v="53"/>
    <x v="2"/>
    <x v="180"/>
    <x v="180"/>
  </r>
  <r>
    <x v="494"/>
    <x v="492"/>
    <x v="0"/>
    <x v="3"/>
    <x v="52"/>
    <x v="35"/>
    <x v="14"/>
    <x v="13"/>
    <x v="72"/>
    <x v="2"/>
    <x v="2"/>
  </r>
  <r>
    <x v="495"/>
    <x v="493"/>
    <x v="1"/>
    <x v="0"/>
    <x v="29"/>
    <x v="11"/>
    <x v="37"/>
    <x v="36"/>
    <x v="33"/>
    <x v="157"/>
    <x v="157"/>
  </r>
  <r>
    <x v="496"/>
    <x v="494"/>
    <x v="1"/>
    <x v="4"/>
    <x v="32"/>
    <x v="25"/>
    <x v="56"/>
    <x v="22"/>
    <x v="59"/>
    <x v="62"/>
    <x v="62"/>
  </r>
  <r>
    <x v="497"/>
    <x v="495"/>
    <x v="1"/>
    <x v="3"/>
    <x v="77"/>
    <x v="24"/>
    <x v="46"/>
    <x v="43"/>
    <x v="12"/>
    <x v="40"/>
    <x v="40"/>
  </r>
  <r>
    <x v="498"/>
    <x v="496"/>
    <x v="0"/>
    <x v="5"/>
    <x v="32"/>
    <x v="17"/>
    <x v="31"/>
    <x v="31"/>
    <x v="15"/>
    <x v="2"/>
    <x v="2"/>
  </r>
  <r>
    <x v="499"/>
    <x v="497"/>
    <x v="1"/>
    <x v="5"/>
    <x v="58"/>
    <x v="7"/>
    <x v="36"/>
    <x v="39"/>
    <x v="29"/>
    <x v="190"/>
    <x v="190"/>
  </r>
  <r>
    <x v="500"/>
    <x v="498"/>
    <x v="1"/>
    <x v="0"/>
    <x v="78"/>
    <x v="71"/>
    <x v="49"/>
    <x v="0"/>
    <x v="46"/>
    <x v="31"/>
    <x v="31"/>
  </r>
  <r>
    <x v="501"/>
    <x v="499"/>
    <x v="1"/>
    <x v="4"/>
    <x v="14"/>
    <x v="11"/>
    <x v="78"/>
    <x v="34"/>
    <x v="6"/>
    <x v="138"/>
    <x v="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505:H509" firstHeaderRow="1" firstDataRow="2" firstDataCol="1"/>
  <pivotFields count="11">
    <pivotField compact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dataField="1" compact="0" showAll="0">
      <items count="501">
        <item x="333"/>
        <item x="203"/>
        <item x="424"/>
        <item x="36"/>
        <item x="277"/>
        <item x="37"/>
        <item x="223"/>
        <item x="63"/>
        <item x="257"/>
        <item x="466"/>
        <item x="82"/>
        <item x="317"/>
        <item x="312"/>
        <item x="21"/>
        <item x="334"/>
        <item x="214"/>
        <item x="423"/>
        <item x="58"/>
        <item x="157"/>
        <item x="234"/>
        <item x="98"/>
        <item x="199"/>
        <item x="442"/>
        <item x="407"/>
        <item x="143"/>
        <item x="261"/>
        <item x="16"/>
        <item x="449"/>
        <item x="232"/>
        <item x="389"/>
        <item x="158"/>
        <item x="75"/>
        <item x="395"/>
        <item x="26"/>
        <item x="59"/>
        <item x="377"/>
        <item x="236"/>
        <item x="189"/>
        <item x="316"/>
        <item x="230"/>
        <item x="349"/>
        <item x="375"/>
        <item x="15"/>
        <item x="306"/>
        <item x="365"/>
        <item x="188"/>
        <item x="51"/>
        <item x="78"/>
        <item x="470"/>
        <item x="128"/>
        <item x="197"/>
        <item x="154"/>
        <item x="471"/>
        <item x="130"/>
        <item x="419"/>
        <item x="156"/>
        <item x="34"/>
        <item x="67"/>
        <item x="162"/>
        <item x="136"/>
        <item x="91"/>
        <item x="386"/>
        <item x="207"/>
        <item x="491"/>
        <item x="421"/>
        <item x="110"/>
        <item x="121"/>
        <item x="373"/>
        <item x="200"/>
        <item x="198"/>
        <item x="43"/>
        <item x="168"/>
        <item x="396"/>
        <item x="182"/>
        <item x="241"/>
        <item x="364"/>
        <item x="30"/>
        <item x="41"/>
        <item x="61"/>
        <item x="288"/>
        <item x="300"/>
        <item x="357"/>
        <item x="95"/>
        <item x="332"/>
        <item x="120"/>
        <item x="267"/>
        <item x="134"/>
        <item x="420"/>
        <item x="220"/>
        <item x="88"/>
        <item x="462"/>
        <item x="14"/>
        <item x="22"/>
        <item x="194"/>
        <item x="225"/>
        <item x="455"/>
        <item x="100"/>
        <item x="1"/>
        <item x="314"/>
        <item x="279"/>
        <item x="243"/>
        <item x="217"/>
        <item x="321"/>
        <item x="31"/>
        <item x="251"/>
        <item x="204"/>
        <item x="215"/>
        <item x="341"/>
        <item x="283"/>
        <item x="417"/>
        <item x="74"/>
        <item x="125"/>
        <item x="23"/>
        <item x="492"/>
        <item x="122"/>
        <item x="90"/>
        <item x="450"/>
        <item x="148"/>
        <item x="181"/>
        <item x="19"/>
        <item x="383"/>
        <item x="378"/>
        <item x="416"/>
        <item x="310"/>
        <item x="40"/>
        <item x="429"/>
        <item x="117"/>
        <item x="218"/>
        <item x="322"/>
        <item x="342"/>
        <item x="46"/>
        <item x="49"/>
        <item x="276"/>
        <item x="178"/>
        <item x="174"/>
        <item x="481"/>
        <item x="80"/>
        <item x="302"/>
        <item x="233"/>
        <item x="433"/>
        <item x="345"/>
        <item x="93"/>
        <item x="18"/>
        <item x="498"/>
        <item x="50"/>
        <item x="367"/>
        <item x="28"/>
        <item x="62"/>
        <item x="295"/>
        <item x="298"/>
        <item x="406"/>
        <item x="467"/>
        <item x="287"/>
        <item x="254"/>
        <item x="202"/>
        <item x="268"/>
        <item x="242"/>
        <item x="201"/>
        <item x="166"/>
        <item x="324"/>
        <item x="294"/>
        <item x="404"/>
        <item x="57"/>
        <item x="27"/>
        <item x="402"/>
        <item x="11"/>
        <item x="414"/>
        <item x="106"/>
        <item x="191"/>
        <item x="301"/>
        <item x="173"/>
        <item x="60"/>
        <item x="179"/>
        <item x="0"/>
        <item x="71"/>
        <item x="325"/>
        <item x="147"/>
        <item x="172"/>
        <item x="413"/>
        <item x="109"/>
        <item x="490"/>
        <item x="359"/>
        <item x="127"/>
        <item x="249"/>
        <item x="488"/>
        <item x="494"/>
        <item x="411"/>
        <item x="212"/>
        <item x="87"/>
        <item x="114"/>
        <item x="485"/>
        <item x="371"/>
        <item x="177"/>
        <item x="29"/>
        <item x="284"/>
        <item x="474"/>
        <item x="446"/>
        <item x="478"/>
        <item x="97"/>
        <item x="140"/>
        <item x="54"/>
        <item x="381"/>
        <item x="454"/>
        <item x="328"/>
        <item x="221"/>
        <item x="208"/>
        <item x="209"/>
        <item x="4"/>
        <item x="391"/>
        <item x="273"/>
        <item x="372"/>
        <item x="3"/>
        <item x="440"/>
        <item x="253"/>
        <item x="363"/>
        <item x="256"/>
        <item x="213"/>
        <item x="244"/>
        <item x="425"/>
        <item x="260"/>
        <item x="281"/>
        <item x="280"/>
        <item x="56"/>
        <item x="150"/>
        <item x="205"/>
        <item x="105"/>
        <item x="326"/>
        <item x="336"/>
        <item x="2"/>
        <item x="146"/>
        <item x="362"/>
        <item x="53"/>
        <item x="271"/>
        <item x="32"/>
        <item x="484"/>
        <item x="265"/>
        <item x="83"/>
        <item x="116"/>
        <item x="275"/>
        <item x="479"/>
        <item x="409"/>
        <item x="255"/>
        <item x="408"/>
        <item x="486"/>
        <item x="152"/>
        <item x="422"/>
        <item x="487"/>
        <item x="497"/>
        <item x="252"/>
        <item x="431"/>
        <item x="315"/>
        <item x="245"/>
        <item x="258"/>
        <item x="441"/>
        <item x="113"/>
        <item x="79"/>
        <item x="38"/>
        <item x="296"/>
        <item x="472"/>
        <item x="370"/>
        <item x="135"/>
        <item x="327"/>
        <item x="20"/>
        <item x="228"/>
        <item x="193"/>
        <item x="108"/>
        <item x="447"/>
        <item x="344"/>
        <item x="142"/>
        <item x="224"/>
        <item x="169"/>
        <item x="139"/>
        <item x="165"/>
        <item x="129"/>
        <item x="47"/>
        <item x="339"/>
        <item x="89"/>
        <item x="111"/>
        <item x="303"/>
        <item x="385"/>
        <item x="346"/>
        <item x="85"/>
        <item x="399"/>
        <item x="430"/>
        <item x="330"/>
        <item x="318"/>
        <item x="343"/>
        <item x="476"/>
        <item x="161"/>
        <item x="496"/>
        <item x="366"/>
        <item x="153"/>
        <item x="263"/>
        <item x="286"/>
        <item x="104"/>
        <item x="64"/>
        <item x="489"/>
        <item x="226"/>
        <item x="25"/>
        <item x="278"/>
        <item x="222"/>
        <item x="133"/>
        <item x="72"/>
        <item x="151"/>
        <item x="192"/>
        <item x="66"/>
        <item x="131"/>
        <item x="290"/>
        <item x="138"/>
        <item x="493"/>
        <item x="10"/>
        <item x="355"/>
        <item x="5"/>
        <item x="259"/>
        <item x="73"/>
        <item x="68"/>
        <item x="7"/>
        <item x="390"/>
        <item x="180"/>
        <item x="186"/>
        <item x="477"/>
        <item x="432"/>
        <item x="319"/>
        <item x="351"/>
        <item x="190"/>
        <item x="183"/>
        <item x="170"/>
        <item x="24"/>
        <item x="264"/>
        <item x="320"/>
        <item x="289"/>
        <item x="469"/>
        <item x="457"/>
        <item x="475"/>
        <item x="42"/>
        <item x="313"/>
        <item x="418"/>
        <item x="398"/>
        <item x="347"/>
        <item x="307"/>
        <item x="368"/>
        <item x="163"/>
        <item x="52"/>
        <item x="144"/>
        <item x="437"/>
        <item x="39"/>
        <item x="81"/>
        <item x="159"/>
        <item x="86"/>
        <item x="123"/>
        <item x="149"/>
        <item x="206"/>
        <item x="480"/>
        <item x="369"/>
        <item x="285"/>
        <item x="473"/>
        <item x="376"/>
        <item x="185"/>
        <item x="361"/>
        <item x="311"/>
        <item x="428"/>
        <item x="211"/>
        <item x="499"/>
        <item x="439"/>
        <item x="482"/>
        <item x="45"/>
        <item x="247"/>
        <item x="358"/>
        <item x="329"/>
        <item x="299"/>
        <item x="112"/>
        <item x="291"/>
        <item x="145"/>
        <item x="340"/>
        <item x="460"/>
        <item x="33"/>
        <item x="379"/>
        <item x="452"/>
        <item x="443"/>
        <item x="415"/>
        <item x="453"/>
        <item x="239"/>
        <item x="393"/>
        <item x="227"/>
        <item x="448"/>
        <item x="444"/>
        <item x="101"/>
        <item x="387"/>
        <item x="55"/>
        <item x="410"/>
        <item x="70"/>
        <item x="270"/>
        <item x="434"/>
        <item x="445"/>
        <item x="229"/>
        <item x="48"/>
        <item x="96"/>
        <item x="427"/>
        <item x="92"/>
        <item x="468"/>
        <item x="187"/>
        <item x="297"/>
        <item x="196"/>
        <item x="17"/>
        <item x="305"/>
        <item x="132"/>
        <item x="238"/>
        <item x="274"/>
        <item x="323"/>
        <item x="126"/>
        <item x="124"/>
        <item x="210"/>
        <item x="118"/>
        <item x="107"/>
        <item x="309"/>
        <item x="137"/>
        <item x="335"/>
        <item x="94"/>
        <item x="382"/>
        <item x="412"/>
        <item x="250"/>
        <item x="262"/>
        <item x="9"/>
        <item x="400"/>
        <item x="405"/>
        <item x="141"/>
        <item x="219"/>
        <item x="176"/>
        <item x="463"/>
        <item x="394"/>
        <item x="69"/>
        <item x="350"/>
        <item x="483"/>
        <item x="44"/>
        <item x="465"/>
        <item x="282"/>
        <item x="65"/>
        <item x="184"/>
        <item x="246"/>
        <item x="356"/>
        <item x="84"/>
        <item x="353"/>
        <item x="354"/>
        <item x="266"/>
        <item x="384"/>
        <item x="426"/>
        <item x="304"/>
        <item x="461"/>
        <item x="331"/>
        <item x="77"/>
        <item x="171"/>
        <item x="403"/>
        <item x="248"/>
        <item x="495"/>
        <item x="380"/>
        <item x="293"/>
        <item x="119"/>
        <item x="195"/>
        <item x="388"/>
        <item x="160"/>
        <item x="76"/>
        <item x="102"/>
        <item x="464"/>
        <item x="352"/>
        <item x="155"/>
        <item x="456"/>
        <item x="397"/>
        <item x="8"/>
        <item x="240"/>
        <item x="13"/>
        <item x="435"/>
        <item x="216"/>
        <item x="438"/>
        <item x="451"/>
        <item x="272"/>
        <item x="167"/>
        <item x="99"/>
        <item x="459"/>
        <item x="231"/>
        <item x="392"/>
        <item x="164"/>
        <item x="235"/>
        <item x="338"/>
        <item x="6"/>
        <item x="237"/>
        <item x="35"/>
        <item x="360"/>
        <item x="348"/>
        <item x="12"/>
        <item x="337"/>
        <item x="115"/>
        <item x="374"/>
        <item x="436"/>
        <item x="103"/>
        <item x="308"/>
        <item x="292"/>
        <item x="269"/>
        <item x="458"/>
        <item x="175"/>
        <item x="401"/>
        <item t="default"/>
      </items>
    </pivotField>
    <pivotField axis="axisRow" compact="0" showAll="0">
      <items count="3">
        <item x="1"/>
        <item x="0"/>
        <item t="default"/>
      </items>
    </pivotField>
    <pivotField axis="axisCol" compact="0" showAll="0">
      <items count="7">
        <item x="1"/>
        <item x="0"/>
        <item x="4"/>
        <item x="3"/>
        <item x="5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6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姓名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512:H514" firstHeaderRow="1" firstDataRow="2" firstDataCol="1"/>
  <pivotFields count="11">
    <pivotField compact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compact="0" showAll="0"/>
    <pivotField compact="0" showAll="0"/>
    <pivotField axis="axisCol" compact="0" showAll="0">
      <items count="7">
        <item x="1"/>
        <item x="0"/>
        <item x="4"/>
        <item x="3"/>
        <item x="5"/>
        <item x="2"/>
        <item t="default"/>
      </items>
    </pivotField>
    <pivotField compact="0" showAll="0"/>
    <pivotField compact="0" showAll="0"/>
    <pivotField dataField="1" compact="0" showAll="0">
      <items count="88">
        <item x="60"/>
        <item x="86"/>
        <item x="30"/>
        <item x="35"/>
        <item x="85"/>
        <item x="74"/>
        <item x="50"/>
        <item x="17"/>
        <item x="32"/>
        <item x="77"/>
        <item x="63"/>
        <item x="69"/>
        <item x="81"/>
        <item x="52"/>
        <item x="45"/>
        <item x="7"/>
        <item x="71"/>
        <item x="28"/>
        <item x="27"/>
        <item x="20"/>
        <item x="65"/>
        <item x="82"/>
        <item x="22"/>
        <item x="44"/>
        <item x="5"/>
        <item x="14"/>
        <item x="31"/>
        <item x="76"/>
        <item x="37"/>
        <item x="68"/>
        <item x="18"/>
        <item x="13"/>
        <item x="57"/>
        <item x="34"/>
        <item x="55"/>
        <item x="21"/>
        <item x="4"/>
        <item x="39"/>
        <item x="2"/>
        <item x="9"/>
        <item x="6"/>
        <item x="12"/>
        <item x="40"/>
        <item x="73"/>
        <item x="48"/>
        <item x="59"/>
        <item x="38"/>
        <item x="84"/>
        <item x="15"/>
        <item x="43"/>
        <item x="10"/>
        <item x="36"/>
        <item x="24"/>
        <item x="66"/>
        <item x="53"/>
        <item x="51"/>
        <item x="16"/>
        <item x="61"/>
        <item x="78"/>
        <item x="25"/>
        <item x="49"/>
        <item x="47"/>
        <item x="70"/>
        <item x="62"/>
        <item x="56"/>
        <item x="72"/>
        <item x="3"/>
        <item x="33"/>
        <item x="19"/>
        <item x="29"/>
        <item x="75"/>
        <item x="79"/>
        <item x="54"/>
        <item x="64"/>
        <item x="26"/>
        <item x="46"/>
        <item x="41"/>
        <item x="83"/>
        <item x="0"/>
        <item x="23"/>
        <item x="8"/>
        <item x="58"/>
        <item x="11"/>
        <item x="67"/>
        <item x="1"/>
        <item x="80"/>
        <item x="42"/>
        <item t="default"/>
      </items>
    </pivotField>
    <pivotField compact="0" showAll="0"/>
    <pivotField compact="0" showAll="0"/>
    <pivotField compact="0" showAll="0"/>
    <pivotField compact="0" numFmtId="176" showAll="0"/>
  </pivotFields>
  <rowItems count="1">
    <i/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平均值项:逻辑学" fld="6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514"/>
  <sheetViews>
    <sheetView tabSelected="1" topLeftCell="A408" workbookViewId="0">
      <selection activeCell="F1" sqref="F1"/>
    </sheetView>
  </sheetViews>
  <sheetFormatPr defaultColWidth="9" defaultRowHeight="14"/>
  <cols>
    <col min="1" max="1" width="17.2545454545455"/>
    <col min="2" max="8" width="12.6272727272727"/>
    <col min="9" max="9" width="12.8727272727273" customWidth="1"/>
    <col min="10" max="10" width="8" customWidth="1"/>
    <col min="11" max="11" width="8.87272727272727" customWidth="1"/>
    <col min="15" max="15" width="10.5" customWidth="1"/>
    <col min="16" max="16" width="17.372727272727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1" spans="1:13">
      <c r="A2">
        <v>10001</v>
      </c>
      <c r="B2" t="s">
        <v>13</v>
      </c>
      <c r="C2" t="s">
        <v>14</v>
      </c>
      <c r="D2" t="s">
        <v>15</v>
      </c>
      <c r="E2">
        <v>91</v>
      </c>
      <c r="F2">
        <v>98</v>
      </c>
      <c r="G2">
        <v>94</v>
      </c>
      <c r="H2">
        <v>92</v>
      </c>
      <c r="I2">
        <v>82</v>
      </c>
      <c r="J2">
        <f>SUM(E2:I2)</f>
        <v>457</v>
      </c>
      <c r="K2" s="4">
        <f>AVERAGE(E2:I2)</f>
        <v>91.4</v>
      </c>
      <c r="L2">
        <f>RANK(K2,$K$2:$K$503)</f>
        <v>7</v>
      </c>
      <c r="M2" t="str">
        <f>IF(K2&gt;=85,"优秀",IF(K2&gt;=60,"及格","不及格"))</f>
        <v>优秀</v>
      </c>
    </row>
    <row r="3" hidden="1" spans="1:13">
      <c r="A3">
        <v>10002</v>
      </c>
      <c r="B3" t="s">
        <v>16</v>
      </c>
      <c r="C3" t="s">
        <v>17</v>
      </c>
      <c r="D3" t="s">
        <v>18</v>
      </c>
      <c r="E3">
        <v>87</v>
      </c>
      <c r="F3">
        <v>90</v>
      </c>
      <c r="G3">
        <v>97</v>
      </c>
      <c r="H3">
        <v>69.5</v>
      </c>
      <c r="I3">
        <v>88.5</v>
      </c>
      <c r="J3">
        <f t="shared" ref="J3:J66" si="0">SUM(E3:I3)</f>
        <v>432</v>
      </c>
      <c r="K3" s="4">
        <f t="shared" ref="K3:K66" si="1">AVERAGE(E3:I3)</f>
        <v>86.4</v>
      </c>
      <c r="L3">
        <f t="shared" ref="L3:L66" si="2">RANK(K3,$K$2:$K$503)</f>
        <v>30</v>
      </c>
      <c r="M3" t="str">
        <f t="shared" ref="M3:M66" si="3">IF(K3&gt;=85,"优秀",IF(K3&gt;=60,"及格","不及格"))</f>
        <v>优秀</v>
      </c>
    </row>
    <row r="4" ht="17" hidden="1" spans="1:16">
      <c r="A4">
        <v>10003</v>
      </c>
      <c r="B4" t="s">
        <v>19</v>
      </c>
      <c r="C4" t="s">
        <v>14</v>
      </c>
      <c r="D4" t="s">
        <v>20</v>
      </c>
      <c r="E4">
        <v>66</v>
      </c>
      <c r="F4">
        <v>66</v>
      </c>
      <c r="G4">
        <v>74</v>
      </c>
      <c r="H4">
        <v>72</v>
      </c>
      <c r="I4">
        <v>83</v>
      </c>
      <c r="J4">
        <f t="shared" si="0"/>
        <v>361</v>
      </c>
      <c r="K4" s="4">
        <f t="shared" si="1"/>
        <v>72.2</v>
      </c>
      <c r="L4">
        <f t="shared" si="2"/>
        <v>382</v>
      </c>
      <c r="M4" t="str">
        <f t="shared" si="3"/>
        <v>及格</v>
      </c>
      <c r="O4" s="5" t="s">
        <v>21</v>
      </c>
      <c r="P4" s="6"/>
    </row>
    <row r="5" hidden="1" spans="1:16">
      <c r="A5">
        <v>10004</v>
      </c>
      <c r="B5" t="s">
        <v>22</v>
      </c>
      <c r="C5" t="s">
        <v>14</v>
      </c>
      <c r="D5" t="s">
        <v>23</v>
      </c>
      <c r="E5">
        <v>90.5</v>
      </c>
      <c r="F5">
        <v>50</v>
      </c>
      <c r="G5">
        <v>88</v>
      </c>
      <c r="H5">
        <v>72</v>
      </c>
      <c r="I5">
        <v>91.5</v>
      </c>
      <c r="J5">
        <f t="shared" si="0"/>
        <v>392</v>
      </c>
      <c r="K5" s="4">
        <f t="shared" si="1"/>
        <v>78.4</v>
      </c>
      <c r="L5">
        <f t="shared" si="2"/>
        <v>195</v>
      </c>
      <c r="M5" t="str">
        <f t="shared" si="3"/>
        <v>及格</v>
      </c>
      <c r="O5" s="7" t="s">
        <v>24</v>
      </c>
      <c r="P5" s="8">
        <f>COUNTIFS(C:C,"男",M:M,"优秀")</f>
        <v>24</v>
      </c>
    </row>
    <row r="6" hidden="1" spans="1:16">
      <c r="A6">
        <v>10005</v>
      </c>
      <c r="B6" t="s">
        <v>25</v>
      </c>
      <c r="C6" t="s">
        <v>14</v>
      </c>
      <c r="D6" t="s">
        <v>15</v>
      </c>
      <c r="E6">
        <v>73.5</v>
      </c>
      <c r="F6">
        <v>78</v>
      </c>
      <c r="G6">
        <v>73</v>
      </c>
      <c r="H6">
        <v>71</v>
      </c>
      <c r="I6">
        <v>77.5</v>
      </c>
      <c r="J6">
        <f t="shared" si="0"/>
        <v>373</v>
      </c>
      <c r="K6" s="4">
        <f t="shared" si="1"/>
        <v>74.6</v>
      </c>
      <c r="L6">
        <f t="shared" si="2"/>
        <v>318</v>
      </c>
      <c r="M6" t="str">
        <f t="shared" si="3"/>
        <v>及格</v>
      </c>
      <c r="O6" s="7" t="s">
        <v>26</v>
      </c>
      <c r="P6" s="8">
        <f>COUNTIFS(C:C,"女",M:M,"优秀")</f>
        <v>15</v>
      </c>
    </row>
    <row r="7" hidden="1" spans="1:13">
      <c r="A7">
        <v>10006</v>
      </c>
      <c r="B7" t="s">
        <v>27</v>
      </c>
      <c r="C7" t="s">
        <v>17</v>
      </c>
      <c r="D7" t="s">
        <v>15</v>
      </c>
      <c r="E7">
        <v>78</v>
      </c>
      <c r="F7">
        <v>86.5</v>
      </c>
      <c r="G7">
        <v>67</v>
      </c>
      <c r="H7">
        <v>65</v>
      </c>
      <c r="I7">
        <v>68</v>
      </c>
      <c r="J7">
        <f t="shared" si="0"/>
        <v>364.5</v>
      </c>
      <c r="K7" s="4">
        <f t="shared" si="1"/>
        <v>72.9</v>
      </c>
      <c r="L7">
        <f t="shared" si="2"/>
        <v>367</v>
      </c>
      <c r="M7" t="str">
        <f t="shared" si="3"/>
        <v>及格</v>
      </c>
    </row>
    <row r="8" hidden="1" spans="1:13">
      <c r="A8">
        <v>10007</v>
      </c>
      <c r="B8" t="s">
        <v>28</v>
      </c>
      <c r="C8" t="s">
        <v>17</v>
      </c>
      <c r="D8" t="s">
        <v>20</v>
      </c>
      <c r="E8">
        <v>84</v>
      </c>
      <c r="F8">
        <v>70.5</v>
      </c>
      <c r="G8">
        <v>75</v>
      </c>
      <c r="H8">
        <v>73</v>
      </c>
      <c r="I8">
        <v>75</v>
      </c>
      <c r="J8">
        <f t="shared" si="0"/>
        <v>377.5</v>
      </c>
      <c r="K8" s="4">
        <f t="shared" si="1"/>
        <v>75.5</v>
      </c>
      <c r="L8">
        <f t="shared" si="2"/>
        <v>293</v>
      </c>
      <c r="M8" t="str">
        <f t="shared" si="3"/>
        <v>及格</v>
      </c>
    </row>
    <row r="9" hidden="1" spans="1:13">
      <c r="A9">
        <v>10008</v>
      </c>
      <c r="B9" t="s">
        <v>29</v>
      </c>
      <c r="C9" t="s">
        <v>17</v>
      </c>
      <c r="D9" t="s">
        <v>30</v>
      </c>
      <c r="E9">
        <v>86.5</v>
      </c>
      <c r="F9">
        <v>65</v>
      </c>
      <c r="G9">
        <v>62.5</v>
      </c>
      <c r="H9">
        <v>60.5</v>
      </c>
      <c r="I9">
        <v>58.5</v>
      </c>
      <c r="J9">
        <f t="shared" si="0"/>
        <v>333</v>
      </c>
      <c r="K9" s="4">
        <f t="shared" si="1"/>
        <v>66.6</v>
      </c>
      <c r="L9">
        <f t="shared" si="2"/>
        <v>479</v>
      </c>
      <c r="M9" t="str">
        <f t="shared" si="3"/>
        <v>及格</v>
      </c>
    </row>
    <row r="10" hidden="1" spans="1:13">
      <c r="A10">
        <v>10009</v>
      </c>
      <c r="B10" t="s">
        <v>31</v>
      </c>
      <c r="C10" t="s">
        <v>17</v>
      </c>
      <c r="D10" t="s">
        <v>23</v>
      </c>
      <c r="E10">
        <v>90.5</v>
      </c>
      <c r="F10">
        <v>88</v>
      </c>
      <c r="G10">
        <v>95</v>
      </c>
      <c r="H10">
        <v>90</v>
      </c>
      <c r="I10">
        <v>94.5</v>
      </c>
      <c r="J10">
        <f t="shared" si="0"/>
        <v>458</v>
      </c>
      <c r="K10" s="4">
        <f t="shared" si="1"/>
        <v>91.6</v>
      </c>
      <c r="L10">
        <f t="shared" si="2"/>
        <v>5</v>
      </c>
      <c r="M10" t="str">
        <f t="shared" si="3"/>
        <v>优秀</v>
      </c>
    </row>
    <row r="11" hidden="1" spans="1:13">
      <c r="A11">
        <v>10010</v>
      </c>
      <c r="B11" t="s">
        <v>32</v>
      </c>
      <c r="C11" t="s">
        <v>14</v>
      </c>
      <c r="D11" t="s">
        <v>15</v>
      </c>
      <c r="E11">
        <v>77</v>
      </c>
      <c r="F11">
        <v>90</v>
      </c>
      <c r="G11">
        <v>74.5</v>
      </c>
      <c r="H11">
        <v>72.5</v>
      </c>
      <c r="I11">
        <v>77.5</v>
      </c>
      <c r="J11">
        <f t="shared" si="0"/>
        <v>391.5</v>
      </c>
      <c r="K11" s="4">
        <f t="shared" si="1"/>
        <v>78.3</v>
      </c>
      <c r="L11">
        <f t="shared" si="2"/>
        <v>199</v>
      </c>
      <c r="M11" t="str">
        <f t="shared" si="3"/>
        <v>及格</v>
      </c>
    </row>
    <row r="12" hidden="1" spans="1:13">
      <c r="A12">
        <v>10011</v>
      </c>
      <c r="B12" t="s">
        <v>33</v>
      </c>
      <c r="C12" t="s">
        <v>14</v>
      </c>
      <c r="D12" t="s">
        <v>30</v>
      </c>
      <c r="E12">
        <v>73.5</v>
      </c>
      <c r="F12">
        <v>70</v>
      </c>
      <c r="G12">
        <v>80</v>
      </c>
      <c r="H12">
        <v>82.5</v>
      </c>
      <c r="I12">
        <v>84</v>
      </c>
      <c r="J12">
        <f t="shared" si="0"/>
        <v>390</v>
      </c>
      <c r="K12" s="4">
        <f t="shared" si="1"/>
        <v>78</v>
      </c>
      <c r="L12">
        <f t="shared" si="2"/>
        <v>209</v>
      </c>
      <c r="M12" t="str">
        <f t="shared" si="3"/>
        <v>及格</v>
      </c>
    </row>
    <row r="13" hidden="1" spans="1:13">
      <c r="A13">
        <v>10012</v>
      </c>
      <c r="B13" t="s">
        <v>34</v>
      </c>
      <c r="C13" t="s">
        <v>17</v>
      </c>
      <c r="D13" t="s">
        <v>23</v>
      </c>
      <c r="E13">
        <v>94</v>
      </c>
      <c r="F13">
        <v>90</v>
      </c>
      <c r="G13">
        <v>96</v>
      </c>
      <c r="H13">
        <v>83.5</v>
      </c>
      <c r="I13">
        <v>93</v>
      </c>
      <c r="J13">
        <f t="shared" si="0"/>
        <v>456.5</v>
      </c>
      <c r="K13" s="4">
        <f t="shared" si="1"/>
        <v>91.3</v>
      </c>
      <c r="L13">
        <f t="shared" si="2"/>
        <v>9</v>
      </c>
      <c r="M13" t="str">
        <f t="shared" si="3"/>
        <v>优秀</v>
      </c>
    </row>
    <row r="14" hidden="1" spans="1:13">
      <c r="A14">
        <v>10013</v>
      </c>
      <c r="B14" t="s">
        <v>35</v>
      </c>
      <c r="C14" t="s">
        <v>17</v>
      </c>
      <c r="D14" t="s">
        <v>20</v>
      </c>
      <c r="E14">
        <v>65</v>
      </c>
      <c r="F14">
        <v>64</v>
      </c>
      <c r="G14">
        <v>75.5</v>
      </c>
      <c r="H14">
        <v>73.5</v>
      </c>
      <c r="I14">
        <v>83.5</v>
      </c>
      <c r="J14">
        <f t="shared" si="0"/>
        <v>361.5</v>
      </c>
      <c r="K14" s="4">
        <f t="shared" si="1"/>
        <v>72.3</v>
      </c>
      <c r="L14">
        <f t="shared" si="2"/>
        <v>380</v>
      </c>
      <c r="M14" t="str">
        <f t="shared" si="3"/>
        <v>及格</v>
      </c>
    </row>
    <row r="15" hidden="1" spans="1:13">
      <c r="A15">
        <v>10014</v>
      </c>
      <c r="B15" t="s">
        <v>36</v>
      </c>
      <c r="C15" t="s">
        <v>17</v>
      </c>
      <c r="D15" t="s">
        <v>37</v>
      </c>
      <c r="E15">
        <v>67</v>
      </c>
      <c r="F15">
        <v>86</v>
      </c>
      <c r="G15">
        <v>70.5</v>
      </c>
      <c r="H15">
        <v>68.5</v>
      </c>
      <c r="I15">
        <v>62.5</v>
      </c>
      <c r="J15">
        <f t="shared" si="0"/>
        <v>354.5</v>
      </c>
      <c r="K15" s="4">
        <f t="shared" si="1"/>
        <v>70.9</v>
      </c>
      <c r="L15">
        <f t="shared" si="2"/>
        <v>402</v>
      </c>
      <c r="M15" t="str">
        <f t="shared" si="3"/>
        <v>及格</v>
      </c>
    </row>
    <row r="16" hidden="1" spans="1:13">
      <c r="A16">
        <v>10015</v>
      </c>
      <c r="B16" t="s">
        <v>38</v>
      </c>
      <c r="C16" t="s">
        <v>14</v>
      </c>
      <c r="D16" t="s">
        <v>15</v>
      </c>
      <c r="E16">
        <v>82.5</v>
      </c>
      <c r="F16">
        <v>72</v>
      </c>
      <c r="G16">
        <v>67.5</v>
      </c>
      <c r="H16">
        <v>65.5</v>
      </c>
      <c r="I16">
        <v>77.5</v>
      </c>
      <c r="J16">
        <f t="shared" si="0"/>
        <v>365</v>
      </c>
      <c r="K16" s="4">
        <f t="shared" si="1"/>
        <v>73</v>
      </c>
      <c r="L16">
        <f t="shared" si="2"/>
        <v>364</v>
      </c>
      <c r="M16" t="str">
        <f t="shared" si="3"/>
        <v>及格</v>
      </c>
    </row>
    <row r="17" hidden="1" spans="1:13">
      <c r="A17">
        <v>10016</v>
      </c>
      <c r="B17" t="s">
        <v>39</v>
      </c>
      <c r="C17" t="s">
        <v>17</v>
      </c>
      <c r="D17" t="s">
        <v>18</v>
      </c>
      <c r="E17">
        <v>89</v>
      </c>
      <c r="F17">
        <v>72</v>
      </c>
      <c r="G17">
        <v>79</v>
      </c>
      <c r="H17">
        <v>87</v>
      </c>
      <c r="I17">
        <v>97</v>
      </c>
      <c r="J17">
        <f t="shared" si="0"/>
        <v>424</v>
      </c>
      <c r="K17" s="4">
        <f t="shared" si="1"/>
        <v>84.8</v>
      </c>
      <c r="L17">
        <f t="shared" si="2"/>
        <v>40</v>
      </c>
      <c r="M17" t="str">
        <f t="shared" si="3"/>
        <v>及格</v>
      </c>
    </row>
    <row r="18" hidden="1" spans="1:13">
      <c r="A18">
        <v>10017</v>
      </c>
      <c r="B18" t="s">
        <v>40</v>
      </c>
      <c r="C18" t="s">
        <v>17</v>
      </c>
      <c r="D18" t="s">
        <v>30</v>
      </c>
      <c r="E18">
        <v>80</v>
      </c>
      <c r="F18">
        <v>90</v>
      </c>
      <c r="G18">
        <v>83</v>
      </c>
      <c r="H18">
        <v>81</v>
      </c>
      <c r="I18">
        <v>84</v>
      </c>
      <c r="J18">
        <f t="shared" si="0"/>
        <v>418</v>
      </c>
      <c r="K18" s="4">
        <f t="shared" si="1"/>
        <v>83.6</v>
      </c>
      <c r="L18">
        <f t="shared" si="2"/>
        <v>57</v>
      </c>
      <c r="M18" t="str">
        <f t="shared" si="3"/>
        <v>及格</v>
      </c>
    </row>
    <row r="19" hidden="1" spans="1:13">
      <c r="A19">
        <v>10018</v>
      </c>
      <c r="B19" t="s">
        <v>41</v>
      </c>
      <c r="C19" t="s">
        <v>14</v>
      </c>
      <c r="D19" t="s">
        <v>23</v>
      </c>
      <c r="E19">
        <v>73</v>
      </c>
      <c r="F19">
        <v>76</v>
      </c>
      <c r="G19">
        <v>56</v>
      </c>
      <c r="H19">
        <v>54</v>
      </c>
      <c r="I19">
        <v>73</v>
      </c>
      <c r="J19">
        <f t="shared" si="0"/>
        <v>332</v>
      </c>
      <c r="K19" s="4">
        <f t="shared" si="1"/>
        <v>66.4</v>
      </c>
      <c r="L19">
        <f t="shared" si="2"/>
        <v>481</v>
      </c>
      <c r="M19" t="str">
        <f t="shared" si="3"/>
        <v>及格</v>
      </c>
    </row>
    <row r="20" hidden="1" spans="1:13">
      <c r="A20">
        <v>10019</v>
      </c>
      <c r="B20" t="s">
        <v>42</v>
      </c>
      <c r="C20" t="s">
        <v>14</v>
      </c>
      <c r="D20" t="s">
        <v>30</v>
      </c>
      <c r="E20">
        <v>84</v>
      </c>
      <c r="F20">
        <v>73</v>
      </c>
      <c r="G20">
        <v>70</v>
      </c>
      <c r="H20">
        <v>76</v>
      </c>
      <c r="I20">
        <v>88</v>
      </c>
      <c r="J20">
        <f t="shared" si="0"/>
        <v>391</v>
      </c>
      <c r="K20" s="4">
        <f t="shared" si="1"/>
        <v>78.2</v>
      </c>
      <c r="L20">
        <f t="shared" si="2"/>
        <v>203</v>
      </c>
      <c r="M20" t="str">
        <f t="shared" si="3"/>
        <v>及格</v>
      </c>
    </row>
    <row r="21" hidden="1" spans="1:13">
      <c r="A21">
        <v>10020</v>
      </c>
      <c r="B21" t="s">
        <v>43</v>
      </c>
      <c r="C21" t="s">
        <v>17</v>
      </c>
      <c r="D21" t="s">
        <v>30</v>
      </c>
      <c r="E21">
        <v>71</v>
      </c>
      <c r="F21">
        <v>82.5</v>
      </c>
      <c r="G21">
        <v>89</v>
      </c>
      <c r="H21">
        <v>87</v>
      </c>
      <c r="I21">
        <v>79</v>
      </c>
      <c r="J21">
        <f t="shared" si="0"/>
        <v>408.5</v>
      </c>
      <c r="K21" s="4">
        <f t="shared" si="1"/>
        <v>81.7</v>
      </c>
      <c r="L21">
        <f t="shared" si="2"/>
        <v>112</v>
      </c>
      <c r="M21" t="str">
        <f t="shared" si="3"/>
        <v>及格</v>
      </c>
    </row>
    <row r="22" hidden="1" spans="1:13">
      <c r="A22">
        <v>10021</v>
      </c>
      <c r="B22" t="s">
        <v>44</v>
      </c>
      <c r="C22" t="s">
        <v>17</v>
      </c>
      <c r="D22" t="s">
        <v>20</v>
      </c>
      <c r="E22">
        <v>91</v>
      </c>
      <c r="F22">
        <v>68.5</v>
      </c>
      <c r="G22">
        <v>64.5</v>
      </c>
      <c r="H22">
        <v>62.5</v>
      </c>
      <c r="I22">
        <v>76.5</v>
      </c>
      <c r="J22">
        <f t="shared" si="0"/>
        <v>363</v>
      </c>
      <c r="K22" s="4">
        <f t="shared" si="1"/>
        <v>72.6</v>
      </c>
      <c r="L22">
        <f t="shared" si="2"/>
        <v>372</v>
      </c>
      <c r="M22" t="str">
        <f t="shared" si="3"/>
        <v>及格</v>
      </c>
    </row>
    <row r="23" hidden="1" spans="1:13">
      <c r="A23">
        <v>10022</v>
      </c>
      <c r="B23" t="s">
        <v>45</v>
      </c>
      <c r="C23" t="s">
        <v>17</v>
      </c>
      <c r="D23" t="s">
        <v>15</v>
      </c>
      <c r="E23">
        <v>78.5</v>
      </c>
      <c r="F23">
        <v>73</v>
      </c>
      <c r="G23">
        <v>83</v>
      </c>
      <c r="H23">
        <v>81</v>
      </c>
      <c r="I23">
        <v>73</v>
      </c>
      <c r="J23">
        <f t="shared" si="0"/>
        <v>388.5</v>
      </c>
      <c r="K23" s="4">
        <f t="shared" si="1"/>
        <v>77.7</v>
      </c>
      <c r="L23">
        <f t="shared" si="2"/>
        <v>216</v>
      </c>
      <c r="M23" t="str">
        <f t="shared" si="3"/>
        <v>及格</v>
      </c>
    </row>
    <row r="24" hidden="1" spans="1:13">
      <c r="A24">
        <v>10023</v>
      </c>
      <c r="B24" t="s">
        <v>46</v>
      </c>
      <c r="C24" t="s">
        <v>17</v>
      </c>
      <c r="D24" t="s">
        <v>18</v>
      </c>
      <c r="E24">
        <v>72.5</v>
      </c>
      <c r="F24">
        <v>74.5</v>
      </c>
      <c r="G24">
        <v>72.5</v>
      </c>
      <c r="H24">
        <v>70.5</v>
      </c>
      <c r="I24">
        <v>67</v>
      </c>
      <c r="J24">
        <f t="shared" si="0"/>
        <v>357</v>
      </c>
      <c r="K24" s="4">
        <f t="shared" si="1"/>
        <v>71.4</v>
      </c>
      <c r="L24">
        <f t="shared" si="2"/>
        <v>397</v>
      </c>
      <c r="M24" t="str">
        <f t="shared" si="3"/>
        <v>及格</v>
      </c>
    </row>
    <row r="25" hidden="1" spans="1:13">
      <c r="A25">
        <v>10024</v>
      </c>
      <c r="B25" t="s">
        <v>47</v>
      </c>
      <c r="C25" t="s">
        <v>17</v>
      </c>
      <c r="D25" t="s">
        <v>23</v>
      </c>
      <c r="E25">
        <v>78</v>
      </c>
      <c r="F25">
        <v>61.5</v>
      </c>
      <c r="G25">
        <v>66</v>
      </c>
      <c r="H25">
        <v>64</v>
      </c>
      <c r="I25">
        <v>69</v>
      </c>
      <c r="J25">
        <f t="shared" si="0"/>
        <v>338.5</v>
      </c>
      <c r="K25" s="4">
        <f t="shared" si="1"/>
        <v>67.7</v>
      </c>
      <c r="L25">
        <f t="shared" si="2"/>
        <v>458</v>
      </c>
      <c r="M25" t="str">
        <f t="shared" si="3"/>
        <v>及格</v>
      </c>
    </row>
    <row r="26" hidden="1" spans="1:13">
      <c r="A26">
        <v>10025</v>
      </c>
      <c r="B26" t="s">
        <v>48</v>
      </c>
      <c r="C26" t="s">
        <v>17</v>
      </c>
      <c r="D26" t="s">
        <v>30</v>
      </c>
      <c r="E26">
        <v>93</v>
      </c>
      <c r="F26">
        <v>86</v>
      </c>
      <c r="G26">
        <v>94.5</v>
      </c>
      <c r="H26">
        <v>92.5</v>
      </c>
      <c r="I26">
        <v>93</v>
      </c>
      <c r="J26">
        <f t="shared" si="0"/>
        <v>459</v>
      </c>
      <c r="K26" s="4">
        <f t="shared" si="1"/>
        <v>91.8</v>
      </c>
      <c r="L26">
        <f t="shared" si="2"/>
        <v>3</v>
      </c>
      <c r="M26" t="str">
        <f t="shared" si="3"/>
        <v>优秀</v>
      </c>
    </row>
    <row r="27" hidden="1" spans="1:13">
      <c r="A27">
        <v>10026</v>
      </c>
      <c r="B27" t="s">
        <v>49</v>
      </c>
      <c r="C27" t="s">
        <v>14</v>
      </c>
      <c r="D27" t="s">
        <v>23</v>
      </c>
      <c r="E27">
        <v>71.5</v>
      </c>
      <c r="F27">
        <v>88</v>
      </c>
      <c r="G27">
        <v>81</v>
      </c>
      <c r="H27">
        <v>85</v>
      </c>
      <c r="I27">
        <v>82.5</v>
      </c>
      <c r="J27">
        <f t="shared" si="0"/>
        <v>408</v>
      </c>
      <c r="K27" s="4">
        <f t="shared" si="1"/>
        <v>81.6</v>
      </c>
      <c r="L27">
        <f t="shared" si="2"/>
        <v>119</v>
      </c>
      <c r="M27" t="str">
        <f t="shared" si="3"/>
        <v>及格</v>
      </c>
    </row>
    <row r="28" hidden="1" spans="1:13">
      <c r="A28">
        <v>10027</v>
      </c>
      <c r="B28" t="s">
        <v>50</v>
      </c>
      <c r="C28" t="s">
        <v>17</v>
      </c>
      <c r="D28" t="s">
        <v>15</v>
      </c>
      <c r="E28">
        <v>63.5</v>
      </c>
      <c r="F28">
        <v>77.5</v>
      </c>
      <c r="G28">
        <v>84.5</v>
      </c>
      <c r="H28">
        <v>82.5</v>
      </c>
      <c r="I28">
        <v>80</v>
      </c>
      <c r="J28">
        <f t="shared" si="0"/>
        <v>388</v>
      </c>
      <c r="K28" s="4">
        <f t="shared" si="1"/>
        <v>77.6</v>
      </c>
      <c r="L28">
        <f t="shared" si="2"/>
        <v>220</v>
      </c>
      <c r="M28" t="str">
        <f t="shared" si="3"/>
        <v>及格</v>
      </c>
    </row>
    <row r="29" hidden="1" spans="1:13">
      <c r="A29">
        <v>10028</v>
      </c>
      <c r="B29" t="s">
        <v>51</v>
      </c>
      <c r="C29" t="s">
        <v>14</v>
      </c>
      <c r="D29" t="s">
        <v>20</v>
      </c>
      <c r="E29">
        <v>69</v>
      </c>
      <c r="F29">
        <v>68.5</v>
      </c>
      <c r="G29">
        <v>92</v>
      </c>
      <c r="H29">
        <v>90</v>
      </c>
      <c r="I29">
        <v>94.5</v>
      </c>
      <c r="J29">
        <f t="shared" si="0"/>
        <v>414</v>
      </c>
      <c r="K29" s="4">
        <f t="shared" si="1"/>
        <v>82.8</v>
      </c>
      <c r="L29">
        <f t="shared" si="2"/>
        <v>73</v>
      </c>
      <c r="M29" t="str">
        <f t="shared" si="3"/>
        <v>及格</v>
      </c>
    </row>
    <row r="30" hidden="1" spans="1:13">
      <c r="A30">
        <v>10029</v>
      </c>
      <c r="B30" t="s">
        <v>52</v>
      </c>
      <c r="C30" t="s">
        <v>17</v>
      </c>
      <c r="D30" t="s">
        <v>15</v>
      </c>
      <c r="E30">
        <v>52.5</v>
      </c>
      <c r="F30">
        <v>50</v>
      </c>
      <c r="G30">
        <v>64</v>
      </c>
      <c r="H30">
        <v>62</v>
      </c>
      <c r="I30">
        <v>60</v>
      </c>
      <c r="J30">
        <f t="shared" si="0"/>
        <v>288.5</v>
      </c>
      <c r="K30" s="4">
        <f t="shared" si="1"/>
        <v>57.7</v>
      </c>
      <c r="L30">
        <f t="shared" si="2"/>
        <v>501</v>
      </c>
      <c r="M30" t="str">
        <f t="shared" si="3"/>
        <v>不及格</v>
      </c>
    </row>
    <row r="31" hidden="1" spans="1:13">
      <c r="A31">
        <v>10030</v>
      </c>
      <c r="B31" t="s">
        <v>53</v>
      </c>
      <c r="C31" t="s">
        <v>14</v>
      </c>
      <c r="D31" t="s">
        <v>20</v>
      </c>
      <c r="E31">
        <v>69</v>
      </c>
      <c r="F31">
        <v>75</v>
      </c>
      <c r="G31">
        <v>89</v>
      </c>
      <c r="H31">
        <v>80</v>
      </c>
      <c r="I31">
        <v>75</v>
      </c>
      <c r="J31">
        <f t="shared" si="0"/>
        <v>388</v>
      </c>
      <c r="K31" s="4">
        <f t="shared" si="1"/>
        <v>77.6</v>
      </c>
      <c r="L31">
        <f t="shared" si="2"/>
        <v>220</v>
      </c>
      <c r="M31" t="str">
        <f t="shared" si="3"/>
        <v>及格</v>
      </c>
    </row>
    <row r="32" hidden="1" spans="1:13">
      <c r="A32">
        <v>10031</v>
      </c>
      <c r="B32" t="s">
        <v>54</v>
      </c>
      <c r="C32" t="s">
        <v>17</v>
      </c>
      <c r="D32" t="s">
        <v>37</v>
      </c>
      <c r="E32">
        <v>77.5</v>
      </c>
      <c r="F32">
        <v>75.5</v>
      </c>
      <c r="G32">
        <v>79</v>
      </c>
      <c r="H32">
        <v>77</v>
      </c>
      <c r="I32">
        <v>80</v>
      </c>
      <c r="J32">
        <f t="shared" si="0"/>
        <v>389</v>
      </c>
      <c r="K32" s="4">
        <f t="shared" si="1"/>
        <v>77.8</v>
      </c>
      <c r="L32">
        <f t="shared" si="2"/>
        <v>214</v>
      </c>
      <c r="M32" t="str">
        <f t="shared" si="3"/>
        <v>及格</v>
      </c>
    </row>
    <row r="33" hidden="1" spans="1:13">
      <c r="A33">
        <v>10032</v>
      </c>
      <c r="B33" t="s">
        <v>55</v>
      </c>
      <c r="C33" t="s">
        <v>17</v>
      </c>
      <c r="D33" t="s">
        <v>20</v>
      </c>
      <c r="E33">
        <v>77</v>
      </c>
      <c r="F33">
        <v>85.5</v>
      </c>
      <c r="G33">
        <v>63.5</v>
      </c>
      <c r="H33">
        <v>61.5</v>
      </c>
      <c r="I33">
        <v>72</v>
      </c>
      <c r="J33">
        <f t="shared" si="0"/>
        <v>359.5</v>
      </c>
      <c r="K33" s="4">
        <f t="shared" si="1"/>
        <v>71.9</v>
      </c>
      <c r="L33">
        <f t="shared" si="2"/>
        <v>389</v>
      </c>
      <c r="M33" t="str">
        <f t="shared" si="3"/>
        <v>及格</v>
      </c>
    </row>
    <row r="34" hidden="1" spans="1:13">
      <c r="A34">
        <v>10033</v>
      </c>
      <c r="B34" t="s">
        <v>56</v>
      </c>
      <c r="C34" t="s">
        <v>14</v>
      </c>
      <c r="D34" t="s">
        <v>20</v>
      </c>
      <c r="E34">
        <v>85</v>
      </c>
      <c r="F34">
        <v>95</v>
      </c>
      <c r="G34">
        <v>94</v>
      </c>
      <c r="H34">
        <v>86.5</v>
      </c>
      <c r="I34">
        <v>92</v>
      </c>
      <c r="J34">
        <f t="shared" si="0"/>
        <v>452.5</v>
      </c>
      <c r="K34" s="4">
        <f t="shared" si="1"/>
        <v>90.5</v>
      </c>
      <c r="L34">
        <f t="shared" si="2"/>
        <v>19</v>
      </c>
      <c r="M34" t="str">
        <f t="shared" si="3"/>
        <v>优秀</v>
      </c>
    </row>
    <row r="35" hidden="1" spans="1:13">
      <c r="A35">
        <v>10034</v>
      </c>
      <c r="B35" t="s">
        <v>57</v>
      </c>
      <c r="C35" t="s">
        <v>17</v>
      </c>
      <c r="D35" t="s">
        <v>20</v>
      </c>
      <c r="E35">
        <v>80</v>
      </c>
      <c r="F35">
        <v>76.5</v>
      </c>
      <c r="G35">
        <v>89.5</v>
      </c>
      <c r="H35">
        <v>87.5</v>
      </c>
      <c r="I35">
        <v>80</v>
      </c>
      <c r="J35">
        <f t="shared" si="0"/>
        <v>413.5</v>
      </c>
      <c r="K35" s="4">
        <f t="shared" si="1"/>
        <v>82.7</v>
      </c>
      <c r="L35">
        <f t="shared" si="2"/>
        <v>74</v>
      </c>
      <c r="M35" t="str">
        <f t="shared" si="3"/>
        <v>及格</v>
      </c>
    </row>
    <row r="36" hidden="1" spans="1:13">
      <c r="A36">
        <v>10035</v>
      </c>
      <c r="B36" t="s">
        <v>58</v>
      </c>
      <c r="C36" t="s">
        <v>17</v>
      </c>
      <c r="D36" t="s">
        <v>20</v>
      </c>
      <c r="E36">
        <v>65</v>
      </c>
      <c r="F36">
        <v>60</v>
      </c>
      <c r="G36">
        <v>50</v>
      </c>
      <c r="H36">
        <v>52.5</v>
      </c>
      <c r="I36">
        <v>62</v>
      </c>
      <c r="J36">
        <f t="shared" si="0"/>
        <v>289.5</v>
      </c>
      <c r="K36" s="4">
        <f t="shared" si="1"/>
        <v>57.9</v>
      </c>
      <c r="L36">
        <f t="shared" si="2"/>
        <v>500</v>
      </c>
      <c r="M36" t="str">
        <f t="shared" si="3"/>
        <v>不及格</v>
      </c>
    </row>
    <row r="37" hidden="1" spans="1:13">
      <c r="A37">
        <v>10036</v>
      </c>
      <c r="B37" t="s">
        <v>59</v>
      </c>
      <c r="C37" t="s">
        <v>17</v>
      </c>
      <c r="D37" t="s">
        <v>15</v>
      </c>
      <c r="E37">
        <v>93</v>
      </c>
      <c r="F37">
        <v>82</v>
      </c>
      <c r="G37">
        <v>97</v>
      </c>
      <c r="H37">
        <v>97</v>
      </c>
      <c r="I37">
        <v>92</v>
      </c>
      <c r="J37">
        <f t="shared" si="0"/>
        <v>461</v>
      </c>
      <c r="K37" s="4">
        <f t="shared" si="1"/>
        <v>92.2</v>
      </c>
      <c r="L37">
        <f t="shared" si="2"/>
        <v>1</v>
      </c>
      <c r="M37" t="str">
        <f t="shared" si="3"/>
        <v>优秀</v>
      </c>
    </row>
    <row r="38" hidden="1" spans="1:13">
      <c r="A38">
        <v>10037</v>
      </c>
      <c r="B38" t="s">
        <v>60</v>
      </c>
      <c r="C38" t="s">
        <v>17</v>
      </c>
      <c r="D38" t="s">
        <v>30</v>
      </c>
      <c r="E38">
        <v>76.5</v>
      </c>
      <c r="F38">
        <v>79.5</v>
      </c>
      <c r="G38">
        <v>68</v>
      </c>
      <c r="H38">
        <v>66</v>
      </c>
      <c r="I38">
        <v>71.5</v>
      </c>
      <c r="J38">
        <f t="shared" si="0"/>
        <v>361.5</v>
      </c>
      <c r="K38" s="4">
        <f t="shared" si="1"/>
        <v>72.3</v>
      </c>
      <c r="L38">
        <f t="shared" si="2"/>
        <v>380</v>
      </c>
      <c r="M38" t="str">
        <f t="shared" si="3"/>
        <v>及格</v>
      </c>
    </row>
    <row r="39" hidden="1" spans="1:13">
      <c r="A39">
        <v>10038</v>
      </c>
      <c r="B39" t="s">
        <v>61</v>
      </c>
      <c r="C39" t="s">
        <v>14</v>
      </c>
      <c r="D39" t="s">
        <v>30</v>
      </c>
      <c r="E39">
        <v>77</v>
      </c>
      <c r="F39">
        <v>77</v>
      </c>
      <c r="G39">
        <v>73</v>
      </c>
      <c r="H39">
        <v>71</v>
      </c>
      <c r="I39">
        <v>73</v>
      </c>
      <c r="J39">
        <f t="shared" si="0"/>
        <v>371</v>
      </c>
      <c r="K39" s="4">
        <f t="shared" si="1"/>
        <v>74.2</v>
      </c>
      <c r="L39">
        <f t="shared" si="2"/>
        <v>330</v>
      </c>
      <c r="M39" t="str">
        <f t="shared" si="3"/>
        <v>及格</v>
      </c>
    </row>
    <row r="40" hidden="1" spans="1:13">
      <c r="A40">
        <v>10039</v>
      </c>
      <c r="B40" t="s">
        <v>62</v>
      </c>
      <c r="C40" t="s">
        <v>17</v>
      </c>
      <c r="D40" t="s">
        <v>20</v>
      </c>
      <c r="E40">
        <v>85.5</v>
      </c>
      <c r="F40">
        <v>91.5</v>
      </c>
      <c r="G40">
        <v>56.5</v>
      </c>
      <c r="H40">
        <v>54.5</v>
      </c>
      <c r="I40">
        <v>76.5</v>
      </c>
      <c r="J40">
        <f t="shared" si="0"/>
        <v>364.5</v>
      </c>
      <c r="K40" s="4">
        <f t="shared" si="1"/>
        <v>72.9</v>
      </c>
      <c r="L40">
        <f t="shared" si="2"/>
        <v>367</v>
      </c>
      <c r="M40" t="str">
        <f t="shared" si="3"/>
        <v>及格</v>
      </c>
    </row>
    <row r="41" hidden="1" spans="1:13">
      <c r="A41">
        <v>10040</v>
      </c>
      <c r="B41" t="s">
        <v>63</v>
      </c>
      <c r="C41" t="s">
        <v>14</v>
      </c>
      <c r="D41" t="s">
        <v>18</v>
      </c>
      <c r="E41">
        <v>85.5</v>
      </c>
      <c r="F41">
        <v>66</v>
      </c>
      <c r="G41">
        <v>74</v>
      </c>
      <c r="H41">
        <v>72</v>
      </c>
      <c r="I41">
        <v>65.5</v>
      </c>
      <c r="J41">
        <f t="shared" si="0"/>
        <v>363</v>
      </c>
      <c r="K41" s="4">
        <f t="shared" si="1"/>
        <v>72.6</v>
      </c>
      <c r="L41">
        <f t="shared" si="2"/>
        <v>372</v>
      </c>
      <c r="M41" t="str">
        <f t="shared" si="3"/>
        <v>及格</v>
      </c>
    </row>
    <row r="42" hidden="1" spans="1:13">
      <c r="A42">
        <v>10041</v>
      </c>
      <c r="B42" t="s">
        <v>64</v>
      </c>
      <c r="C42" t="s">
        <v>14</v>
      </c>
      <c r="D42" t="s">
        <v>15</v>
      </c>
      <c r="E42">
        <v>73.5</v>
      </c>
      <c r="F42">
        <v>69</v>
      </c>
      <c r="G42">
        <v>88.5</v>
      </c>
      <c r="H42">
        <v>86.5</v>
      </c>
      <c r="I42">
        <v>74</v>
      </c>
      <c r="J42">
        <f t="shared" si="0"/>
        <v>391.5</v>
      </c>
      <c r="K42" s="4">
        <f t="shared" si="1"/>
        <v>78.3</v>
      </c>
      <c r="L42">
        <f t="shared" si="2"/>
        <v>199</v>
      </c>
      <c r="M42" t="str">
        <f t="shared" si="3"/>
        <v>及格</v>
      </c>
    </row>
    <row r="43" hidden="1" spans="1:13">
      <c r="A43">
        <v>10042</v>
      </c>
      <c r="B43" t="s">
        <v>65</v>
      </c>
      <c r="C43" t="s">
        <v>14</v>
      </c>
      <c r="D43" t="s">
        <v>18</v>
      </c>
      <c r="E43">
        <v>79.5</v>
      </c>
      <c r="F43">
        <v>81.5</v>
      </c>
      <c r="G43">
        <v>71.5</v>
      </c>
      <c r="H43">
        <v>69.5</v>
      </c>
      <c r="I43">
        <v>62</v>
      </c>
      <c r="J43">
        <f t="shared" si="0"/>
        <v>364</v>
      </c>
      <c r="K43" s="4">
        <f t="shared" si="1"/>
        <v>72.8</v>
      </c>
      <c r="L43">
        <f t="shared" si="2"/>
        <v>369</v>
      </c>
      <c r="M43" t="str">
        <f t="shared" si="3"/>
        <v>及格</v>
      </c>
    </row>
    <row r="44" hidden="1" spans="1:13">
      <c r="A44">
        <v>10043</v>
      </c>
      <c r="B44" t="s">
        <v>66</v>
      </c>
      <c r="C44" t="s">
        <v>14</v>
      </c>
      <c r="D44" t="s">
        <v>23</v>
      </c>
      <c r="E44">
        <v>80.5</v>
      </c>
      <c r="F44">
        <v>90</v>
      </c>
      <c r="G44">
        <v>63.5</v>
      </c>
      <c r="H44">
        <v>85</v>
      </c>
      <c r="I44">
        <v>92.5</v>
      </c>
      <c r="J44">
        <f t="shared" si="0"/>
        <v>411.5</v>
      </c>
      <c r="K44" s="4">
        <f t="shared" si="1"/>
        <v>82.3</v>
      </c>
      <c r="L44">
        <f t="shared" si="2"/>
        <v>84</v>
      </c>
      <c r="M44" t="str">
        <f t="shared" si="3"/>
        <v>及格</v>
      </c>
    </row>
    <row r="45" hidden="1" spans="1:13">
      <c r="A45">
        <v>10044</v>
      </c>
      <c r="B45" t="s">
        <v>67</v>
      </c>
      <c r="C45" t="s">
        <v>14</v>
      </c>
      <c r="D45" t="s">
        <v>20</v>
      </c>
      <c r="E45">
        <v>71.5</v>
      </c>
      <c r="F45">
        <v>60</v>
      </c>
      <c r="G45">
        <v>52</v>
      </c>
      <c r="H45">
        <v>50</v>
      </c>
      <c r="I45">
        <v>58</v>
      </c>
      <c r="J45">
        <f t="shared" si="0"/>
        <v>291.5</v>
      </c>
      <c r="K45" s="4">
        <f t="shared" si="1"/>
        <v>58.3</v>
      </c>
      <c r="L45">
        <f t="shared" si="2"/>
        <v>498</v>
      </c>
      <c r="M45" t="str">
        <f t="shared" si="3"/>
        <v>不及格</v>
      </c>
    </row>
    <row r="46" hidden="1" spans="1:13">
      <c r="A46">
        <v>10045</v>
      </c>
      <c r="B46" t="s">
        <v>68</v>
      </c>
      <c r="C46" t="s">
        <v>14</v>
      </c>
      <c r="D46" t="s">
        <v>37</v>
      </c>
      <c r="E46">
        <v>60.5</v>
      </c>
      <c r="F46">
        <v>80</v>
      </c>
      <c r="G46">
        <v>80.5</v>
      </c>
      <c r="H46">
        <v>78.5</v>
      </c>
      <c r="I46">
        <v>76</v>
      </c>
      <c r="J46">
        <f t="shared" si="0"/>
        <v>375.5</v>
      </c>
      <c r="K46" s="4">
        <f t="shared" si="1"/>
        <v>75.1</v>
      </c>
      <c r="L46">
        <f t="shared" si="2"/>
        <v>306</v>
      </c>
      <c r="M46" t="str">
        <f t="shared" si="3"/>
        <v>及格</v>
      </c>
    </row>
    <row r="47" hidden="1" spans="1:13">
      <c r="A47">
        <v>10046</v>
      </c>
      <c r="B47" t="s">
        <v>69</v>
      </c>
      <c r="C47" t="s">
        <v>17</v>
      </c>
      <c r="D47" t="s">
        <v>37</v>
      </c>
      <c r="E47">
        <v>92</v>
      </c>
      <c r="F47">
        <v>93</v>
      </c>
      <c r="G47">
        <v>92</v>
      </c>
      <c r="H47">
        <v>63.5</v>
      </c>
      <c r="I47">
        <v>65</v>
      </c>
      <c r="J47">
        <f t="shared" si="0"/>
        <v>405.5</v>
      </c>
      <c r="K47" s="4">
        <f t="shared" si="1"/>
        <v>81.1</v>
      </c>
      <c r="L47">
        <f t="shared" si="2"/>
        <v>145</v>
      </c>
      <c r="M47" t="str">
        <f t="shared" si="3"/>
        <v>及格</v>
      </c>
    </row>
    <row r="48" hidden="1" spans="1:13">
      <c r="A48">
        <v>10047</v>
      </c>
      <c r="B48" t="s">
        <v>70</v>
      </c>
      <c r="C48" t="s">
        <v>17</v>
      </c>
      <c r="D48" t="s">
        <v>23</v>
      </c>
      <c r="E48">
        <v>64.5</v>
      </c>
      <c r="F48">
        <v>66.5</v>
      </c>
      <c r="G48">
        <v>75.5</v>
      </c>
      <c r="H48">
        <v>73.5</v>
      </c>
      <c r="I48">
        <v>90</v>
      </c>
      <c r="J48">
        <f t="shared" si="0"/>
        <v>370</v>
      </c>
      <c r="K48" s="4">
        <f t="shared" si="1"/>
        <v>74</v>
      </c>
      <c r="L48">
        <f t="shared" si="2"/>
        <v>337</v>
      </c>
      <c r="M48" t="str">
        <f t="shared" si="3"/>
        <v>及格</v>
      </c>
    </row>
    <row r="49" hidden="1" spans="1:13">
      <c r="A49">
        <v>10048</v>
      </c>
      <c r="B49" t="s">
        <v>71</v>
      </c>
      <c r="C49" t="s">
        <v>14</v>
      </c>
      <c r="D49" t="s">
        <v>18</v>
      </c>
      <c r="E49">
        <v>65.5</v>
      </c>
      <c r="F49">
        <v>74</v>
      </c>
      <c r="G49">
        <v>69</v>
      </c>
      <c r="H49">
        <v>67</v>
      </c>
      <c r="I49">
        <v>70</v>
      </c>
      <c r="J49">
        <f t="shared" si="0"/>
        <v>345.5</v>
      </c>
      <c r="K49" s="4">
        <f t="shared" si="1"/>
        <v>69.1</v>
      </c>
      <c r="L49">
        <f t="shared" si="2"/>
        <v>414</v>
      </c>
      <c r="M49" t="str">
        <f t="shared" si="3"/>
        <v>及格</v>
      </c>
    </row>
    <row r="50" hidden="1" spans="1:13">
      <c r="A50">
        <v>10049</v>
      </c>
      <c r="B50" t="s">
        <v>72</v>
      </c>
      <c r="C50" t="s">
        <v>14</v>
      </c>
      <c r="D50" t="s">
        <v>37</v>
      </c>
      <c r="E50">
        <v>63.5</v>
      </c>
      <c r="F50">
        <v>83</v>
      </c>
      <c r="G50">
        <v>63.5</v>
      </c>
      <c r="H50">
        <v>61.5</v>
      </c>
      <c r="I50">
        <v>70</v>
      </c>
      <c r="J50">
        <f t="shared" si="0"/>
        <v>341.5</v>
      </c>
      <c r="K50" s="4">
        <f t="shared" si="1"/>
        <v>68.3</v>
      </c>
      <c r="L50">
        <f t="shared" si="2"/>
        <v>429</v>
      </c>
      <c r="M50" t="str">
        <f t="shared" si="3"/>
        <v>及格</v>
      </c>
    </row>
    <row r="51" hidden="1" spans="1:13">
      <c r="A51">
        <v>10050</v>
      </c>
      <c r="B51" t="s">
        <v>73</v>
      </c>
      <c r="C51" t="s">
        <v>17</v>
      </c>
      <c r="D51" t="s">
        <v>18</v>
      </c>
      <c r="E51">
        <v>78</v>
      </c>
      <c r="F51">
        <v>74</v>
      </c>
      <c r="G51">
        <v>78</v>
      </c>
      <c r="H51">
        <v>76</v>
      </c>
      <c r="I51">
        <v>74</v>
      </c>
      <c r="J51">
        <f t="shared" si="0"/>
        <v>380</v>
      </c>
      <c r="K51" s="4">
        <f t="shared" si="1"/>
        <v>76</v>
      </c>
      <c r="L51">
        <f t="shared" si="2"/>
        <v>273</v>
      </c>
      <c r="M51" t="str">
        <f t="shared" si="3"/>
        <v>及格</v>
      </c>
    </row>
    <row r="52" hidden="1" spans="1:13">
      <c r="A52">
        <v>10051</v>
      </c>
      <c r="B52" t="s">
        <v>74</v>
      </c>
      <c r="C52" t="s">
        <v>14</v>
      </c>
      <c r="D52" t="s">
        <v>18</v>
      </c>
      <c r="E52">
        <v>91</v>
      </c>
      <c r="F52">
        <v>86</v>
      </c>
      <c r="G52">
        <v>73</v>
      </c>
      <c r="H52">
        <v>71</v>
      </c>
      <c r="I52">
        <v>67.5</v>
      </c>
      <c r="J52">
        <f t="shared" si="0"/>
        <v>388.5</v>
      </c>
      <c r="K52" s="4">
        <f t="shared" si="1"/>
        <v>77.7</v>
      </c>
      <c r="L52">
        <f t="shared" si="2"/>
        <v>216</v>
      </c>
      <c r="M52" t="str">
        <f t="shared" si="3"/>
        <v>及格</v>
      </c>
    </row>
    <row r="53" hidden="1" spans="1:13">
      <c r="A53">
        <v>10052</v>
      </c>
      <c r="B53" t="s">
        <v>75</v>
      </c>
      <c r="C53" t="s">
        <v>17</v>
      </c>
      <c r="D53" t="s">
        <v>23</v>
      </c>
      <c r="E53">
        <v>77.5</v>
      </c>
      <c r="F53">
        <v>72.5</v>
      </c>
      <c r="G53">
        <v>73.5</v>
      </c>
      <c r="H53">
        <v>71.5</v>
      </c>
      <c r="I53">
        <v>65</v>
      </c>
      <c r="J53">
        <f t="shared" si="0"/>
        <v>360</v>
      </c>
      <c r="K53" s="4">
        <f t="shared" si="1"/>
        <v>72</v>
      </c>
      <c r="L53">
        <f t="shared" si="2"/>
        <v>387</v>
      </c>
      <c r="M53" t="str">
        <f t="shared" si="3"/>
        <v>及格</v>
      </c>
    </row>
    <row r="54" hidden="1" spans="1:13">
      <c r="A54">
        <v>10053</v>
      </c>
      <c r="B54" t="s">
        <v>76</v>
      </c>
      <c r="C54" t="s">
        <v>17</v>
      </c>
      <c r="D54" t="s">
        <v>15</v>
      </c>
      <c r="E54">
        <v>76</v>
      </c>
      <c r="F54">
        <v>71.5</v>
      </c>
      <c r="G54">
        <v>76</v>
      </c>
      <c r="H54">
        <v>74</v>
      </c>
      <c r="I54">
        <v>72</v>
      </c>
      <c r="J54">
        <f t="shared" si="0"/>
        <v>369.5</v>
      </c>
      <c r="K54" s="4">
        <f t="shared" si="1"/>
        <v>73.9</v>
      </c>
      <c r="L54">
        <f t="shared" si="2"/>
        <v>339</v>
      </c>
      <c r="M54" t="str">
        <f t="shared" si="3"/>
        <v>及格</v>
      </c>
    </row>
    <row r="55" hidden="1" spans="1:13">
      <c r="A55">
        <v>10054</v>
      </c>
      <c r="B55" t="s">
        <v>77</v>
      </c>
      <c r="C55" t="s">
        <v>17</v>
      </c>
      <c r="D55" t="s">
        <v>37</v>
      </c>
      <c r="E55">
        <v>96</v>
      </c>
      <c r="F55">
        <v>88</v>
      </c>
      <c r="G55">
        <v>93</v>
      </c>
      <c r="H55">
        <v>88</v>
      </c>
      <c r="I55">
        <v>92</v>
      </c>
      <c r="J55">
        <f t="shared" si="0"/>
        <v>457</v>
      </c>
      <c r="K55" s="4">
        <f t="shared" si="1"/>
        <v>91.4</v>
      </c>
      <c r="L55">
        <f t="shared" si="2"/>
        <v>7</v>
      </c>
      <c r="M55" t="str">
        <f t="shared" si="3"/>
        <v>优秀</v>
      </c>
    </row>
    <row r="56" hidden="1" spans="1:13">
      <c r="A56">
        <v>10055</v>
      </c>
      <c r="B56" t="s">
        <v>78</v>
      </c>
      <c r="C56" t="s">
        <v>14</v>
      </c>
      <c r="D56" t="s">
        <v>20</v>
      </c>
      <c r="E56">
        <v>81.5</v>
      </c>
      <c r="F56">
        <v>94</v>
      </c>
      <c r="G56">
        <v>94</v>
      </c>
      <c r="H56">
        <v>90</v>
      </c>
      <c r="I56">
        <v>95</v>
      </c>
      <c r="J56">
        <f t="shared" si="0"/>
        <v>454.5</v>
      </c>
      <c r="K56" s="4">
        <f t="shared" si="1"/>
        <v>90.9</v>
      </c>
      <c r="L56">
        <f t="shared" si="2"/>
        <v>13</v>
      </c>
      <c r="M56" t="str">
        <f t="shared" si="3"/>
        <v>优秀</v>
      </c>
    </row>
    <row r="57" hidden="1" spans="1:13">
      <c r="A57">
        <v>10056</v>
      </c>
      <c r="B57" t="s">
        <v>79</v>
      </c>
      <c r="C57" t="s">
        <v>17</v>
      </c>
      <c r="D57" t="s">
        <v>37</v>
      </c>
      <c r="E57">
        <v>79.5</v>
      </c>
      <c r="F57">
        <v>87.5</v>
      </c>
      <c r="G57">
        <v>74.5</v>
      </c>
      <c r="H57">
        <v>72.5</v>
      </c>
      <c r="I57">
        <v>75</v>
      </c>
      <c r="J57">
        <f t="shared" si="0"/>
        <v>389</v>
      </c>
      <c r="K57" s="4">
        <f t="shared" si="1"/>
        <v>77.8</v>
      </c>
      <c r="L57">
        <f t="shared" si="2"/>
        <v>214</v>
      </c>
      <c r="M57" t="str">
        <f t="shared" si="3"/>
        <v>及格</v>
      </c>
    </row>
    <row r="58" hidden="1" spans="1:13">
      <c r="A58">
        <v>10057</v>
      </c>
      <c r="B58" t="s">
        <v>80</v>
      </c>
      <c r="C58" t="s">
        <v>14</v>
      </c>
      <c r="D58" t="s">
        <v>15</v>
      </c>
      <c r="E58">
        <v>92.5</v>
      </c>
      <c r="F58">
        <v>82</v>
      </c>
      <c r="G58">
        <v>75</v>
      </c>
      <c r="H58">
        <v>73</v>
      </c>
      <c r="I58">
        <v>82</v>
      </c>
      <c r="J58">
        <f t="shared" si="0"/>
        <v>404.5</v>
      </c>
      <c r="K58" s="4">
        <f t="shared" si="1"/>
        <v>80.9</v>
      </c>
      <c r="L58">
        <f t="shared" si="2"/>
        <v>152</v>
      </c>
      <c r="M58" t="str">
        <f t="shared" si="3"/>
        <v>及格</v>
      </c>
    </row>
    <row r="59" spans="1:13">
      <c r="A59">
        <v>10058</v>
      </c>
      <c r="B59" t="s">
        <v>81</v>
      </c>
      <c r="C59" t="s">
        <v>17</v>
      </c>
      <c r="D59" t="s">
        <v>15</v>
      </c>
      <c r="E59">
        <v>93.5</v>
      </c>
      <c r="F59">
        <v>83</v>
      </c>
      <c r="G59">
        <v>73.5</v>
      </c>
      <c r="H59">
        <v>71.5</v>
      </c>
      <c r="I59">
        <v>91</v>
      </c>
      <c r="J59">
        <f t="shared" si="0"/>
        <v>412.5</v>
      </c>
      <c r="K59" s="4">
        <f t="shared" si="1"/>
        <v>82.5</v>
      </c>
      <c r="L59">
        <f t="shared" si="2"/>
        <v>81</v>
      </c>
      <c r="M59" t="str">
        <f t="shared" si="3"/>
        <v>及格</v>
      </c>
    </row>
    <row r="60" hidden="1" spans="1:13">
      <c r="A60">
        <v>10059</v>
      </c>
      <c r="B60" t="s">
        <v>82</v>
      </c>
      <c r="C60" t="s">
        <v>17</v>
      </c>
      <c r="D60" t="s">
        <v>18</v>
      </c>
      <c r="E60">
        <v>62</v>
      </c>
      <c r="F60">
        <v>75</v>
      </c>
      <c r="G60">
        <v>84.5</v>
      </c>
      <c r="H60">
        <v>82.5</v>
      </c>
      <c r="I60">
        <v>67.5</v>
      </c>
      <c r="J60">
        <f t="shared" si="0"/>
        <v>371.5</v>
      </c>
      <c r="K60" s="4">
        <f t="shared" si="1"/>
        <v>74.3</v>
      </c>
      <c r="L60">
        <f t="shared" si="2"/>
        <v>323</v>
      </c>
      <c r="M60" t="str">
        <f t="shared" si="3"/>
        <v>及格</v>
      </c>
    </row>
    <row r="61" hidden="1" spans="1:13">
      <c r="A61">
        <v>10060</v>
      </c>
      <c r="B61" t="s">
        <v>83</v>
      </c>
      <c r="C61" t="s">
        <v>17</v>
      </c>
      <c r="D61" t="s">
        <v>20</v>
      </c>
      <c r="E61">
        <v>96</v>
      </c>
      <c r="F61">
        <v>84</v>
      </c>
      <c r="G61">
        <v>98</v>
      </c>
      <c r="H61">
        <v>96</v>
      </c>
      <c r="I61">
        <v>69.5</v>
      </c>
      <c r="J61">
        <f t="shared" si="0"/>
        <v>443.5</v>
      </c>
      <c r="K61" s="4">
        <f t="shared" si="1"/>
        <v>88.7</v>
      </c>
      <c r="L61">
        <f t="shared" si="2"/>
        <v>27</v>
      </c>
      <c r="M61" t="str">
        <f t="shared" si="3"/>
        <v>优秀</v>
      </c>
    </row>
    <row r="62" hidden="1" spans="1:13">
      <c r="A62">
        <v>10061</v>
      </c>
      <c r="B62" t="s">
        <v>84</v>
      </c>
      <c r="C62" t="s">
        <v>14</v>
      </c>
      <c r="D62" t="s">
        <v>15</v>
      </c>
      <c r="E62">
        <v>79.5</v>
      </c>
      <c r="F62">
        <v>73</v>
      </c>
      <c r="G62">
        <v>79.5</v>
      </c>
      <c r="H62">
        <v>77.5</v>
      </c>
      <c r="I62">
        <v>70.5</v>
      </c>
      <c r="J62">
        <f t="shared" si="0"/>
        <v>380</v>
      </c>
      <c r="K62" s="4">
        <f t="shared" si="1"/>
        <v>76</v>
      </c>
      <c r="L62">
        <f t="shared" si="2"/>
        <v>273</v>
      </c>
      <c r="M62" t="str">
        <f t="shared" si="3"/>
        <v>及格</v>
      </c>
    </row>
    <row r="63" hidden="1" spans="1:13">
      <c r="A63">
        <v>10062</v>
      </c>
      <c r="B63" t="s">
        <v>85</v>
      </c>
      <c r="C63" t="s">
        <v>14</v>
      </c>
      <c r="D63" t="s">
        <v>23</v>
      </c>
      <c r="E63">
        <v>71</v>
      </c>
      <c r="F63">
        <v>60</v>
      </c>
      <c r="G63">
        <v>66.5</v>
      </c>
      <c r="H63">
        <v>64.5</v>
      </c>
      <c r="I63">
        <v>85</v>
      </c>
      <c r="J63">
        <f t="shared" si="0"/>
        <v>347</v>
      </c>
      <c r="K63" s="4">
        <f t="shared" si="1"/>
        <v>69.4</v>
      </c>
      <c r="L63">
        <f t="shared" si="2"/>
        <v>412</v>
      </c>
      <c r="M63" t="str">
        <f t="shared" si="3"/>
        <v>及格</v>
      </c>
    </row>
    <row r="64" hidden="1" spans="1:13">
      <c r="A64">
        <v>10063</v>
      </c>
      <c r="B64" t="s">
        <v>86</v>
      </c>
      <c r="C64" t="s">
        <v>14</v>
      </c>
      <c r="D64" t="s">
        <v>15</v>
      </c>
      <c r="E64">
        <v>64</v>
      </c>
      <c r="F64">
        <v>70.5</v>
      </c>
      <c r="G64">
        <v>62</v>
      </c>
      <c r="H64">
        <v>85</v>
      </c>
      <c r="I64">
        <v>60</v>
      </c>
      <c r="J64">
        <f t="shared" si="0"/>
        <v>341.5</v>
      </c>
      <c r="K64" s="4">
        <f t="shared" si="1"/>
        <v>68.3</v>
      </c>
      <c r="L64">
        <f t="shared" si="2"/>
        <v>429</v>
      </c>
      <c r="M64" t="str">
        <f t="shared" si="3"/>
        <v>及格</v>
      </c>
    </row>
    <row r="65" hidden="1" spans="1:13">
      <c r="A65">
        <v>10064</v>
      </c>
      <c r="B65" t="s">
        <v>87</v>
      </c>
      <c r="C65" t="s">
        <v>17</v>
      </c>
      <c r="D65" t="s">
        <v>23</v>
      </c>
      <c r="E65">
        <v>74</v>
      </c>
      <c r="F65">
        <v>85.5</v>
      </c>
      <c r="G65">
        <v>73.5</v>
      </c>
      <c r="H65">
        <v>71.5</v>
      </c>
      <c r="I65">
        <v>79</v>
      </c>
      <c r="J65">
        <f t="shared" si="0"/>
        <v>383.5</v>
      </c>
      <c r="K65" s="4">
        <f t="shared" si="1"/>
        <v>76.7</v>
      </c>
      <c r="L65">
        <f t="shared" si="2"/>
        <v>251</v>
      </c>
      <c r="M65" t="str">
        <f t="shared" si="3"/>
        <v>及格</v>
      </c>
    </row>
    <row r="66" hidden="1" spans="1:13">
      <c r="A66">
        <v>10065</v>
      </c>
      <c r="B66" t="s">
        <v>88</v>
      </c>
      <c r="C66" t="s">
        <v>17</v>
      </c>
      <c r="D66" t="s">
        <v>18</v>
      </c>
      <c r="E66">
        <v>82.5</v>
      </c>
      <c r="F66">
        <v>80</v>
      </c>
      <c r="G66">
        <v>92.5</v>
      </c>
      <c r="H66">
        <v>90.5</v>
      </c>
      <c r="I66">
        <v>73.5</v>
      </c>
      <c r="J66">
        <f t="shared" si="0"/>
        <v>419</v>
      </c>
      <c r="K66" s="4">
        <f t="shared" si="1"/>
        <v>83.8</v>
      </c>
      <c r="L66">
        <f t="shared" si="2"/>
        <v>52</v>
      </c>
      <c r="M66" t="str">
        <f t="shared" si="3"/>
        <v>及格</v>
      </c>
    </row>
    <row r="67" hidden="1" spans="1:13">
      <c r="A67">
        <v>10066</v>
      </c>
      <c r="B67" t="s">
        <v>89</v>
      </c>
      <c r="C67" t="s">
        <v>14</v>
      </c>
      <c r="D67" t="s">
        <v>37</v>
      </c>
      <c r="E67">
        <v>68</v>
      </c>
      <c r="F67">
        <v>81</v>
      </c>
      <c r="G67">
        <v>85.5</v>
      </c>
      <c r="H67">
        <v>83.5</v>
      </c>
      <c r="I67">
        <v>65.5</v>
      </c>
      <c r="J67">
        <f t="shared" ref="J67:J130" si="4">SUM(E67:I67)</f>
        <v>383.5</v>
      </c>
      <c r="K67" s="4">
        <f t="shared" ref="K67:K130" si="5">AVERAGE(E67:I67)</f>
        <v>76.7</v>
      </c>
      <c r="L67">
        <f t="shared" ref="L67:L130" si="6">RANK(K67,$K$2:$K$503)</f>
        <v>251</v>
      </c>
      <c r="M67" t="str">
        <f t="shared" ref="M67:M130" si="7">IF(K67&gt;=85,"优秀",IF(K67&gt;=60,"及格","不及格"))</f>
        <v>及格</v>
      </c>
    </row>
    <row r="68" hidden="1" spans="1:13">
      <c r="A68">
        <v>10067</v>
      </c>
      <c r="B68" t="s">
        <v>90</v>
      </c>
      <c r="C68" t="s">
        <v>17</v>
      </c>
      <c r="D68" t="s">
        <v>20</v>
      </c>
      <c r="E68">
        <v>71.5</v>
      </c>
      <c r="F68">
        <v>73</v>
      </c>
      <c r="G68">
        <v>77</v>
      </c>
      <c r="H68">
        <v>75</v>
      </c>
      <c r="I68">
        <v>78.5</v>
      </c>
      <c r="J68">
        <f t="shared" si="4"/>
        <v>375</v>
      </c>
      <c r="K68" s="4">
        <f t="shared" si="5"/>
        <v>75</v>
      </c>
      <c r="L68">
        <f t="shared" si="6"/>
        <v>312</v>
      </c>
      <c r="M68" t="str">
        <f t="shared" si="7"/>
        <v>及格</v>
      </c>
    </row>
    <row r="69" hidden="1" spans="1:13">
      <c r="A69">
        <v>10068</v>
      </c>
      <c r="B69" t="s">
        <v>91</v>
      </c>
      <c r="C69" t="s">
        <v>14</v>
      </c>
      <c r="D69" t="s">
        <v>18</v>
      </c>
      <c r="E69">
        <v>75.5</v>
      </c>
      <c r="F69">
        <v>65.5</v>
      </c>
      <c r="G69">
        <v>73.5</v>
      </c>
      <c r="H69">
        <v>71.5</v>
      </c>
      <c r="I69">
        <v>71.5</v>
      </c>
      <c r="J69">
        <f t="shared" si="4"/>
        <v>357.5</v>
      </c>
      <c r="K69" s="4">
        <f t="shared" si="5"/>
        <v>71.5</v>
      </c>
      <c r="L69">
        <f t="shared" si="6"/>
        <v>393</v>
      </c>
      <c r="M69" t="str">
        <f t="shared" si="7"/>
        <v>及格</v>
      </c>
    </row>
    <row r="70" hidden="1" spans="1:13">
      <c r="A70">
        <v>10069</v>
      </c>
      <c r="B70" t="s">
        <v>92</v>
      </c>
      <c r="C70" t="s">
        <v>17</v>
      </c>
      <c r="D70" t="s">
        <v>23</v>
      </c>
      <c r="E70">
        <v>79.5</v>
      </c>
      <c r="F70">
        <v>86</v>
      </c>
      <c r="G70">
        <v>85</v>
      </c>
      <c r="H70">
        <v>83</v>
      </c>
      <c r="I70">
        <v>61</v>
      </c>
      <c r="J70">
        <f t="shared" si="4"/>
        <v>394.5</v>
      </c>
      <c r="K70" s="4">
        <f t="shared" si="5"/>
        <v>78.9</v>
      </c>
      <c r="L70">
        <f t="shared" si="6"/>
        <v>189</v>
      </c>
      <c r="M70" t="str">
        <f t="shared" si="7"/>
        <v>及格</v>
      </c>
    </row>
    <row r="71" hidden="1" spans="1:13">
      <c r="A71">
        <v>10070</v>
      </c>
      <c r="B71" t="s">
        <v>93</v>
      </c>
      <c r="C71" t="s">
        <v>14</v>
      </c>
      <c r="D71" t="s">
        <v>20</v>
      </c>
      <c r="E71">
        <v>68.5</v>
      </c>
      <c r="F71">
        <v>63</v>
      </c>
      <c r="G71">
        <v>88</v>
      </c>
      <c r="H71">
        <v>86</v>
      </c>
      <c r="I71">
        <v>73</v>
      </c>
      <c r="J71">
        <f t="shared" si="4"/>
        <v>378.5</v>
      </c>
      <c r="K71" s="4">
        <f t="shared" si="5"/>
        <v>75.7</v>
      </c>
      <c r="L71">
        <f t="shared" si="6"/>
        <v>287</v>
      </c>
      <c r="M71" t="str">
        <f t="shared" si="7"/>
        <v>及格</v>
      </c>
    </row>
    <row r="72" hidden="1" spans="1:13">
      <c r="A72">
        <v>10071</v>
      </c>
      <c r="B72" t="s">
        <v>94</v>
      </c>
      <c r="C72" t="s">
        <v>17</v>
      </c>
      <c r="D72" t="s">
        <v>15</v>
      </c>
      <c r="E72">
        <v>56</v>
      </c>
      <c r="F72">
        <v>60.5</v>
      </c>
      <c r="G72">
        <v>54</v>
      </c>
      <c r="H72">
        <v>79</v>
      </c>
      <c r="I72">
        <v>76.5</v>
      </c>
      <c r="J72">
        <f t="shared" si="4"/>
        <v>326</v>
      </c>
      <c r="K72" s="4">
        <f t="shared" si="5"/>
        <v>65.2</v>
      </c>
      <c r="L72">
        <f t="shared" si="6"/>
        <v>485</v>
      </c>
      <c r="M72" t="str">
        <f t="shared" si="7"/>
        <v>及格</v>
      </c>
    </row>
    <row r="73" hidden="1" spans="1:13">
      <c r="A73">
        <v>10072</v>
      </c>
      <c r="B73" t="s">
        <v>95</v>
      </c>
      <c r="C73" t="s">
        <v>17</v>
      </c>
      <c r="D73" t="s">
        <v>23</v>
      </c>
      <c r="E73">
        <v>85.5</v>
      </c>
      <c r="F73">
        <v>94</v>
      </c>
      <c r="G73">
        <v>94</v>
      </c>
      <c r="H73">
        <v>75.5</v>
      </c>
      <c r="I73">
        <v>70</v>
      </c>
      <c r="J73">
        <f t="shared" si="4"/>
        <v>419</v>
      </c>
      <c r="K73" s="4">
        <f t="shared" si="5"/>
        <v>83.8</v>
      </c>
      <c r="L73">
        <f t="shared" si="6"/>
        <v>52</v>
      </c>
      <c r="M73" t="str">
        <f t="shared" si="7"/>
        <v>及格</v>
      </c>
    </row>
    <row r="74" hidden="1" spans="1:13">
      <c r="A74">
        <v>10073</v>
      </c>
      <c r="B74" t="s">
        <v>96</v>
      </c>
      <c r="C74" t="s">
        <v>14</v>
      </c>
      <c r="D74" t="s">
        <v>20</v>
      </c>
      <c r="E74">
        <v>82</v>
      </c>
      <c r="F74">
        <v>81</v>
      </c>
      <c r="G74">
        <v>62.5</v>
      </c>
      <c r="H74">
        <v>60.5</v>
      </c>
      <c r="I74">
        <v>92</v>
      </c>
      <c r="J74">
        <f t="shared" si="4"/>
        <v>378</v>
      </c>
      <c r="K74" s="4">
        <f t="shared" si="5"/>
        <v>75.6</v>
      </c>
      <c r="L74">
        <f t="shared" si="6"/>
        <v>291</v>
      </c>
      <c r="M74" t="str">
        <f t="shared" si="7"/>
        <v>及格</v>
      </c>
    </row>
    <row r="75" hidden="1" spans="1:13">
      <c r="A75">
        <v>10074</v>
      </c>
      <c r="B75" t="s">
        <v>97</v>
      </c>
      <c r="C75" t="s">
        <v>14</v>
      </c>
      <c r="D75" t="s">
        <v>23</v>
      </c>
      <c r="E75">
        <v>89</v>
      </c>
      <c r="F75">
        <v>72.5</v>
      </c>
      <c r="G75">
        <v>82.5</v>
      </c>
      <c r="H75">
        <v>80.5</v>
      </c>
      <c r="I75">
        <v>82</v>
      </c>
      <c r="J75">
        <f t="shared" si="4"/>
        <v>406.5</v>
      </c>
      <c r="K75" s="4">
        <f t="shared" si="5"/>
        <v>81.3</v>
      </c>
      <c r="L75">
        <f t="shared" si="6"/>
        <v>133</v>
      </c>
      <c r="M75" t="str">
        <f t="shared" si="7"/>
        <v>及格</v>
      </c>
    </row>
    <row r="76" hidden="1" spans="1:13">
      <c r="A76">
        <v>10075</v>
      </c>
      <c r="B76" t="s">
        <v>98</v>
      </c>
      <c r="C76" t="s">
        <v>17</v>
      </c>
      <c r="D76" t="s">
        <v>30</v>
      </c>
      <c r="E76">
        <v>70.5</v>
      </c>
      <c r="F76">
        <v>74</v>
      </c>
      <c r="G76">
        <v>74</v>
      </c>
      <c r="H76">
        <v>72</v>
      </c>
      <c r="I76">
        <v>77</v>
      </c>
      <c r="J76">
        <f t="shared" si="4"/>
        <v>367.5</v>
      </c>
      <c r="K76" s="4">
        <f t="shared" si="5"/>
        <v>73.5</v>
      </c>
      <c r="L76">
        <f t="shared" si="6"/>
        <v>354</v>
      </c>
      <c r="M76" t="str">
        <f t="shared" si="7"/>
        <v>及格</v>
      </c>
    </row>
    <row r="77" hidden="1" spans="1:13">
      <c r="A77">
        <v>10076</v>
      </c>
      <c r="B77" t="s">
        <v>99</v>
      </c>
      <c r="C77" t="s">
        <v>14</v>
      </c>
      <c r="D77" t="s">
        <v>37</v>
      </c>
      <c r="E77">
        <v>81</v>
      </c>
      <c r="F77">
        <v>83</v>
      </c>
      <c r="G77">
        <v>75.5</v>
      </c>
      <c r="H77">
        <v>73.5</v>
      </c>
      <c r="I77">
        <v>62.5</v>
      </c>
      <c r="J77">
        <f t="shared" si="4"/>
        <v>375.5</v>
      </c>
      <c r="K77" s="4">
        <f t="shared" si="5"/>
        <v>75.1</v>
      </c>
      <c r="L77">
        <f t="shared" si="6"/>
        <v>306</v>
      </c>
      <c r="M77" t="str">
        <f t="shared" si="7"/>
        <v>及格</v>
      </c>
    </row>
    <row r="78" hidden="1" spans="1:13">
      <c r="A78">
        <v>10077</v>
      </c>
      <c r="B78" t="s">
        <v>100</v>
      </c>
      <c r="C78" t="s">
        <v>17</v>
      </c>
      <c r="D78" t="s">
        <v>37</v>
      </c>
      <c r="E78">
        <v>71.5</v>
      </c>
      <c r="F78">
        <v>79.5</v>
      </c>
      <c r="G78">
        <v>75.5</v>
      </c>
      <c r="H78">
        <v>73.5</v>
      </c>
      <c r="I78">
        <v>87.5</v>
      </c>
      <c r="J78">
        <f t="shared" si="4"/>
        <v>387.5</v>
      </c>
      <c r="K78" s="4">
        <f t="shared" si="5"/>
        <v>77.5</v>
      </c>
      <c r="L78">
        <f t="shared" si="6"/>
        <v>227</v>
      </c>
      <c r="M78" t="str">
        <f t="shared" si="7"/>
        <v>及格</v>
      </c>
    </row>
    <row r="79" hidden="1" spans="1:13">
      <c r="A79">
        <v>10078</v>
      </c>
      <c r="B79" t="s">
        <v>101</v>
      </c>
      <c r="C79" t="s">
        <v>14</v>
      </c>
      <c r="D79" t="s">
        <v>30</v>
      </c>
      <c r="E79">
        <v>89</v>
      </c>
      <c r="F79">
        <v>75</v>
      </c>
      <c r="G79">
        <v>61</v>
      </c>
      <c r="H79">
        <v>59</v>
      </c>
      <c r="I79">
        <v>76.5</v>
      </c>
      <c r="J79">
        <f t="shared" si="4"/>
        <v>360.5</v>
      </c>
      <c r="K79" s="4">
        <f t="shared" si="5"/>
        <v>72.1</v>
      </c>
      <c r="L79">
        <f t="shared" si="6"/>
        <v>385</v>
      </c>
      <c r="M79" t="str">
        <f t="shared" si="7"/>
        <v>及格</v>
      </c>
    </row>
    <row r="80" hidden="1" spans="1:13">
      <c r="A80">
        <v>10079</v>
      </c>
      <c r="B80" t="s">
        <v>102</v>
      </c>
      <c r="C80" t="s">
        <v>17</v>
      </c>
      <c r="D80" t="s">
        <v>15</v>
      </c>
      <c r="E80">
        <v>74</v>
      </c>
      <c r="F80">
        <v>85</v>
      </c>
      <c r="G80">
        <v>73</v>
      </c>
      <c r="H80">
        <v>71</v>
      </c>
      <c r="I80">
        <v>88</v>
      </c>
      <c r="J80">
        <f t="shared" si="4"/>
        <v>391</v>
      </c>
      <c r="K80" s="4">
        <f t="shared" si="5"/>
        <v>78.2</v>
      </c>
      <c r="L80">
        <f t="shared" si="6"/>
        <v>203</v>
      </c>
      <c r="M80" t="str">
        <f t="shared" si="7"/>
        <v>及格</v>
      </c>
    </row>
    <row r="81" hidden="1" spans="1:13">
      <c r="A81">
        <v>10080</v>
      </c>
      <c r="B81" t="s">
        <v>103</v>
      </c>
      <c r="C81" t="s">
        <v>17</v>
      </c>
      <c r="D81" t="s">
        <v>30</v>
      </c>
      <c r="E81">
        <v>87</v>
      </c>
      <c r="F81">
        <v>80</v>
      </c>
      <c r="G81">
        <v>82</v>
      </c>
      <c r="H81">
        <v>72</v>
      </c>
      <c r="I81">
        <v>84</v>
      </c>
      <c r="J81">
        <f t="shared" si="4"/>
        <v>405</v>
      </c>
      <c r="K81" s="4">
        <f t="shared" si="5"/>
        <v>81</v>
      </c>
      <c r="L81">
        <f t="shared" si="6"/>
        <v>148</v>
      </c>
      <c r="M81" t="str">
        <f t="shared" si="7"/>
        <v>及格</v>
      </c>
    </row>
    <row r="82" hidden="1" spans="1:13">
      <c r="A82">
        <v>10081</v>
      </c>
      <c r="B82" t="s">
        <v>104</v>
      </c>
      <c r="C82" t="s">
        <v>17</v>
      </c>
      <c r="D82" t="s">
        <v>37</v>
      </c>
      <c r="E82">
        <v>87.5</v>
      </c>
      <c r="F82">
        <v>73</v>
      </c>
      <c r="G82">
        <v>91</v>
      </c>
      <c r="H82">
        <v>89</v>
      </c>
      <c r="I82">
        <v>69.5</v>
      </c>
      <c r="J82">
        <f t="shared" si="4"/>
        <v>410</v>
      </c>
      <c r="K82" s="4">
        <f t="shared" si="5"/>
        <v>82</v>
      </c>
      <c r="L82">
        <f t="shared" si="6"/>
        <v>99</v>
      </c>
      <c r="M82" t="str">
        <f t="shared" si="7"/>
        <v>及格</v>
      </c>
    </row>
    <row r="83" hidden="1" spans="1:13">
      <c r="A83">
        <v>10082</v>
      </c>
      <c r="B83" t="s">
        <v>105</v>
      </c>
      <c r="C83" t="s">
        <v>17</v>
      </c>
      <c r="D83" t="s">
        <v>20</v>
      </c>
      <c r="E83">
        <v>81</v>
      </c>
      <c r="F83">
        <v>91.5</v>
      </c>
      <c r="G83">
        <v>97</v>
      </c>
      <c r="H83">
        <v>95</v>
      </c>
      <c r="I83">
        <v>92</v>
      </c>
      <c r="J83">
        <f t="shared" si="4"/>
        <v>456.5</v>
      </c>
      <c r="K83" s="4">
        <f t="shared" si="5"/>
        <v>91.3</v>
      </c>
      <c r="L83">
        <f t="shared" si="6"/>
        <v>9</v>
      </c>
      <c r="M83" t="str">
        <f t="shared" si="7"/>
        <v>优秀</v>
      </c>
    </row>
    <row r="84" hidden="1" spans="1:13">
      <c r="A84">
        <v>10083</v>
      </c>
      <c r="B84" t="s">
        <v>106</v>
      </c>
      <c r="C84" t="s">
        <v>17</v>
      </c>
      <c r="D84" t="s">
        <v>18</v>
      </c>
      <c r="E84">
        <v>83</v>
      </c>
      <c r="F84">
        <v>80</v>
      </c>
      <c r="G84">
        <v>72.5</v>
      </c>
      <c r="H84">
        <v>82</v>
      </c>
      <c r="I84">
        <v>93.5</v>
      </c>
      <c r="J84">
        <f t="shared" si="4"/>
        <v>411</v>
      </c>
      <c r="K84" s="4">
        <f t="shared" si="5"/>
        <v>82.2</v>
      </c>
      <c r="L84">
        <f t="shared" si="6"/>
        <v>89</v>
      </c>
      <c r="M84" t="str">
        <f t="shared" si="7"/>
        <v>及格</v>
      </c>
    </row>
    <row r="85" hidden="1" spans="1:13">
      <c r="A85">
        <v>10084</v>
      </c>
      <c r="B85" t="s">
        <v>107</v>
      </c>
      <c r="C85" t="s">
        <v>17</v>
      </c>
      <c r="D85" t="s">
        <v>15</v>
      </c>
      <c r="E85">
        <v>58.5</v>
      </c>
      <c r="F85">
        <v>82</v>
      </c>
      <c r="G85">
        <v>70</v>
      </c>
      <c r="H85">
        <v>60</v>
      </c>
      <c r="I85">
        <v>64.5</v>
      </c>
      <c r="J85">
        <f t="shared" si="4"/>
        <v>335</v>
      </c>
      <c r="K85" s="4">
        <f t="shared" si="5"/>
        <v>67</v>
      </c>
      <c r="L85">
        <f t="shared" si="6"/>
        <v>471</v>
      </c>
      <c r="M85" t="str">
        <f t="shared" si="7"/>
        <v>及格</v>
      </c>
    </row>
    <row r="86" hidden="1" spans="1:13">
      <c r="A86">
        <v>10085</v>
      </c>
      <c r="B86" t="s">
        <v>108</v>
      </c>
      <c r="C86" t="s">
        <v>14</v>
      </c>
      <c r="D86" t="s">
        <v>30</v>
      </c>
      <c r="E86">
        <v>81</v>
      </c>
      <c r="F86">
        <v>74.5</v>
      </c>
      <c r="G86">
        <v>75</v>
      </c>
      <c r="H86">
        <v>88</v>
      </c>
      <c r="I86">
        <v>90</v>
      </c>
      <c r="J86">
        <f t="shared" si="4"/>
        <v>408.5</v>
      </c>
      <c r="K86" s="4">
        <f t="shared" si="5"/>
        <v>81.7</v>
      </c>
      <c r="L86">
        <f t="shared" si="6"/>
        <v>112</v>
      </c>
      <c r="M86" t="str">
        <f t="shared" si="7"/>
        <v>及格</v>
      </c>
    </row>
    <row r="87" hidden="1" spans="1:13">
      <c r="A87">
        <v>10086</v>
      </c>
      <c r="B87" t="s">
        <v>109</v>
      </c>
      <c r="C87" t="s">
        <v>14</v>
      </c>
      <c r="D87" t="s">
        <v>20</v>
      </c>
      <c r="E87">
        <v>93</v>
      </c>
      <c r="F87">
        <v>88</v>
      </c>
      <c r="G87">
        <v>98</v>
      </c>
      <c r="H87">
        <v>85</v>
      </c>
      <c r="I87">
        <v>94</v>
      </c>
      <c r="J87">
        <f t="shared" si="4"/>
        <v>458</v>
      </c>
      <c r="K87" s="4">
        <f t="shared" si="5"/>
        <v>91.6</v>
      </c>
      <c r="L87">
        <f t="shared" si="6"/>
        <v>5</v>
      </c>
      <c r="M87" t="str">
        <f t="shared" si="7"/>
        <v>优秀</v>
      </c>
    </row>
    <row r="88" hidden="1" spans="1:13">
      <c r="A88">
        <v>10087</v>
      </c>
      <c r="B88" t="s">
        <v>110</v>
      </c>
      <c r="C88" t="s">
        <v>17</v>
      </c>
      <c r="D88" t="s">
        <v>37</v>
      </c>
      <c r="E88">
        <v>88</v>
      </c>
      <c r="F88">
        <v>81.5</v>
      </c>
      <c r="G88">
        <v>83</v>
      </c>
      <c r="H88">
        <v>81</v>
      </c>
      <c r="I88">
        <v>73.5</v>
      </c>
      <c r="J88">
        <f t="shared" si="4"/>
        <v>407</v>
      </c>
      <c r="K88" s="4">
        <f t="shared" si="5"/>
        <v>81.4</v>
      </c>
      <c r="L88">
        <f t="shared" si="6"/>
        <v>129</v>
      </c>
      <c r="M88" t="str">
        <f t="shared" si="7"/>
        <v>及格</v>
      </c>
    </row>
    <row r="89" hidden="1" spans="1:13">
      <c r="A89">
        <v>10088</v>
      </c>
      <c r="B89" t="s">
        <v>111</v>
      </c>
      <c r="C89" t="s">
        <v>14</v>
      </c>
      <c r="D89" t="s">
        <v>15</v>
      </c>
      <c r="E89">
        <v>81.5</v>
      </c>
      <c r="F89">
        <v>76.5</v>
      </c>
      <c r="G89">
        <v>72</v>
      </c>
      <c r="H89">
        <v>70</v>
      </c>
      <c r="I89">
        <v>82.5</v>
      </c>
      <c r="J89">
        <f t="shared" si="4"/>
        <v>382.5</v>
      </c>
      <c r="K89" s="4">
        <f t="shared" si="5"/>
        <v>76.5</v>
      </c>
      <c r="L89">
        <f t="shared" si="6"/>
        <v>258</v>
      </c>
      <c r="M89" t="str">
        <f t="shared" si="7"/>
        <v>及格</v>
      </c>
    </row>
    <row r="90" hidden="1" spans="1:13">
      <c r="A90">
        <v>10089</v>
      </c>
      <c r="B90" t="s">
        <v>112</v>
      </c>
      <c r="C90" t="s">
        <v>17</v>
      </c>
      <c r="D90" t="s">
        <v>15</v>
      </c>
      <c r="E90">
        <v>80</v>
      </c>
      <c r="F90">
        <v>85</v>
      </c>
      <c r="G90">
        <v>97</v>
      </c>
      <c r="H90">
        <v>98</v>
      </c>
      <c r="I90">
        <v>95</v>
      </c>
      <c r="J90">
        <f t="shared" si="4"/>
        <v>455</v>
      </c>
      <c r="K90" s="4">
        <f t="shared" si="5"/>
        <v>91</v>
      </c>
      <c r="L90">
        <f t="shared" si="6"/>
        <v>11</v>
      </c>
      <c r="M90" t="str">
        <f t="shared" si="7"/>
        <v>优秀</v>
      </c>
    </row>
    <row r="91" hidden="1" spans="1:13">
      <c r="A91">
        <v>10090</v>
      </c>
      <c r="B91" t="s">
        <v>113</v>
      </c>
      <c r="C91" t="s">
        <v>14</v>
      </c>
      <c r="D91" t="s">
        <v>23</v>
      </c>
      <c r="E91">
        <v>76.5</v>
      </c>
      <c r="F91">
        <v>76</v>
      </c>
      <c r="G91">
        <v>87</v>
      </c>
      <c r="H91">
        <v>87</v>
      </c>
      <c r="I91">
        <v>82</v>
      </c>
      <c r="J91">
        <f t="shared" si="4"/>
        <v>408.5</v>
      </c>
      <c r="K91" s="4">
        <f t="shared" si="5"/>
        <v>81.7</v>
      </c>
      <c r="L91">
        <f t="shared" si="6"/>
        <v>112</v>
      </c>
      <c r="M91" t="str">
        <f t="shared" si="7"/>
        <v>及格</v>
      </c>
    </row>
    <row r="92" hidden="1" spans="1:13">
      <c r="A92">
        <v>10091</v>
      </c>
      <c r="B92" t="s">
        <v>114</v>
      </c>
      <c r="C92" t="s">
        <v>17</v>
      </c>
      <c r="D92" t="s">
        <v>20</v>
      </c>
      <c r="E92">
        <v>66</v>
      </c>
      <c r="F92">
        <v>69.5</v>
      </c>
      <c r="G92">
        <v>79.5</v>
      </c>
      <c r="H92">
        <v>77.5</v>
      </c>
      <c r="I92">
        <v>83</v>
      </c>
      <c r="J92">
        <f t="shared" si="4"/>
        <v>375.5</v>
      </c>
      <c r="K92" s="4">
        <f t="shared" si="5"/>
        <v>75.1</v>
      </c>
      <c r="L92">
        <f t="shared" si="6"/>
        <v>306</v>
      </c>
      <c r="M92" t="str">
        <f t="shared" si="7"/>
        <v>及格</v>
      </c>
    </row>
    <row r="93" hidden="1" spans="1:13">
      <c r="A93">
        <v>10092</v>
      </c>
      <c r="B93" t="s">
        <v>115</v>
      </c>
      <c r="C93" t="s">
        <v>14</v>
      </c>
      <c r="D93" t="s">
        <v>18</v>
      </c>
      <c r="E93">
        <v>91</v>
      </c>
      <c r="F93">
        <v>83.5</v>
      </c>
      <c r="G93">
        <v>82.5</v>
      </c>
      <c r="H93">
        <v>80.5</v>
      </c>
      <c r="I93">
        <v>84</v>
      </c>
      <c r="J93">
        <f t="shared" si="4"/>
        <v>421.5</v>
      </c>
      <c r="K93" s="4">
        <f t="shared" si="5"/>
        <v>84.3</v>
      </c>
      <c r="L93">
        <f t="shared" si="6"/>
        <v>47</v>
      </c>
      <c r="M93" t="str">
        <f t="shared" si="7"/>
        <v>及格</v>
      </c>
    </row>
    <row r="94" hidden="1" spans="1:13">
      <c r="A94">
        <v>10093</v>
      </c>
      <c r="B94" t="s">
        <v>116</v>
      </c>
      <c r="C94" t="s">
        <v>14</v>
      </c>
      <c r="D94" t="s">
        <v>30</v>
      </c>
      <c r="E94">
        <v>72</v>
      </c>
      <c r="F94">
        <v>94.5</v>
      </c>
      <c r="G94">
        <v>70.5</v>
      </c>
      <c r="H94">
        <v>68.5</v>
      </c>
      <c r="I94">
        <v>84.5</v>
      </c>
      <c r="J94">
        <f t="shared" si="4"/>
        <v>390</v>
      </c>
      <c r="K94" s="4">
        <f t="shared" si="5"/>
        <v>78</v>
      </c>
      <c r="L94">
        <f t="shared" si="6"/>
        <v>209</v>
      </c>
      <c r="M94" t="str">
        <f t="shared" si="7"/>
        <v>及格</v>
      </c>
    </row>
    <row r="95" hidden="1" spans="1:13">
      <c r="A95">
        <v>10094</v>
      </c>
      <c r="B95" t="s">
        <v>117</v>
      </c>
      <c r="C95" t="s">
        <v>17</v>
      </c>
      <c r="D95" t="s">
        <v>15</v>
      </c>
      <c r="E95">
        <v>74.5</v>
      </c>
      <c r="F95">
        <v>80.5</v>
      </c>
      <c r="G95">
        <v>81</v>
      </c>
      <c r="H95">
        <v>79</v>
      </c>
      <c r="I95">
        <v>75</v>
      </c>
      <c r="J95">
        <f t="shared" si="4"/>
        <v>390</v>
      </c>
      <c r="K95" s="4">
        <f t="shared" si="5"/>
        <v>78</v>
      </c>
      <c r="L95">
        <f t="shared" si="6"/>
        <v>209</v>
      </c>
      <c r="M95" t="str">
        <f t="shared" si="7"/>
        <v>及格</v>
      </c>
    </row>
    <row r="96" hidden="1" spans="1:13">
      <c r="A96">
        <v>10095</v>
      </c>
      <c r="B96" t="s">
        <v>118</v>
      </c>
      <c r="C96" t="s">
        <v>17</v>
      </c>
      <c r="D96" t="s">
        <v>20</v>
      </c>
      <c r="E96">
        <v>76.5</v>
      </c>
      <c r="F96">
        <v>62.5</v>
      </c>
      <c r="G96">
        <v>79.5</v>
      </c>
      <c r="H96">
        <v>77.5</v>
      </c>
      <c r="I96">
        <v>83</v>
      </c>
      <c r="J96">
        <f t="shared" si="4"/>
        <v>379</v>
      </c>
      <c r="K96" s="4">
        <f t="shared" si="5"/>
        <v>75.8</v>
      </c>
      <c r="L96">
        <f t="shared" si="6"/>
        <v>282</v>
      </c>
      <c r="M96" t="str">
        <f t="shared" si="7"/>
        <v>及格</v>
      </c>
    </row>
    <row r="97" hidden="1" spans="1:13">
      <c r="A97">
        <v>10096</v>
      </c>
      <c r="B97" t="s">
        <v>119</v>
      </c>
      <c r="C97" t="s">
        <v>14</v>
      </c>
      <c r="D97" t="s">
        <v>37</v>
      </c>
      <c r="E97">
        <v>81.5</v>
      </c>
      <c r="F97">
        <v>74</v>
      </c>
      <c r="G97">
        <v>71</v>
      </c>
      <c r="H97">
        <v>69</v>
      </c>
      <c r="I97">
        <v>64</v>
      </c>
      <c r="J97">
        <f t="shared" si="4"/>
        <v>359.5</v>
      </c>
      <c r="K97" s="4">
        <f t="shared" si="5"/>
        <v>71.9</v>
      </c>
      <c r="L97">
        <f t="shared" si="6"/>
        <v>389</v>
      </c>
      <c r="M97" t="str">
        <f t="shared" si="7"/>
        <v>及格</v>
      </c>
    </row>
    <row r="98" hidden="1" spans="1:13">
      <c r="A98">
        <v>10097</v>
      </c>
      <c r="B98" t="s">
        <v>120</v>
      </c>
      <c r="C98" t="s">
        <v>14</v>
      </c>
      <c r="D98" t="s">
        <v>18</v>
      </c>
      <c r="E98">
        <v>75.5</v>
      </c>
      <c r="F98">
        <v>74</v>
      </c>
      <c r="G98">
        <v>76</v>
      </c>
      <c r="H98">
        <v>74</v>
      </c>
      <c r="I98">
        <v>73.5</v>
      </c>
      <c r="J98">
        <f t="shared" si="4"/>
        <v>373</v>
      </c>
      <c r="K98" s="4">
        <f t="shared" si="5"/>
        <v>74.6</v>
      </c>
      <c r="L98">
        <f t="shared" si="6"/>
        <v>318</v>
      </c>
      <c r="M98" t="str">
        <f t="shared" si="7"/>
        <v>及格</v>
      </c>
    </row>
    <row r="99" hidden="1" spans="1:13">
      <c r="A99">
        <v>10098</v>
      </c>
      <c r="B99" t="s">
        <v>121</v>
      </c>
      <c r="C99" t="s">
        <v>14</v>
      </c>
      <c r="D99" t="s">
        <v>23</v>
      </c>
      <c r="E99">
        <v>67.5</v>
      </c>
      <c r="F99">
        <v>82</v>
      </c>
      <c r="G99">
        <v>95.5</v>
      </c>
      <c r="H99">
        <v>93.5</v>
      </c>
      <c r="I99">
        <v>75</v>
      </c>
      <c r="J99">
        <f t="shared" si="4"/>
        <v>413.5</v>
      </c>
      <c r="K99" s="4">
        <f t="shared" si="5"/>
        <v>82.7</v>
      </c>
      <c r="L99">
        <f t="shared" si="6"/>
        <v>74</v>
      </c>
      <c r="M99" t="str">
        <f t="shared" si="7"/>
        <v>及格</v>
      </c>
    </row>
    <row r="100" hidden="1" spans="1:13">
      <c r="A100">
        <v>10099</v>
      </c>
      <c r="B100" t="s">
        <v>122</v>
      </c>
      <c r="C100" t="s">
        <v>17</v>
      </c>
      <c r="D100" t="s">
        <v>37</v>
      </c>
      <c r="E100">
        <v>81</v>
      </c>
      <c r="F100">
        <v>85</v>
      </c>
      <c r="G100">
        <v>79.5</v>
      </c>
      <c r="H100">
        <v>77.5</v>
      </c>
      <c r="I100">
        <v>83</v>
      </c>
      <c r="J100">
        <f t="shared" si="4"/>
        <v>406</v>
      </c>
      <c r="K100" s="4">
        <f t="shared" si="5"/>
        <v>81.2</v>
      </c>
      <c r="L100">
        <f t="shared" si="6"/>
        <v>138</v>
      </c>
      <c r="M100" t="str">
        <f t="shared" si="7"/>
        <v>及格</v>
      </c>
    </row>
    <row r="101" hidden="1" spans="1:13">
      <c r="A101">
        <v>10100</v>
      </c>
      <c r="B101" t="s">
        <v>123</v>
      </c>
      <c r="C101" t="s">
        <v>17</v>
      </c>
      <c r="D101" t="s">
        <v>37</v>
      </c>
      <c r="E101">
        <v>63</v>
      </c>
      <c r="F101">
        <v>79.5</v>
      </c>
      <c r="G101">
        <v>88.5</v>
      </c>
      <c r="H101">
        <v>86.5</v>
      </c>
      <c r="I101">
        <v>93</v>
      </c>
      <c r="J101">
        <f t="shared" si="4"/>
        <v>410.5</v>
      </c>
      <c r="K101" s="4">
        <f t="shared" si="5"/>
        <v>82.1</v>
      </c>
      <c r="L101">
        <f t="shared" si="6"/>
        <v>96</v>
      </c>
      <c r="M101" t="str">
        <f t="shared" si="7"/>
        <v>及格</v>
      </c>
    </row>
    <row r="102" hidden="1" spans="1:13">
      <c r="A102">
        <v>10101</v>
      </c>
      <c r="B102" t="s">
        <v>124</v>
      </c>
      <c r="C102" t="s">
        <v>17</v>
      </c>
      <c r="D102" t="s">
        <v>37</v>
      </c>
      <c r="E102">
        <v>64</v>
      </c>
      <c r="F102">
        <v>82.5</v>
      </c>
      <c r="G102">
        <v>72</v>
      </c>
      <c r="H102">
        <v>70</v>
      </c>
      <c r="I102">
        <v>62.5</v>
      </c>
      <c r="J102">
        <f t="shared" si="4"/>
        <v>351</v>
      </c>
      <c r="K102" s="4">
        <f t="shared" si="5"/>
        <v>70.2</v>
      </c>
      <c r="L102">
        <f t="shared" si="6"/>
        <v>407</v>
      </c>
      <c r="M102" t="str">
        <f t="shared" si="7"/>
        <v>及格</v>
      </c>
    </row>
    <row r="103" hidden="1" spans="1:13">
      <c r="A103">
        <v>10102</v>
      </c>
      <c r="B103" t="s">
        <v>125</v>
      </c>
      <c r="C103" t="s">
        <v>14</v>
      </c>
      <c r="D103" t="s">
        <v>23</v>
      </c>
      <c r="E103">
        <v>73</v>
      </c>
      <c r="F103">
        <v>67.5</v>
      </c>
      <c r="G103">
        <v>79</v>
      </c>
      <c r="H103">
        <v>77</v>
      </c>
      <c r="I103">
        <v>90</v>
      </c>
      <c r="J103">
        <f t="shared" si="4"/>
        <v>386.5</v>
      </c>
      <c r="K103" s="4">
        <f t="shared" si="5"/>
        <v>77.3</v>
      </c>
      <c r="L103">
        <f t="shared" si="6"/>
        <v>231</v>
      </c>
      <c r="M103" t="str">
        <f t="shared" si="7"/>
        <v>及格</v>
      </c>
    </row>
    <row r="104" hidden="1" spans="1:13">
      <c r="A104">
        <v>10103</v>
      </c>
      <c r="B104" t="s">
        <v>126</v>
      </c>
      <c r="C104" t="s">
        <v>14</v>
      </c>
      <c r="D104" t="s">
        <v>20</v>
      </c>
      <c r="E104">
        <v>89</v>
      </c>
      <c r="F104">
        <v>91</v>
      </c>
      <c r="G104">
        <v>96</v>
      </c>
      <c r="H104">
        <v>96.5</v>
      </c>
      <c r="I104">
        <v>88</v>
      </c>
      <c r="J104">
        <f t="shared" si="4"/>
        <v>460.5</v>
      </c>
      <c r="K104" s="4">
        <f t="shared" si="5"/>
        <v>92.1</v>
      </c>
      <c r="L104">
        <f t="shared" si="6"/>
        <v>2</v>
      </c>
      <c r="M104" t="str">
        <f t="shared" si="7"/>
        <v>优秀</v>
      </c>
    </row>
    <row r="105" hidden="1" spans="1:13">
      <c r="A105">
        <v>10104</v>
      </c>
      <c r="B105" t="s">
        <v>127</v>
      </c>
      <c r="C105" t="s">
        <v>17</v>
      </c>
      <c r="D105" t="s">
        <v>18</v>
      </c>
      <c r="E105">
        <v>88</v>
      </c>
      <c r="F105">
        <v>77.5</v>
      </c>
      <c r="G105">
        <v>77.5</v>
      </c>
      <c r="H105">
        <v>75.5</v>
      </c>
      <c r="I105">
        <v>61</v>
      </c>
      <c r="J105">
        <f t="shared" si="4"/>
        <v>379.5</v>
      </c>
      <c r="K105" s="4">
        <f t="shared" si="5"/>
        <v>75.9</v>
      </c>
      <c r="L105">
        <f t="shared" si="6"/>
        <v>276</v>
      </c>
      <c r="M105" t="str">
        <f t="shared" si="7"/>
        <v>及格</v>
      </c>
    </row>
    <row r="106" hidden="1" spans="1:13">
      <c r="A106">
        <v>10105</v>
      </c>
      <c r="B106" t="s">
        <v>128</v>
      </c>
      <c r="C106" t="s">
        <v>14</v>
      </c>
      <c r="D106" t="s">
        <v>15</v>
      </c>
      <c r="E106">
        <v>74.5</v>
      </c>
      <c r="F106">
        <v>76.5</v>
      </c>
      <c r="G106">
        <v>78</v>
      </c>
      <c r="H106">
        <v>76</v>
      </c>
      <c r="I106">
        <v>79</v>
      </c>
      <c r="J106">
        <f t="shared" si="4"/>
        <v>384</v>
      </c>
      <c r="K106" s="4">
        <f t="shared" si="5"/>
        <v>76.8</v>
      </c>
      <c r="L106">
        <f t="shared" si="6"/>
        <v>248</v>
      </c>
      <c r="M106" t="str">
        <f t="shared" si="7"/>
        <v>及格</v>
      </c>
    </row>
    <row r="107" hidden="1" spans="1:13">
      <c r="A107">
        <v>10106</v>
      </c>
      <c r="B107" t="s">
        <v>129</v>
      </c>
      <c r="C107" t="s">
        <v>14</v>
      </c>
      <c r="D107" t="s">
        <v>15</v>
      </c>
      <c r="E107">
        <v>74.5</v>
      </c>
      <c r="F107">
        <v>95</v>
      </c>
      <c r="G107">
        <v>75.5</v>
      </c>
      <c r="H107">
        <v>85</v>
      </c>
      <c r="I107">
        <v>78.5</v>
      </c>
      <c r="J107">
        <f t="shared" si="4"/>
        <v>408.5</v>
      </c>
      <c r="K107" s="4">
        <f t="shared" si="5"/>
        <v>81.7</v>
      </c>
      <c r="L107">
        <f t="shared" si="6"/>
        <v>112</v>
      </c>
      <c r="M107" t="str">
        <f t="shared" si="7"/>
        <v>及格</v>
      </c>
    </row>
    <row r="108" hidden="1" spans="1:13">
      <c r="A108">
        <v>10107</v>
      </c>
      <c r="B108" t="s">
        <v>130</v>
      </c>
      <c r="C108" t="s">
        <v>17</v>
      </c>
      <c r="D108" t="s">
        <v>15</v>
      </c>
      <c r="E108">
        <v>82</v>
      </c>
      <c r="F108">
        <v>69</v>
      </c>
      <c r="G108">
        <v>75.5</v>
      </c>
      <c r="H108">
        <v>73.5</v>
      </c>
      <c r="I108">
        <v>79</v>
      </c>
      <c r="J108">
        <f t="shared" si="4"/>
        <v>379</v>
      </c>
      <c r="K108" s="4">
        <f t="shared" si="5"/>
        <v>75.8</v>
      </c>
      <c r="L108">
        <f t="shared" si="6"/>
        <v>282</v>
      </c>
      <c r="M108" t="str">
        <f t="shared" si="7"/>
        <v>及格</v>
      </c>
    </row>
    <row r="109" hidden="1" spans="1:13">
      <c r="A109">
        <v>10108</v>
      </c>
      <c r="B109" t="s">
        <v>131</v>
      </c>
      <c r="C109" t="s">
        <v>14</v>
      </c>
      <c r="D109" t="s">
        <v>37</v>
      </c>
      <c r="E109">
        <v>73</v>
      </c>
      <c r="F109">
        <v>76</v>
      </c>
      <c r="G109">
        <v>67.5</v>
      </c>
      <c r="H109">
        <v>65.5</v>
      </c>
      <c r="I109">
        <v>76.5</v>
      </c>
      <c r="J109">
        <f t="shared" si="4"/>
        <v>358.5</v>
      </c>
      <c r="K109" s="4">
        <f t="shared" si="5"/>
        <v>71.7</v>
      </c>
      <c r="L109">
        <f t="shared" si="6"/>
        <v>392</v>
      </c>
      <c r="M109" t="str">
        <f t="shared" si="7"/>
        <v>及格</v>
      </c>
    </row>
    <row r="110" hidden="1" spans="1:13">
      <c r="A110">
        <v>10109</v>
      </c>
      <c r="B110" t="s">
        <v>132</v>
      </c>
      <c r="C110" t="s">
        <v>14</v>
      </c>
      <c r="D110" t="s">
        <v>18</v>
      </c>
      <c r="E110">
        <v>74.5</v>
      </c>
      <c r="F110">
        <v>71.5</v>
      </c>
      <c r="G110">
        <v>82.5</v>
      </c>
      <c r="H110">
        <v>80.5</v>
      </c>
      <c r="I110">
        <v>83</v>
      </c>
      <c r="J110">
        <f t="shared" si="4"/>
        <v>392</v>
      </c>
      <c r="K110" s="4">
        <f t="shared" si="5"/>
        <v>78.4</v>
      </c>
      <c r="L110">
        <f t="shared" si="6"/>
        <v>195</v>
      </c>
      <c r="M110" t="str">
        <f t="shared" si="7"/>
        <v>及格</v>
      </c>
    </row>
    <row r="111" hidden="1" spans="1:13">
      <c r="A111">
        <v>10110</v>
      </c>
      <c r="B111" t="s">
        <v>133</v>
      </c>
      <c r="C111" t="s">
        <v>17</v>
      </c>
      <c r="D111" t="s">
        <v>23</v>
      </c>
      <c r="E111">
        <v>65</v>
      </c>
      <c r="F111">
        <v>66.5</v>
      </c>
      <c r="G111">
        <v>73.5</v>
      </c>
      <c r="H111">
        <v>71.5</v>
      </c>
      <c r="I111">
        <v>62</v>
      </c>
      <c r="J111">
        <f t="shared" si="4"/>
        <v>338.5</v>
      </c>
      <c r="K111" s="4">
        <f t="shared" si="5"/>
        <v>67.7</v>
      </c>
      <c r="L111">
        <f t="shared" si="6"/>
        <v>458</v>
      </c>
      <c r="M111" t="str">
        <f t="shared" si="7"/>
        <v>及格</v>
      </c>
    </row>
    <row r="112" hidden="1" spans="1:13">
      <c r="A112">
        <v>10111</v>
      </c>
      <c r="B112" t="s">
        <v>134</v>
      </c>
      <c r="C112" t="s">
        <v>17</v>
      </c>
      <c r="D112" t="s">
        <v>20</v>
      </c>
      <c r="E112">
        <v>97</v>
      </c>
      <c r="F112">
        <v>57</v>
      </c>
      <c r="G112">
        <v>73.5</v>
      </c>
      <c r="H112">
        <v>71.5</v>
      </c>
      <c r="I112">
        <v>78.5</v>
      </c>
      <c r="J112">
        <f t="shared" si="4"/>
        <v>377.5</v>
      </c>
      <c r="K112" s="4">
        <f t="shared" si="5"/>
        <v>75.5</v>
      </c>
      <c r="L112">
        <f t="shared" si="6"/>
        <v>293</v>
      </c>
      <c r="M112" t="str">
        <f t="shared" si="7"/>
        <v>及格</v>
      </c>
    </row>
    <row r="113" hidden="1" spans="1:13">
      <c r="A113">
        <v>10112</v>
      </c>
      <c r="B113" t="s">
        <v>135</v>
      </c>
      <c r="C113" t="s">
        <v>17</v>
      </c>
      <c r="D113" t="s">
        <v>23</v>
      </c>
      <c r="E113">
        <v>68.5</v>
      </c>
      <c r="F113">
        <v>78</v>
      </c>
      <c r="G113">
        <v>68</v>
      </c>
      <c r="H113">
        <v>66</v>
      </c>
      <c r="I113">
        <v>61</v>
      </c>
      <c r="J113">
        <f t="shared" si="4"/>
        <v>341.5</v>
      </c>
      <c r="K113" s="4">
        <f t="shared" si="5"/>
        <v>68.3</v>
      </c>
      <c r="L113">
        <f t="shared" si="6"/>
        <v>429</v>
      </c>
      <c r="M113" t="str">
        <f t="shared" si="7"/>
        <v>及格</v>
      </c>
    </row>
    <row r="114" hidden="1" spans="1:13">
      <c r="A114">
        <v>10113</v>
      </c>
      <c r="B114" t="s">
        <v>136</v>
      </c>
      <c r="C114" t="s">
        <v>17</v>
      </c>
      <c r="D114" t="s">
        <v>30</v>
      </c>
      <c r="E114">
        <v>75.5</v>
      </c>
      <c r="F114">
        <v>82</v>
      </c>
      <c r="G114">
        <v>94.5</v>
      </c>
      <c r="H114">
        <v>92.5</v>
      </c>
      <c r="I114">
        <v>84.5</v>
      </c>
      <c r="J114">
        <f t="shared" si="4"/>
        <v>429</v>
      </c>
      <c r="K114" s="4">
        <f t="shared" si="5"/>
        <v>85.8</v>
      </c>
      <c r="L114">
        <f t="shared" si="6"/>
        <v>35</v>
      </c>
      <c r="M114" t="str">
        <f t="shared" si="7"/>
        <v>优秀</v>
      </c>
    </row>
    <row r="115" hidden="1" spans="1:13">
      <c r="A115">
        <v>10114</v>
      </c>
      <c r="B115" t="s">
        <v>137</v>
      </c>
      <c r="C115" t="s">
        <v>17</v>
      </c>
      <c r="D115" t="s">
        <v>15</v>
      </c>
      <c r="E115">
        <v>66</v>
      </c>
      <c r="F115">
        <v>70.5</v>
      </c>
      <c r="G115">
        <v>87</v>
      </c>
      <c r="H115">
        <v>85</v>
      </c>
      <c r="I115">
        <v>57</v>
      </c>
      <c r="J115">
        <f t="shared" si="4"/>
        <v>365.5</v>
      </c>
      <c r="K115" s="4">
        <f t="shared" si="5"/>
        <v>73.1</v>
      </c>
      <c r="L115">
        <f t="shared" si="6"/>
        <v>361</v>
      </c>
      <c r="M115" t="str">
        <f t="shared" si="7"/>
        <v>及格</v>
      </c>
    </row>
    <row r="116" hidden="1" spans="1:13">
      <c r="A116">
        <v>10115</v>
      </c>
      <c r="B116" t="s">
        <v>138</v>
      </c>
      <c r="C116" t="s">
        <v>17</v>
      </c>
      <c r="D116" t="s">
        <v>37</v>
      </c>
      <c r="E116">
        <v>61</v>
      </c>
      <c r="F116">
        <v>58.5</v>
      </c>
      <c r="G116">
        <v>47</v>
      </c>
      <c r="H116">
        <v>75</v>
      </c>
      <c r="I116">
        <v>73</v>
      </c>
      <c r="J116">
        <f t="shared" si="4"/>
        <v>314.5</v>
      </c>
      <c r="K116" s="4">
        <f t="shared" si="5"/>
        <v>62.9</v>
      </c>
      <c r="L116">
        <f t="shared" si="6"/>
        <v>496</v>
      </c>
      <c r="M116" t="str">
        <f t="shared" si="7"/>
        <v>及格</v>
      </c>
    </row>
    <row r="117" hidden="1" spans="1:13">
      <c r="A117">
        <v>10116</v>
      </c>
      <c r="B117" t="s">
        <v>139</v>
      </c>
      <c r="C117" t="s">
        <v>14</v>
      </c>
      <c r="D117" t="s">
        <v>23</v>
      </c>
      <c r="E117">
        <v>75</v>
      </c>
      <c r="F117">
        <v>76</v>
      </c>
      <c r="G117">
        <v>73.5</v>
      </c>
      <c r="H117">
        <v>71.5</v>
      </c>
      <c r="I117">
        <v>90</v>
      </c>
      <c r="J117">
        <f t="shared" si="4"/>
        <v>386</v>
      </c>
      <c r="K117" s="4">
        <f t="shared" si="5"/>
        <v>77.2</v>
      </c>
      <c r="L117">
        <f t="shared" si="6"/>
        <v>236</v>
      </c>
      <c r="M117" t="str">
        <f t="shared" si="7"/>
        <v>及格</v>
      </c>
    </row>
    <row r="118" hidden="1" spans="1:13">
      <c r="A118">
        <v>10117</v>
      </c>
      <c r="B118" t="s">
        <v>140</v>
      </c>
      <c r="C118" t="s">
        <v>14</v>
      </c>
      <c r="D118" t="s">
        <v>20</v>
      </c>
      <c r="E118">
        <v>65.5</v>
      </c>
      <c r="F118">
        <v>62</v>
      </c>
      <c r="G118">
        <v>83.5</v>
      </c>
      <c r="H118">
        <v>81.5</v>
      </c>
      <c r="I118">
        <v>89.5</v>
      </c>
      <c r="J118">
        <f t="shared" si="4"/>
        <v>382</v>
      </c>
      <c r="K118" s="4">
        <f t="shared" si="5"/>
        <v>76.4</v>
      </c>
      <c r="L118">
        <f t="shared" si="6"/>
        <v>263</v>
      </c>
      <c r="M118" t="str">
        <f t="shared" si="7"/>
        <v>及格</v>
      </c>
    </row>
    <row r="119" hidden="1" spans="1:13">
      <c r="A119">
        <v>10118</v>
      </c>
      <c r="B119" t="s">
        <v>141</v>
      </c>
      <c r="C119" t="s">
        <v>14</v>
      </c>
      <c r="D119" t="s">
        <v>23</v>
      </c>
      <c r="E119">
        <v>79</v>
      </c>
      <c r="F119">
        <v>76.5</v>
      </c>
      <c r="G119">
        <v>80.5</v>
      </c>
      <c r="H119">
        <v>78.5</v>
      </c>
      <c r="I119">
        <v>66.5</v>
      </c>
      <c r="J119">
        <f t="shared" si="4"/>
        <v>381</v>
      </c>
      <c r="K119" s="4">
        <f t="shared" si="5"/>
        <v>76.2</v>
      </c>
      <c r="L119">
        <f t="shared" si="6"/>
        <v>269</v>
      </c>
      <c r="M119" t="str">
        <f t="shared" si="7"/>
        <v>及格</v>
      </c>
    </row>
    <row r="120" hidden="1" spans="1:13">
      <c r="A120">
        <v>10119</v>
      </c>
      <c r="B120" t="s">
        <v>142</v>
      </c>
      <c r="C120" t="s">
        <v>14</v>
      </c>
      <c r="D120" t="s">
        <v>30</v>
      </c>
      <c r="E120">
        <v>93</v>
      </c>
      <c r="F120">
        <v>92</v>
      </c>
      <c r="G120">
        <v>86.5</v>
      </c>
      <c r="H120">
        <v>84.5</v>
      </c>
      <c r="I120">
        <v>97</v>
      </c>
      <c r="J120">
        <f t="shared" si="4"/>
        <v>453</v>
      </c>
      <c r="K120" s="4">
        <f t="shared" si="5"/>
        <v>90.6</v>
      </c>
      <c r="L120">
        <f t="shared" si="6"/>
        <v>15</v>
      </c>
      <c r="M120" t="str">
        <f t="shared" si="7"/>
        <v>优秀</v>
      </c>
    </row>
    <row r="121" hidden="1" spans="1:13">
      <c r="A121">
        <v>10120</v>
      </c>
      <c r="B121" t="s">
        <v>143</v>
      </c>
      <c r="C121" t="s">
        <v>17</v>
      </c>
      <c r="D121" t="s">
        <v>23</v>
      </c>
      <c r="E121">
        <v>83</v>
      </c>
      <c r="F121">
        <v>94</v>
      </c>
      <c r="G121">
        <v>77.5</v>
      </c>
      <c r="H121">
        <v>75.5</v>
      </c>
      <c r="I121">
        <v>70.5</v>
      </c>
      <c r="J121">
        <f t="shared" si="4"/>
        <v>400.5</v>
      </c>
      <c r="K121" s="4">
        <f t="shared" si="5"/>
        <v>80.1</v>
      </c>
      <c r="L121">
        <f t="shared" si="6"/>
        <v>177</v>
      </c>
      <c r="M121" t="str">
        <f t="shared" si="7"/>
        <v>及格</v>
      </c>
    </row>
    <row r="122" hidden="1" spans="1:13">
      <c r="A122">
        <v>10121</v>
      </c>
      <c r="B122" t="s">
        <v>144</v>
      </c>
      <c r="C122" t="s">
        <v>17</v>
      </c>
      <c r="D122" t="s">
        <v>23</v>
      </c>
      <c r="E122">
        <v>71.5</v>
      </c>
      <c r="F122">
        <v>92.5</v>
      </c>
      <c r="G122">
        <v>58.5</v>
      </c>
      <c r="H122">
        <v>56.5</v>
      </c>
      <c r="I122">
        <v>86.5</v>
      </c>
      <c r="J122">
        <f t="shared" si="4"/>
        <v>365.5</v>
      </c>
      <c r="K122" s="4">
        <f t="shared" si="5"/>
        <v>73.1</v>
      </c>
      <c r="L122">
        <f t="shared" si="6"/>
        <v>361</v>
      </c>
      <c r="M122" t="str">
        <f t="shared" si="7"/>
        <v>及格</v>
      </c>
    </row>
    <row r="123" hidden="1" spans="1:13">
      <c r="A123">
        <v>10122</v>
      </c>
      <c r="B123" t="s">
        <v>145</v>
      </c>
      <c r="C123" t="s">
        <v>14</v>
      </c>
      <c r="D123" t="s">
        <v>15</v>
      </c>
      <c r="E123">
        <v>92</v>
      </c>
      <c r="F123">
        <v>76.5</v>
      </c>
      <c r="G123">
        <v>69</v>
      </c>
      <c r="H123">
        <v>67</v>
      </c>
      <c r="I123">
        <v>80</v>
      </c>
      <c r="J123">
        <f t="shared" si="4"/>
        <v>384.5</v>
      </c>
      <c r="K123" s="4">
        <f t="shared" si="5"/>
        <v>76.9</v>
      </c>
      <c r="L123">
        <f t="shared" si="6"/>
        <v>244</v>
      </c>
      <c r="M123" t="str">
        <f t="shared" si="7"/>
        <v>及格</v>
      </c>
    </row>
    <row r="124" hidden="1" spans="1:13">
      <c r="A124">
        <v>10123</v>
      </c>
      <c r="B124" t="s">
        <v>146</v>
      </c>
      <c r="C124" t="s">
        <v>17</v>
      </c>
      <c r="D124" t="s">
        <v>20</v>
      </c>
      <c r="E124">
        <v>85</v>
      </c>
      <c r="F124">
        <v>72.5</v>
      </c>
      <c r="G124">
        <v>87</v>
      </c>
      <c r="H124">
        <v>85</v>
      </c>
      <c r="I124">
        <v>82</v>
      </c>
      <c r="J124">
        <f t="shared" si="4"/>
        <v>411.5</v>
      </c>
      <c r="K124" s="4">
        <f t="shared" si="5"/>
        <v>82.3</v>
      </c>
      <c r="L124">
        <f t="shared" si="6"/>
        <v>84</v>
      </c>
      <c r="M124" t="str">
        <f t="shared" si="7"/>
        <v>及格</v>
      </c>
    </row>
    <row r="125" hidden="1" spans="1:13">
      <c r="A125">
        <v>10124</v>
      </c>
      <c r="B125" t="s">
        <v>147</v>
      </c>
      <c r="C125" t="s">
        <v>17</v>
      </c>
      <c r="D125" t="s">
        <v>30</v>
      </c>
      <c r="E125">
        <v>74.5</v>
      </c>
      <c r="F125">
        <v>77.5</v>
      </c>
      <c r="G125">
        <v>67.5</v>
      </c>
      <c r="H125">
        <v>65.5</v>
      </c>
      <c r="I125">
        <v>71.5</v>
      </c>
      <c r="J125">
        <f t="shared" si="4"/>
        <v>356.5</v>
      </c>
      <c r="K125" s="4">
        <f t="shared" si="5"/>
        <v>71.3</v>
      </c>
      <c r="L125">
        <f t="shared" si="6"/>
        <v>398</v>
      </c>
      <c r="M125" t="str">
        <f t="shared" si="7"/>
        <v>及格</v>
      </c>
    </row>
    <row r="126" hidden="1" spans="1:13">
      <c r="A126">
        <v>10125</v>
      </c>
      <c r="B126" t="s">
        <v>148</v>
      </c>
      <c r="C126" t="s">
        <v>17</v>
      </c>
      <c r="D126" t="s">
        <v>37</v>
      </c>
      <c r="E126">
        <v>91.5</v>
      </c>
      <c r="F126">
        <v>90</v>
      </c>
      <c r="G126">
        <v>91.5</v>
      </c>
      <c r="H126">
        <v>89.5</v>
      </c>
      <c r="I126">
        <v>88</v>
      </c>
      <c r="J126">
        <f t="shared" si="4"/>
        <v>450.5</v>
      </c>
      <c r="K126" s="4">
        <f t="shared" si="5"/>
        <v>90.1</v>
      </c>
      <c r="L126">
        <f t="shared" si="6"/>
        <v>22</v>
      </c>
      <c r="M126" t="str">
        <f t="shared" si="7"/>
        <v>优秀</v>
      </c>
    </row>
    <row r="127" hidden="1" spans="1:13">
      <c r="A127">
        <v>10126</v>
      </c>
      <c r="B127" t="s">
        <v>149</v>
      </c>
      <c r="C127" t="s">
        <v>14</v>
      </c>
      <c r="D127" t="s">
        <v>37</v>
      </c>
      <c r="E127">
        <v>80</v>
      </c>
      <c r="F127">
        <v>82</v>
      </c>
      <c r="G127">
        <v>86.5</v>
      </c>
      <c r="H127">
        <v>84.5</v>
      </c>
      <c r="I127">
        <v>76</v>
      </c>
      <c r="J127">
        <f t="shared" si="4"/>
        <v>409</v>
      </c>
      <c r="K127" s="4">
        <f t="shared" si="5"/>
        <v>81.8</v>
      </c>
      <c r="L127">
        <f t="shared" si="6"/>
        <v>105</v>
      </c>
      <c r="M127" t="str">
        <f t="shared" si="7"/>
        <v>及格</v>
      </c>
    </row>
    <row r="128" hidden="1" spans="1:13">
      <c r="A128">
        <v>10127</v>
      </c>
      <c r="B128" t="s">
        <v>150</v>
      </c>
      <c r="C128" t="s">
        <v>14</v>
      </c>
      <c r="D128" t="s">
        <v>30</v>
      </c>
      <c r="E128">
        <v>79.5</v>
      </c>
      <c r="F128">
        <v>78.5</v>
      </c>
      <c r="G128">
        <v>74.5</v>
      </c>
      <c r="H128">
        <v>72.5</v>
      </c>
      <c r="I128">
        <v>73</v>
      </c>
      <c r="J128">
        <f t="shared" si="4"/>
        <v>378</v>
      </c>
      <c r="K128" s="4">
        <f t="shared" si="5"/>
        <v>75.6</v>
      </c>
      <c r="L128">
        <f t="shared" si="6"/>
        <v>291</v>
      </c>
      <c r="M128" t="str">
        <f t="shared" si="7"/>
        <v>及格</v>
      </c>
    </row>
    <row r="129" hidden="1" spans="1:13">
      <c r="A129">
        <v>10128</v>
      </c>
      <c r="B129" t="s">
        <v>151</v>
      </c>
      <c r="C129" t="s">
        <v>14</v>
      </c>
      <c r="D129" t="s">
        <v>18</v>
      </c>
      <c r="E129">
        <v>82</v>
      </c>
      <c r="F129">
        <v>80.5</v>
      </c>
      <c r="G129">
        <v>77.5</v>
      </c>
      <c r="H129">
        <v>75.5</v>
      </c>
      <c r="I129">
        <v>64</v>
      </c>
      <c r="J129">
        <f t="shared" si="4"/>
        <v>379.5</v>
      </c>
      <c r="K129" s="4">
        <f t="shared" si="5"/>
        <v>75.9</v>
      </c>
      <c r="L129">
        <f t="shared" si="6"/>
        <v>276</v>
      </c>
      <c r="M129" t="str">
        <f t="shared" si="7"/>
        <v>及格</v>
      </c>
    </row>
    <row r="130" hidden="1" spans="1:13">
      <c r="A130">
        <v>10129</v>
      </c>
      <c r="B130" t="s">
        <v>152</v>
      </c>
      <c r="C130" t="s">
        <v>17</v>
      </c>
      <c r="D130" t="s">
        <v>37</v>
      </c>
      <c r="E130">
        <v>78</v>
      </c>
      <c r="F130">
        <v>80</v>
      </c>
      <c r="G130">
        <v>68</v>
      </c>
      <c r="H130">
        <v>66</v>
      </c>
      <c r="I130">
        <v>70.5</v>
      </c>
      <c r="J130">
        <f t="shared" si="4"/>
        <v>362.5</v>
      </c>
      <c r="K130" s="4">
        <f t="shared" si="5"/>
        <v>72.5</v>
      </c>
      <c r="L130">
        <f t="shared" si="6"/>
        <v>377</v>
      </c>
      <c r="M130" t="str">
        <f t="shared" si="7"/>
        <v>及格</v>
      </c>
    </row>
    <row r="131" hidden="1" spans="1:13">
      <c r="A131">
        <v>10130</v>
      </c>
      <c r="B131" t="s">
        <v>153</v>
      </c>
      <c r="C131" t="s">
        <v>14</v>
      </c>
      <c r="D131" t="s">
        <v>20</v>
      </c>
      <c r="E131">
        <v>76.5</v>
      </c>
      <c r="F131">
        <v>84.5</v>
      </c>
      <c r="G131">
        <v>97</v>
      </c>
      <c r="H131">
        <v>95</v>
      </c>
      <c r="I131">
        <v>79.5</v>
      </c>
      <c r="J131">
        <f t="shared" ref="J131:J194" si="8">SUM(E131:I131)</f>
        <v>432.5</v>
      </c>
      <c r="K131" s="4">
        <f t="shared" ref="K131:K194" si="9">AVERAGE(E131:I131)</f>
        <v>86.5</v>
      </c>
      <c r="L131">
        <f t="shared" ref="L131:L194" si="10">RANK(K131,$K$2:$K$503)</f>
        <v>28</v>
      </c>
      <c r="M131" t="str">
        <f t="shared" ref="M131:M194" si="11">IF(K131&gt;=85,"优秀",IF(K131&gt;=60,"及格","不及格"))</f>
        <v>优秀</v>
      </c>
    </row>
    <row r="132" hidden="1" spans="1:13">
      <c r="A132">
        <v>10131</v>
      </c>
      <c r="B132" t="s">
        <v>154</v>
      </c>
      <c r="C132" t="s">
        <v>17</v>
      </c>
      <c r="D132" t="s">
        <v>23</v>
      </c>
      <c r="E132">
        <v>85</v>
      </c>
      <c r="F132">
        <v>82.5</v>
      </c>
      <c r="G132">
        <v>69</v>
      </c>
      <c r="H132">
        <v>67</v>
      </c>
      <c r="I132">
        <v>87</v>
      </c>
      <c r="J132">
        <f t="shared" si="8"/>
        <v>390.5</v>
      </c>
      <c r="K132" s="4">
        <f t="shared" si="9"/>
        <v>78.1</v>
      </c>
      <c r="L132">
        <f t="shared" si="10"/>
        <v>208</v>
      </c>
      <c r="M132" t="str">
        <f t="shared" si="11"/>
        <v>及格</v>
      </c>
    </row>
    <row r="133" hidden="1" spans="1:13">
      <c r="A133">
        <v>10132</v>
      </c>
      <c r="B133" t="s">
        <v>155</v>
      </c>
      <c r="C133" t="s">
        <v>14</v>
      </c>
      <c r="D133" t="s">
        <v>20</v>
      </c>
      <c r="E133">
        <v>85</v>
      </c>
      <c r="F133">
        <v>84.5</v>
      </c>
      <c r="G133">
        <v>76</v>
      </c>
      <c r="H133">
        <v>74</v>
      </c>
      <c r="I133">
        <v>74.5</v>
      </c>
      <c r="J133">
        <f t="shared" si="8"/>
        <v>394</v>
      </c>
      <c r="K133" s="4">
        <f t="shared" si="9"/>
        <v>78.8</v>
      </c>
      <c r="L133">
        <f t="shared" si="10"/>
        <v>190</v>
      </c>
      <c r="M133" t="str">
        <f t="shared" si="11"/>
        <v>及格</v>
      </c>
    </row>
    <row r="134" hidden="1" spans="1:13">
      <c r="A134">
        <v>10133</v>
      </c>
      <c r="B134" t="s">
        <v>156</v>
      </c>
      <c r="C134" t="s">
        <v>17</v>
      </c>
      <c r="D134" t="s">
        <v>20</v>
      </c>
      <c r="E134">
        <v>75.5</v>
      </c>
      <c r="F134">
        <v>60.5</v>
      </c>
      <c r="G134">
        <v>75.5</v>
      </c>
      <c r="H134">
        <v>73.5</v>
      </c>
      <c r="I134">
        <v>81</v>
      </c>
      <c r="J134">
        <f t="shared" si="8"/>
        <v>366</v>
      </c>
      <c r="K134" s="4">
        <f t="shared" si="9"/>
        <v>73.2</v>
      </c>
      <c r="L134">
        <f t="shared" si="10"/>
        <v>360</v>
      </c>
      <c r="M134" t="str">
        <f t="shared" si="11"/>
        <v>及格</v>
      </c>
    </row>
    <row r="135" hidden="1" spans="1:13">
      <c r="A135">
        <v>10134</v>
      </c>
      <c r="B135" t="s">
        <v>157</v>
      </c>
      <c r="C135" t="s">
        <v>14</v>
      </c>
      <c r="D135" t="s">
        <v>37</v>
      </c>
      <c r="E135">
        <v>61</v>
      </c>
      <c r="F135">
        <v>68</v>
      </c>
      <c r="G135">
        <v>79</v>
      </c>
      <c r="H135">
        <v>77</v>
      </c>
      <c r="I135">
        <v>94</v>
      </c>
      <c r="J135">
        <f t="shared" si="8"/>
        <v>379</v>
      </c>
      <c r="K135" s="4">
        <f t="shared" si="9"/>
        <v>75.8</v>
      </c>
      <c r="L135">
        <f t="shared" si="10"/>
        <v>282</v>
      </c>
      <c r="M135" t="str">
        <f t="shared" si="11"/>
        <v>及格</v>
      </c>
    </row>
    <row r="136" hidden="1" spans="1:13">
      <c r="A136">
        <v>10135</v>
      </c>
      <c r="B136" t="s">
        <v>158</v>
      </c>
      <c r="C136" t="s">
        <v>17</v>
      </c>
      <c r="D136" t="s">
        <v>20</v>
      </c>
      <c r="E136">
        <v>74.5</v>
      </c>
      <c r="F136">
        <v>72</v>
      </c>
      <c r="G136">
        <v>65</v>
      </c>
      <c r="H136">
        <v>63</v>
      </c>
      <c r="I136">
        <v>64</v>
      </c>
      <c r="J136">
        <f t="shared" si="8"/>
        <v>338.5</v>
      </c>
      <c r="K136" s="4">
        <f t="shared" si="9"/>
        <v>67.7</v>
      </c>
      <c r="L136">
        <f t="shared" si="10"/>
        <v>458</v>
      </c>
      <c r="M136" t="str">
        <f t="shared" si="11"/>
        <v>及格</v>
      </c>
    </row>
    <row r="137" hidden="1" spans="1:13">
      <c r="A137">
        <v>10136</v>
      </c>
      <c r="B137" t="s">
        <v>159</v>
      </c>
      <c r="C137" t="s">
        <v>14</v>
      </c>
      <c r="D137" t="s">
        <v>30</v>
      </c>
      <c r="E137">
        <v>53.5</v>
      </c>
      <c r="F137">
        <v>76.5</v>
      </c>
      <c r="G137">
        <v>74.5</v>
      </c>
      <c r="H137">
        <v>72.5</v>
      </c>
      <c r="I137">
        <v>60</v>
      </c>
      <c r="J137">
        <f t="shared" si="8"/>
        <v>337</v>
      </c>
      <c r="K137" s="4">
        <f t="shared" si="9"/>
        <v>67.4</v>
      </c>
      <c r="L137">
        <f t="shared" si="10"/>
        <v>464</v>
      </c>
      <c r="M137" t="str">
        <f t="shared" si="11"/>
        <v>及格</v>
      </c>
    </row>
    <row r="138" hidden="1" spans="1:13">
      <c r="A138">
        <v>10137</v>
      </c>
      <c r="B138" t="s">
        <v>160</v>
      </c>
      <c r="C138" t="s">
        <v>17</v>
      </c>
      <c r="D138" t="s">
        <v>23</v>
      </c>
      <c r="E138">
        <v>61</v>
      </c>
      <c r="F138">
        <v>76</v>
      </c>
      <c r="G138">
        <v>67.5</v>
      </c>
      <c r="H138">
        <v>65.5</v>
      </c>
      <c r="I138">
        <v>74.5</v>
      </c>
      <c r="J138">
        <f t="shared" si="8"/>
        <v>344.5</v>
      </c>
      <c r="K138" s="4">
        <f t="shared" si="9"/>
        <v>68.9</v>
      </c>
      <c r="L138">
        <f t="shared" si="10"/>
        <v>415</v>
      </c>
      <c r="M138" t="str">
        <f t="shared" si="11"/>
        <v>及格</v>
      </c>
    </row>
    <row r="139" hidden="1" spans="1:13">
      <c r="A139">
        <v>10138</v>
      </c>
      <c r="B139" t="s">
        <v>161</v>
      </c>
      <c r="C139" t="s">
        <v>17</v>
      </c>
      <c r="D139" t="s">
        <v>37</v>
      </c>
      <c r="E139">
        <v>90</v>
      </c>
      <c r="F139">
        <v>94.5</v>
      </c>
      <c r="G139">
        <v>66</v>
      </c>
      <c r="H139">
        <v>64</v>
      </c>
      <c r="I139">
        <v>71</v>
      </c>
      <c r="J139">
        <f t="shared" si="8"/>
        <v>385.5</v>
      </c>
      <c r="K139" s="4">
        <f t="shared" si="9"/>
        <v>77.1</v>
      </c>
      <c r="L139">
        <f t="shared" si="10"/>
        <v>240</v>
      </c>
      <c r="M139" t="str">
        <f t="shared" si="11"/>
        <v>及格</v>
      </c>
    </row>
    <row r="140" hidden="1" spans="1:13">
      <c r="A140">
        <v>10139</v>
      </c>
      <c r="B140" t="s">
        <v>162</v>
      </c>
      <c r="C140" t="s">
        <v>14</v>
      </c>
      <c r="D140" t="s">
        <v>37</v>
      </c>
      <c r="E140">
        <v>81</v>
      </c>
      <c r="F140">
        <v>95.5</v>
      </c>
      <c r="G140">
        <v>81.5</v>
      </c>
      <c r="H140">
        <v>79.5</v>
      </c>
      <c r="I140">
        <v>75.5</v>
      </c>
      <c r="J140">
        <f t="shared" si="8"/>
        <v>413</v>
      </c>
      <c r="K140" s="4">
        <f t="shared" si="9"/>
        <v>82.6</v>
      </c>
      <c r="L140">
        <f t="shared" si="10"/>
        <v>76</v>
      </c>
      <c r="M140" t="str">
        <f t="shared" si="11"/>
        <v>及格</v>
      </c>
    </row>
    <row r="141" hidden="1" spans="1:13">
      <c r="A141">
        <v>10140</v>
      </c>
      <c r="B141" t="s">
        <v>163</v>
      </c>
      <c r="C141" t="s">
        <v>17</v>
      </c>
      <c r="D141" t="s">
        <v>18</v>
      </c>
      <c r="E141">
        <v>59.5</v>
      </c>
      <c r="F141">
        <v>78.5</v>
      </c>
      <c r="G141">
        <v>79.5</v>
      </c>
      <c r="H141">
        <v>77.5</v>
      </c>
      <c r="I141">
        <v>68</v>
      </c>
      <c r="J141">
        <f t="shared" si="8"/>
        <v>363</v>
      </c>
      <c r="K141" s="4">
        <f t="shared" si="9"/>
        <v>72.6</v>
      </c>
      <c r="L141">
        <f t="shared" si="10"/>
        <v>372</v>
      </c>
      <c r="M141" t="str">
        <f t="shared" si="11"/>
        <v>及格</v>
      </c>
    </row>
    <row r="142" hidden="1" spans="1:13">
      <c r="A142">
        <v>10141</v>
      </c>
      <c r="B142" t="s">
        <v>164</v>
      </c>
      <c r="C142" t="s">
        <v>14</v>
      </c>
      <c r="D142" t="s">
        <v>15</v>
      </c>
      <c r="E142">
        <v>75.5</v>
      </c>
      <c r="F142">
        <v>70.5</v>
      </c>
      <c r="G142">
        <v>85.5</v>
      </c>
      <c r="H142">
        <v>83.5</v>
      </c>
      <c r="I142">
        <v>73.5</v>
      </c>
      <c r="J142">
        <f t="shared" si="8"/>
        <v>388.5</v>
      </c>
      <c r="K142" s="4">
        <f t="shared" si="9"/>
        <v>77.7</v>
      </c>
      <c r="L142">
        <f t="shared" si="10"/>
        <v>216</v>
      </c>
      <c r="M142" t="str">
        <f t="shared" si="11"/>
        <v>及格</v>
      </c>
    </row>
    <row r="143" hidden="1" spans="1:13">
      <c r="A143">
        <v>10142</v>
      </c>
      <c r="B143" t="s">
        <v>165</v>
      </c>
      <c r="C143" t="s">
        <v>14</v>
      </c>
      <c r="D143" t="s">
        <v>18</v>
      </c>
      <c r="E143">
        <v>72.5</v>
      </c>
      <c r="F143">
        <v>91.5</v>
      </c>
      <c r="G143">
        <v>72</v>
      </c>
      <c r="H143">
        <v>70</v>
      </c>
      <c r="I143">
        <v>82</v>
      </c>
      <c r="J143">
        <f t="shared" si="8"/>
        <v>388</v>
      </c>
      <c r="K143" s="4">
        <f t="shared" si="9"/>
        <v>77.6</v>
      </c>
      <c r="L143">
        <f t="shared" si="10"/>
        <v>220</v>
      </c>
      <c r="M143" t="str">
        <f t="shared" si="11"/>
        <v>及格</v>
      </c>
    </row>
    <row r="144" hidden="1" spans="1:13">
      <c r="A144">
        <v>10143</v>
      </c>
      <c r="B144" t="s">
        <v>166</v>
      </c>
      <c r="C144" t="s">
        <v>14</v>
      </c>
      <c r="D144" t="s">
        <v>30</v>
      </c>
      <c r="E144">
        <v>67.5</v>
      </c>
      <c r="F144">
        <v>70.5</v>
      </c>
      <c r="G144">
        <v>75.5</v>
      </c>
      <c r="H144">
        <v>73.5</v>
      </c>
      <c r="I144">
        <v>90</v>
      </c>
      <c r="J144">
        <f t="shared" si="8"/>
        <v>377</v>
      </c>
      <c r="K144" s="4">
        <f t="shared" si="9"/>
        <v>75.4</v>
      </c>
      <c r="L144">
        <f t="shared" si="10"/>
        <v>298</v>
      </c>
      <c r="M144" t="str">
        <f t="shared" si="11"/>
        <v>及格</v>
      </c>
    </row>
    <row r="145" hidden="1" spans="1:13">
      <c r="A145">
        <v>10144</v>
      </c>
      <c r="B145" t="s">
        <v>167</v>
      </c>
      <c r="C145" t="s">
        <v>17</v>
      </c>
      <c r="D145" t="s">
        <v>20</v>
      </c>
      <c r="E145">
        <v>68.5</v>
      </c>
      <c r="F145">
        <v>65</v>
      </c>
      <c r="G145">
        <v>96.5</v>
      </c>
      <c r="H145">
        <v>94.5</v>
      </c>
      <c r="I145">
        <v>88</v>
      </c>
      <c r="J145">
        <f t="shared" si="8"/>
        <v>412.5</v>
      </c>
      <c r="K145" s="4">
        <f t="shared" si="9"/>
        <v>82.5</v>
      </c>
      <c r="L145">
        <f t="shared" si="10"/>
        <v>81</v>
      </c>
      <c r="M145" t="str">
        <f t="shared" si="11"/>
        <v>及格</v>
      </c>
    </row>
    <row r="146" hidden="1" spans="1:13">
      <c r="A146">
        <v>10145</v>
      </c>
      <c r="B146" t="s">
        <v>168</v>
      </c>
      <c r="C146" t="s">
        <v>17</v>
      </c>
      <c r="D146" t="s">
        <v>18</v>
      </c>
      <c r="E146">
        <v>77.5</v>
      </c>
      <c r="F146">
        <v>79.5</v>
      </c>
      <c r="G146">
        <v>71.5</v>
      </c>
      <c r="H146">
        <v>69.5</v>
      </c>
      <c r="I146">
        <v>84.5</v>
      </c>
      <c r="J146">
        <f t="shared" si="8"/>
        <v>382.5</v>
      </c>
      <c r="K146" s="4">
        <f t="shared" si="9"/>
        <v>76.5</v>
      </c>
      <c r="L146">
        <f t="shared" si="10"/>
        <v>258</v>
      </c>
      <c r="M146" t="str">
        <f t="shared" si="11"/>
        <v>及格</v>
      </c>
    </row>
    <row r="147" hidden="1" spans="1:13">
      <c r="A147">
        <v>10146</v>
      </c>
      <c r="B147" t="s">
        <v>169</v>
      </c>
      <c r="C147" t="s">
        <v>14</v>
      </c>
      <c r="D147" t="s">
        <v>20</v>
      </c>
      <c r="E147">
        <v>70.5</v>
      </c>
      <c r="F147">
        <v>83.5</v>
      </c>
      <c r="G147">
        <v>69.5</v>
      </c>
      <c r="H147">
        <v>67.5</v>
      </c>
      <c r="I147">
        <v>78</v>
      </c>
      <c r="J147">
        <f t="shared" si="8"/>
        <v>369</v>
      </c>
      <c r="K147" s="4">
        <f t="shared" si="9"/>
        <v>73.8</v>
      </c>
      <c r="L147">
        <f t="shared" si="10"/>
        <v>344</v>
      </c>
      <c r="M147" t="str">
        <f t="shared" si="11"/>
        <v>及格</v>
      </c>
    </row>
    <row r="148" hidden="1" spans="1:13">
      <c r="A148">
        <v>10147</v>
      </c>
      <c r="B148" t="s">
        <v>170</v>
      </c>
      <c r="C148" t="s">
        <v>17</v>
      </c>
      <c r="D148" t="s">
        <v>20</v>
      </c>
      <c r="E148">
        <v>80</v>
      </c>
      <c r="F148">
        <v>78</v>
      </c>
      <c r="G148">
        <v>56</v>
      </c>
      <c r="H148">
        <v>54</v>
      </c>
      <c r="I148">
        <v>66.5</v>
      </c>
      <c r="J148">
        <f t="shared" si="8"/>
        <v>334.5</v>
      </c>
      <c r="K148" s="4">
        <f t="shared" si="9"/>
        <v>66.9</v>
      </c>
      <c r="L148">
        <f t="shared" si="10"/>
        <v>473</v>
      </c>
      <c r="M148" t="str">
        <f t="shared" si="11"/>
        <v>及格</v>
      </c>
    </row>
    <row r="149" hidden="1" spans="1:13">
      <c r="A149">
        <v>10148</v>
      </c>
      <c r="B149" t="s">
        <v>171</v>
      </c>
      <c r="C149" t="s">
        <v>17</v>
      </c>
      <c r="D149" t="s">
        <v>20</v>
      </c>
      <c r="E149">
        <v>58</v>
      </c>
      <c r="F149">
        <v>51</v>
      </c>
      <c r="G149">
        <v>63.5</v>
      </c>
      <c r="H149">
        <v>61.5</v>
      </c>
      <c r="I149">
        <v>56.5</v>
      </c>
      <c r="J149">
        <f t="shared" si="8"/>
        <v>290.5</v>
      </c>
      <c r="K149" s="4">
        <f t="shared" si="9"/>
        <v>58.1</v>
      </c>
      <c r="L149">
        <f t="shared" si="10"/>
        <v>499</v>
      </c>
      <c r="M149" t="str">
        <f t="shared" si="11"/>
        <v>不及格</v>
      </c>
    </row>
    <row r="150" hidden="1" spans="1:13">
      <c r="A150">
        <v>10149</v>
      </c>
      <c r="B150" t="s">
        <v>172</v>
      </c>
      <c r="C150" t="s">
        <v>17</v>
      </c>
      <c r="D150" t="s">
        <v>23</v>
      </c>
      <c r="E150">
        <v>66.5</v>
      </c>
      <c r="F150">
        <v>69.5</v>
      </c>
      <c r="G150">
        <v>59</v>
      </c>
      <c r="H150">
        <v>57</v>
      </c>
      <c r="I150">
        <v>66.5</v>
      </c>
      <c r="J150">
        <f t="shared" si="8"/>
        <v>318.5</v>
      </c>
      <c r="K150" s="4">
        <f t="shared" si="9"/>
        <v>63.7</v>
      </c>
      <c r="L150">
        <f t="shared" si="10"/>
        <v>492</v>
      </c>
      <c r="M150" t="str">
        <f t="shared" si="11"/>
        <v>及格</v>
      </c>
    </row>
    <row r="151" hidden="1" spans="1:13">
      <c r="A151">
        <v>10150</v>
      </c>
      <c r="B151" t="s">
        <v>173</v>
      </c>
      <c r="C151" t="s">
        <v>17</v>
      </c>
      <c r="D151" t="s">
        <v>20</v>
      </c>
      <c r="E151">
        <v>69.5</v>
      </c>
      <c r="F151">
        <v>76.5</v>
      </c>
      <c r="G151">
        <v>91.5</v>
      </c>
      <c r="H151">
        <v>89.5</v>
      </c>
      <c r="I151">
        <v>69.5</v>
      </c>
      <c r="J151">
        <f t="shared" si="8"/>
        <v>396.5</v>
      </c>
      <c r="K151" s="4">
        <f t="shared" si="9"/>
        <v>79.3</v>
      </c>
      <c r="L151">
        <f t="shared" si="10"/>
        <v>188</v>
      </c>
      <c r="M151" t="str">
        <f t="shared" si="11"/>
        <v>及格</v>
      </c>
    </row>
    <row r="152" hidden="1" spans="1:13">
      <c r="A152">
        <v>10151</v>
      </c>
      <c r="B152" t="s">
        <v>174</v>
      </c>
      <c r="C152" t="s">
        <v>14</v>
      </c>
      <c r="D152" t="s">
        <v>18</v>
      </c>
      <c r="E152">
        <v>82.5</v>
      </c>
      <c r="F152">
        <v>68.5</v>
      </c>
      <c r="G152">
        <v>82</v>
      </c>
      <c r="H152">
        <v>80</v>
      </c>
      <c r="I152">
        <v>79</v>
      </c>
      <c r="J152">
        <f t="shared" si="8"/>
        <v>392</v>
      </c>
      <c r="K152" s="4">
        <f t="shared" si="9"/>
        <v>78.4</v>
      </c>
      <c r="L152">
        <f t="shared" si="10"/>
        <v>195</v>
      </c>
      <c r="M152" t="str">
        <f t="shared" si="11"/>
        <v>及格</v>
      </c>
    </row>
    <row r="153" hidden="1" spans="1:13">
      <c r="A153">
        <v>10152</v>
      </c>
      <c r="B153" t="s">
        <v>175</v>
      </c>
      <c r="C153" t="s">
        <v>14</v>
      </c>
      <c r="D153" t="s">
        <v>30</v>
      </c>
      <c r="E153">
        <v>79.5</v>
      </c>
      <c r="F153">
        <v>55.5</v>
      </c>
      <c r="G153">
        <v>80</v>
      </c>
      <c r="H153">
        <v>78</v>
      </c>
      <c r="I153">
        <v>76.5</v>
      </c>
      <c r="J153">
        <f t="shared" si="8"/>
        <v>369.5</v>
      </c>
      <c r="K153" s="4">
        <f t="shared" si="9"/>
        <v>73.9</v>
      </c>
      <c r="L153">
        <f t="shared" si="10"/>
        <v>339</v>
      </c>
      <c r="M153" t="str">
        <f t="shared" si="11"/>
        <v>及格</v>
      </c>
    </row>
    <row r="154" hidden="1" spans="1:13">
      <c r="A154">
        <v>10153</v>
      </c>
      <c r="B154" t="s">
        <v>176</v>
      </c>
      <c r="C154" t="s">
        <v>17</v>
      </c>
      <c r="D154" t="s">
        <v>37</v>
      </c>
      <c r="E154">
        <v>81</v>
      </c>
      <c r="F154">
        <v>71.5</v>
      </c>
      <c r="G154">
        <v>75.5</v>
      </c>
      <c r="H154">
        <v>73.5</v>
      </c>
      <c r="I154">
        <v>79.5</v>
      </c>
      <c r="J154">
        <f t="shared" si="8"/>
        <v>381</v>
      </c>
      <c r="K154" s="4">
        <f t="shared" si="9"/>
        <v>76.2</v>
      </c>
      <c r="L154">
        <f t="shared" si="10"/>
        <v>269</v>
      </c>
      <c r="M154" t="str">
        <f t="shared" si="11"/>
        <v>及格</v>
      </c>
    </row>
    <row r="155" hidden="1" spans="1:13">
      <c r="A155">
        <v>10154</v>
      </c>
      <c r="B155" t="s">
        <v>177</v>
      </c>
      <c r="C155" t="s">
        <v>17</v>
      </c>
      <c r="D155" t="s">
        <v>20</v>
      </c>
      <c r="E155">
        <v>73</v>
      </c>
      <c r="F155">
        <v>60.5</v>
      </c>
      <c r="G155">
        <v>73</v>
      </c>
      <c r="H155">
        <v>71</v>
      </c>
      <c r="I155">
        <v>78</v>
      </c>
      <c r="J155">
        <f t="shared" si="8"/>
        <v>355.5</v>
      </c>
      <c r="K155" s="4">
        <f t="shared" si="9"/>
        <v>71.1</v>
      </c>
      <c r="L155">
        <f t="shared" si="10"/>
        <v>400</v>
      </c>
      <c r="M155" t="str">
        <f t="shared" si="11"/>
        <v>及格</v>
      </c>
    </row>
    <row r="156" hidden="1" spans="1:13">
      <c r="A156">
        <v>10155</v>
      </c>
      <c r="B156" t="s">
        <v>178</v>
      </c>
      <c r="C156" t="s">
        <v>17</v>
      </c>
      <c r="D156" t="s">
        <v>20</v>
      </c>
      <c r="E156">
        <v>93</v>
      </c>
      <c r="F156">
        <v>95</v>
      </c>
      <c r="G156">
        <v>80</v>
      </c>
      <c r="H156">
        <v>68</v>
      </c>
      <c r="I156">
        <v>53.5</v>
      </c>
      <c r="J156">
        <f t="shared" si="8"/>
        <v>389.5</v>
      </c>
      <c r="K156" s="4">
        <f t="shared" si="9"/>
        <v>77.9</v>
      </c>
      <c r="L156">
        <f t="shared" si="10"/>
        <v>213</v>
      </c>
      <c r="M156" t="str">
        <f t="shared" si="11"/>
        <v>及格</v>
      </c>
    </row>
    <row r="157" hidden="1" spans="1:13">
      <c r="A157">
        <v>10156</v>
      </c>
      <c r="B157" t="s">
        <v>179</v>
      </c>
      <c r="C157" t="s">
        <v>17</v>
      </c>
      <c r="D157" t="s">
        <v>18</v>
      </c>
      <c r="E157">
        <v>76.5</v>
      </c>
      <c r="F157">
        <v>85</v>
      </c>
      <c r="G157">
        <v>88.5</v>
      </c>
      <c r="H157">
        <v>72</v>
      </c>
      <c r="I157">
        <v>86</v>
      </c>
      <c r="J157">
        <f t="shared" si="8"/>
        <v>408</v>
      </c>
      <c r="K157" s="4">
        <f t="shared" si="9"/>
        <v>81.6</v>
      </c>
      <c r="L157">
        <f t="shared" si="10"/>
        <v>119</v>
      </c>
      <c r="M157" t="str">
        <f t="shared" si="11"/>
        <v>及格</v>
      </c>
    </row>
    <row r="158" hidden="1" spans="1:13">
      <c r="A158">
        <v>10157</v>
      </c>
      <c r="B158" t="s">
        <v>180</v>
      </c>
      <c r="C158" t="s">
        <v>14</v>
      </c>
      <c r="D158" t="s">
        <v>15</v>
      </c>
      <c r="E158">
        <v>85.5</v>
      </c>
      <c r="F158">
        <v>76</v>
      </c>
      <c r="G158">
        <v>86</v>
      </c>
      <c r="H158">
        <v>84</v>
      </c>
      <c r="I158">
        <v>79.5</v>
      </c>
      <c r="J158">
        <f t="shared" si="8"/>
        <v>411</v>
      </c>
      <c r="K158" s="4">
        <f t="shared" si="9"/>
        <v>82.2</v>
      </c>
      <c r="L158">
        <f t="shared" si="10"/>
        <v>89</v>
      </c>
      <c r="M158" t="str">
        <f t="shared" si="11"/>
        <v>及格</v>
      </c>
    </row>
    <row r="159" hidden="1" spans="1:13">
      <c r="A159">
        <v>10158</v>
      </c>
      <c r="B159" t="s">
        <v>181</v>
      </c>
      <c r="C159" t="s">
        <v>14</v>
      </c>
      <c r="D159" t="s">
        <v>30</v>
      </c>
      <c r="E159">
        <v>91</v>
      </c>
      <c r="F159">
        <v>91</v>
      </c>
      <c r="G159">
        <v>95</v>
      </c>
      <c r="H159">
        <v>79.5</v>
      </c>
      <c r="I159">
        <v>74</v>
      </c>
      <c r="J159">
        <f t="shared" si="8"/>
        <v>430.5</v>
      </c>
      <c r="K159" s="4">
        <f t="shared" si="9"/>
        <v>86.1</v>
      </c>
      <c r="L159">
        <f t="shared" si="10"/>
        <v>32</v>
      </c>
      <c r="M159" t="str">
        <f t="shared" si="11"/>
        <v>优秀</v>
      </c>
    </row>
    <row r="160" hidden="1" spans="1:13">
      <c r="A160">
        <v>10159</v>
      </c>
      <c r="B160" t="s">
        <v>182</v>
      </c>
      <c r="C160" t="s">
        <v>17</v>
      </c>
      <c r="D160" t="s">
        <v>20</v>
      </c>
      <c r="E160">
        <v>77.5</v>
      </c>
      <c r="F160">
        <v>67</v>
      </c>
      <c r="G160">
        <v>62</v>
      </c>
      <c r="H160">
        <v>60</v>
      </c>
      <c r="I160">
        <v>84.5</v>
      </c>
      <c r="J160">
        <f t="shared" si="8"/>
        <v>351</v>
      </c>
      <c r="K160" s="4">
        <f t="shared" si="9"/>
        <v>70.2</v>
      </c>
      <c r="L160">
        <f t="shared" si="10"/>
        <v>407</v>
      </c>
      <c r="M160" t="str">
        <f t="shared" si="11"/>
        <v>及格</v>
      </c>
    </row>
    <row r="161" hidden="1" spans="1:13">
      <c r="A161">
        <v>10160</v>
      </c>
      <c r="B161" t="s">
        <v>183</v>
      </c>
      <c r="C161" t="s">
        <v>14</v>
      </c>
      <c r="D161" t="s">
        <v>15</v>
      </c>
      <c r="E161">
        <v>83</v>
      </c>
      <c r="F161">
        <v>66.5</v>
      </c>
      <c r="G161">
        <v>74</v>
      </c>
      <c r="H161">
        <v>72</v>
      </c>
      <c r="I161">
        <v>76</v>
      </c>
      <c r="J161">
        <f t="shared" si="8"/>
        <v>371.5</v>
      </c>
      <c r="K161" s="4">
        <f t="shared" si="9"/>
        <v>74.3</v>
      </c>
      <c r="L161">
        <f t="shared" si="10"/>
        <v>323</v>
      </c>
      <c r="M161" t="str">
        <f t="shared" si="11"/>
        <v>及格</v>
      </c>
    </row>
    <row r="162" hidden="1" spans="1:13">
      <c r="A162">
        <v>10161</v>
      </c>
      <c r="B162" t="s">
        <v>184</v>
      </c>
      <c r="C162" t="s">
        <v>14</v>
      </c>
      <c r="D162" t="s">
        <v>23</v>
      </c>
      <c r="E162">
        <v>84</v>
      </c>
      <c r="F162">
        <v>82</v>
      </c>
      <c r="G162">
        <v>81</v>
      </c>
      <c r="H162">
        <v>79</v>
      </c>
      <c r="I162">
        <v>83</v>
      </c>
      <c r="J162">
        <f t="shared" si="8"/>
        <v>409</v>
      </c>
      <c r="K162" s="4">
        <f t="shared" si="9"/>
        <v>81.8</v>
      </c>
      <c r="L162">
        <f t="shared" si="10"/>
        <v>105</v>
      </c>
      <c r="M162" t="str">
        <f t="shared" si="11"/>
        <v>及格</v>
      </c>
    </row>
    <row r="163" hidden="1" spans="1:13">
      <c r="A163">
        <v>10162</v>
      </c>
      <c r="B163" t="s">
        <v>185</v>
      </c>
      <c r="C163" t="s">
        <v>14</v>
      </c>
      <c r="D163" t="s">
        <v>23</v>
      </c>
      <c r="E163">
        <v>77</v>
      </c>
      <c r="F163">
        <v>84.5</v>
      </c>
      <c r="G163">
        <v>72.5</v>
      </c>
      <c r="H163">
        <v>70.5</v>
      </c>
      <c r="I163">
        <v>71.5</v>
      </c>
      <c r="J163">
        <f t="shared" si="8"/>
        <v>376</v>
      </c>
      <c r="K163" s="4">
        <f t="shared" si="9"/>
        <v>75.2</v>
      </c>
      <c r="L163">
        <f t="shared" si="10"/>
        <v>303</v>
      </c>
      <c r="M163" t="str">
        <f t="shared" si="11"/>
        <v>及格</v>
      </c>
    </row>
    <row r="164" hidden="1" spans="1:13">
      <c r="A164">
        <v>10163</v>
      </c>
      <c r="B164" t="s">
        <v>186</v>
      </c>
      <c r="C164" t="s">
        <v>14</v>
      </c>
      <c r="D164" t="s">
        <v>15</v>
      </c>
      <c r="E164">
        <v>75.5</v>
      </c>
      <c r="F164">
        <v>91.5</v>
      </c>
      <c r="G164">
        <v>83.5</v>
      </c>
      <c r="H164">
        <v>81.5</v>
      </c>
      <c r="I164">
        <v>83</v>
      </c>
      <c r="J164">
        <f t="shared" si="8"/>
        <v>415</v>
      </c>
      <c r="K164" s="4">
        <f t="shared" si="9"/>
        <v>83</v>
      </c>
      <c r="L164">
        <f t="shared" si="10"/>
        <v>68</v>
      </c>
      <c r="M164" t="str">
        <f t="shared" si="11"/>
        <v>及格</v>
      </c>
    </row>
    <row r="165" hidden="1" spans="1:13">
      <c r="A165">
        <v>10164</v>
      </c>
      <c r="B165" t="s">
        <v>187</v>
      </c>
      <c r="C165" t="s">
        <v>14</v>
      </c>
      <c r="D165" t="s">
        <v>23</v>
      </c>
      <c r="E165">
        <v>75.5</v>
      </c>
      <c r="F165">
        <v>68</v>
      </c>
      <c r="G165">
        <v>81</v>
      </c>
      <c r="H165">
        <v>79</v>
      </c>
      <c r="I165">
        <v>63.5</v>
      </c>
      <c r="J165">
        <f t="shared" si="8"/>
        <v>367</v>
      </c>
      <c r="K165" s="4">
        <f t="shared" si="9"/>
        <v>73.4</v>
      </c>
      <c r="L165">
        <f t="shared" si="10"/>
        <v>357</v>
      </c>
      <c r="M165" t="str">
        <f t="shared" si="11"/>
        <v>及格</v>
      </c>
    </row>
    <row r="166" hidden="1" spans="1:13">
      <c r="A166">
        <v>10165</v>
      </c>
      <c r="B166" t="s">
        <v>188</v>
      </c>
      <c r="C166" t="s">
        <v>14</v>
      </c>
      <c r="D166" t="s">
        <v>30</v>
      </c>
      <c r="E166">
        <v>75</v>
      </c>
      <c r="F166">
        <v>65.5</v>
      </c>
      <c r="G166">
        <v>80.5</v>
      </c>
      <c r="H166">
        <v>78.5</v>
      </c>
      <c r="I166">
        <v>87</v>
      </c>
      <c r="J166">
        <f t="shared" si="8"/>
        <v>386.5</v>
      </c>
      <c r="K166" s="4">
        <f t="shared" si="9"/>
        <v>77.3</v>
      </c>
      <c r="L166">
        <f t="shared" si="10"/>
        <v>231</v>
      </c>
      <c r="M166" t="str">
        <f t="shared" si="11"/>
        <v>及格</v>
      </c>
    </row>
    <row r="167" hidden="1" spans="1:13">
      <c r="A167">
        <v>10166</v>
      </c>
      <c r="B167" t="s">
        <v>189</v>
      </c>
      <c r="C167" t="s">
        <v>14</v>
      </c>
      <c r="D167" t="s">
        <v>23</v>
      </c>
      <c r="E167">
        <v>75.5</v>
      </c>
      <c r="F167">
        <v>65.5</v>
      </c>
      <c r="G167">
        <v>80</v>
      </c>
      <c r="H167">
        <v>78</v>
      </c>
      <c r="I167">
        <v>87.5</v>
      </c>
      <c r="J167">
        <f t="shared" si="8"/>
        <v>386.5</v>
      </c>
      <c r="K167" s="4">
        <f t="shared" si="9"/>
        <v>77.3</v>
      </c>
      <c r="L167">
        <f t="shared" si="10"/>
        <v>231</v>
      </c>
      <c r="M167" t="str">
        <f t="shared" si="11"/>
        <v>及格</v>
      </c>
    </row>
    <row r="168" hidden="1" spans="1:13">
      <c r="A168">
        <v>10167</v>
      </c>
      <c r="B168" t="s">
        <v>190</v>
      </c>
      <c r="C168" t="s">
        <v>14</v>
      </c>
      <c r="D168" t="s">
        <v>30</v>
      </c>
      <c r="E168">
        <v>76</v>
      </c>
      <c r="F168">
        <v>71.5</v>
      </c>
      <c r="G168">
        <v>81.5</v>
      </c>
      <c r="H168">
        <v>79.5</v>
      </c>
      <c r="I168">
        <v>74</v>
      </c>
      <c r="J168">
        <f t="shared" si="8"/>
        <v>382.5</v>
      </c>
      <c r="K168" s="4">
        <f t="shared" si="9"/>
        <v>76.5</v>
      </c>
      <c r="L168">
        <f t="shared" si="10"/>
        <v>258</v>
      </c>
      <c r="M168" t="str">
        <f t="shared" si="11"/>
        <v>及格</v>
      </c>
    </row>
    <row r="169" hidden="1" spans="1:13">
      <c r="A169">
        <v>10168</v>
      </c>
      <c r="B169" t="s">
        <v>191</v>
      </c>
      <c r="C169" t="s">
        <v>17</v>
      </c>
      <c r="D169" t="s">
        <v>20</v>
      </c>
      <c r="E169">
        <v>82.5</v>
      </c>
      <c r="F169">
        <v>70</v>
      </c>
      <c r="G169">
        <v>82.5</v>
      </c>
      <c r="H169">
        <v>80.5</v>
      </c>
      <c r="I169">
        <v>86.5</v>
      </c>
      <c r="J169">
        <f t="shared" si="8"/>
        <v>402</v>
      </c>
      <c r="K169" s="4">
        <f t="shared" si="9"/>
        <v>80.4</v>
      </c>
      <c r="L169">
        <f t="shared" si="10"/>
        <v>166</v>
      </c>
      <c r="M169" t="str">
        <f t="shared" si="11"/>
        <v>及格</v>
      </c>
    </row>
    <row r="170" hidden="1" spans="1:13">
      <c r="A170">
        <v>10169</v>
      </c>
      <c r="B170" t="s">
        <v>192</v>
      </c>
      <c r="C170" t="s">
        <v>17</v>
      </c>
      <c r="D170" t="s">
        <v>23</v>
      </c>
      <c r="E170">
        <v>52</v>
      </c>
      <c r="F170">
        <v>62.5</v>
      </c>
      <c r="G170">
        <v>70</v>
      </c>
      <c r="H170">
        <v>68</v>
      </c>
      <c r="I170">
        <v>71</v>
      </c>
      <c r="J170">
        <f t="shared" si="8"/>
        <v>323.5</v>
      </c>
      <c r="K170" s="4">
        <f t="shared" si="9"/>
        <v>64.7</v>
      </c>
      <c r="L170">
        <f t="shared" si="10"/>
        <v>490</v>
      </c>
      <c r="M170" t="str">
        <f t="shared" si="11"/>
        <v>及格</v>
      </c>
    </row>
    <row r="171" hidden="1" spans="1:13">
      <c r="A171">
        <v>10170</v>
      </c>
      <c r="B171" t="s">
        <v>193</v>
      </c>
      <c r="C171" t="s">
        <v>14</v>
      </c>
      <c r="D171" t="s">
        <v>18</v>
      </c>
      <c r="E171">
        <v>69.5</v>
      </c>
      <c r="F171">
        <v>75</v>
      </c>
      <c r="G171">
        <v>81.5</v>
      </c>
      <c r="H171">
        <v>79.5</v>
      </c>
      <c r="I171">
        <v>71.5</v>
      </c>
      <c r="J171">
        <f t="shared" si="8"/>
        <v>377</v>
      </c>
      <c r="K171" s="4">
        <f t="shared" si="9"/>
        <v>75.4</v>
      </c>
      <c r="L171">
        <f t="shared" si="10"/>
        <v>298</v>
      </c>
      <c r="M171" t="str">
        <f t="shared" si="11"/>
        <v>及格</v>
      </c>
    </row>
    <row r="172" hidden="1" spans="1:13">
      <c r="A172">
        <v>10171</v>
      </c>
      <c r="B172" t="s">
        <v>194</v>
      </c>
      <c r="C172" t="s">
        <v>14</v>
      </c>
      <c r="D172" t="s">
        <v>37</v>
      </c>
      <c r="E172">
        <v>62.5</v>
      </c>
      <c r="F172">
        <v>82.5</v>
      </c>
      <c r="G172">
        <v>83.5</v>
      </c>
      <c r="H172">
        <v>81.5</v>
      </c>
      <c r="I172">
        <v>87</v>
      </c>
      <c r="J172">
        <f t="shared" si="8"/>
        <v>397</v>
      </c>
      <c r="K172" s="4">
        <f t="shared" si="9"/>
        <v>79.4</v>
      </c>
      <c r="L172">
        <f t="shared" si="10"/>
        <v>187</v>
      </c>
      <c r="M172" t="str">
        <f t="shared" si="11"/>
        <v>及格</v>
      </c>
    </row>
    <row r="173" hidden="1" spans="1:13">
      <c r="A173">
        <v>10172</v>
      </c>
      <c r="B173" t="s">
        <v>195</v>
      </c>
      <c r="C173" t="s">
        <v>14</v>
      </c>
      <c r="D173" t="s">
        <v>30</v>
      </c>
      <c r="E173">
        <v>51</v>
      </c>
      <c r="F173">
        <v>62</v>
      </c>
      <c r="G173">
        <v>63</v>
      </c>
      <c r="H173">
        <v>61</v>
      </c>
      <c r="I173">
        <v>87.5</v>
      </c>
      <c r="J173">
        <f t="shared" si="8"/>
        <v>324.5</v>
      </c>
      <c r="K173" s="4">
        <f t="shared" si="9"/>
        <v>64.9</v>
      </c>
      <c r="L173">
        <f t="shared" si="10"/>
        <v>488</v>
      </c>
      <c r="M173" t="str">
        <f t="shared" si="11"/>
        <v>及格</v>
      </c>
    </row>
    <row r="174" hidden="1" spans="1:13">
      <c r="A174">
        <v>10173</v>
      </c>
      <c r="B174" t="s">
        <v>196</v>
      </c>
      <c r="C174" t="s">
        <v>14</v>
      </c>
      <c r="D174" t="s">
        <v>30</v>
      </c>
      <c r="E174">
        <v>63.5</v>
      </c>
      <c r="F174">
        <v>92.5</v>
      </c>
      <c r="G174">
        <v>84.5</v>
      </c>
      <c r="H174">
        <v>82.5</v>
      </c>
      <c r="I174">
        <v>91.5</v>
      </c>
      <c r="J174">
        <f t="shared" si="8"/>
        <v>414.5</v>
      </c>
      <c r="K174" s="4">
        <f t="shared" si="9"/>
        <v>82.9</v>
      </c>
      <c r="L174">
        <f t="shared" si="10"/>
        <v>71</v>
      </c>
      <c r="M174" t="str">
        <f t="shared" si="11"/>
        <v>及格</v>
      </c>
    </row>
    <row r="175" hidden="1" spans="1:13">
      <c r="A175">
        <v>10174</v>
      </c>
      <c r="B175" t="s">
        <v>197</v>
      </c>
      <c r="C175" t="s">
        <v>14</v>
      </c>
      <c r="D175" t="s">
        <v>23</v>
      </c>
      <c r="E175">
        <v>93</v>
      </c>
      <c r="F175">
        <v>72</v>
      </c>
      <c r="G175">
        <v>87.5</v>
      </c>
      <c r="H175">
        <v>85.5</v>
      </c>
      <c r="I175">
        <v>75</v>
      </c>
      <c r="J175">
        <f t="shared" si="8"/>
        <v>413</v>
      </c>
      <c r="K175" s="4">
        <f t="shared" si="9"/>
        <v>82.6</v>
      </c>
      <c r="L175">
        <f t="shared" si="10"/>
        <v>76</v>
      </c>
      <c r="M175" t="str">
        <f t="shared" si="11"/>
        <v>及格</v>
      </c>
    </row>
    <row r="176" hidden="1" spans="1:13">
      <c r="A176">
        <v>10175</v>
      </c>
      <c r="B176" t="s">
        <v>198</v>
      </c>
      <c r="C176" t="s">
        <v>17</v>
      </c>
      <c r="D176" t="s">
        <v>18</v>
      </c>
      <c r="E176">
        <v>79</v>
      </c>
      <c r="F176">
        <v>84.5</v>
      </c>
      <c r="G176">
        <v>72</v>
      </c>
      <c r="H176">
        <v>70</v>
      </c>
      <c r="I176">
        <v>87.5</v>
      </c>
      <c r="J176">
        <f t="shared" si="8"/>
        <v>393</v>
      </c>
      <c r="K176" s="4">
        <f t="shared" si="9"/>
        <v>78.6</v>
      </c>
      <c r="L176">
        <f t="shared" si="10"/>
        <v>192</v>
      </c>
      <c r="M176" t="str">
        <f t="shared" si="11"/>
        <v>及格</v>
      </c>
    </row>
    <row r="177" hidden="1" spans="1:13">
      <c r="A177">
        <v>10176</v>
      </c>
      <c r="B177" t="s">
        <v>199</v>
      </c>
      <c r="C177" t="s">
        <v>14</v>
      </c>
      <c r="D177" t="s">
        <v>15</v>
      </c>
      <c r="E177">
        <v>72</v>
      </c>
      <c r="F177">
        <v>73.5</v>
      </c>
      <c r="G177">
        <v>74</v>
      </c>
      <c r="H177">
        <v>72</v>
      </c>
      <c r="I177">
        <v>72</v>
      </c>
      <c r="J177">
        <f t="shared" si="8"/>
        <v>363.5</v>
      </c>
      <c r="K177" s="4">
        <f t="shared" si="9"/>
        <v>72.7</v>
      </c>
      <c r="L177">
        <f t="shared" si="10"/>
        <v>370</v>
      </c>
      <c r="M177" t="str">
        <f t="shared" si="11"/>
        <v>及格</v>
      </c>
    </row>
    <row r="178" hidden="1" spans="1:13">
      <c r="A178">
        <v>10177</v>
      </c>
      <c r="B178" t="s">
        <v>200</v>
      </c>
      <c r="C178" t="s">
        <v>14</v>
      </c>
      <c r="D178" t="s">
        <v>37</v>
      </c>
      <c r="E178">
        <v>77.5</v>
      </c>
      <c r="F178">
        <v>80.5</v>
      </c>
      <c r="G178">
        <v>94</v>
      </c>
      <c r="H178">
        <v>92</v>
      </c>
      <c r="I178">
        <v>83.5</v>
      </c>
      <c r="J178">
        <f t="shared" si="8"/>
        <v>427.5</v>
      </c>
      <c r="K178" s="4">
        <f t="shared" si="9"/>
        <v>85.5</v>
      </c>
      <c r="L178">
        <f t="shared" si="10"/>
        <v>37</v>
      </c>
      <c r="M178" t="str">
        <f t="shared" si="11"/>
        <v>优秀</v>
      </c>
    </row>
    <row r="179" hidden="1" spans="1:13">
      <c r="A179">
        <v>10178</v>
      </c>
      <c r="B179" t="s">
        <v>201</v>
      </c>
      <c r="C179" t="s">
        <v>17</v>
      </c>
      <c r="D179" t="s">
        <v>20</v>
      </c>
      <c r="E179">
        <v>64</v>
      </c>
      <c r="F179">
        <v>85</v>
      </c>
      <c r="G179">
        <v>77</v>
      </c>
      <c r="H179">
        <v>75</v>
      </c>
      <c r="I179">
        <v>85.5</v>
      </c>
      <c r="J179">
        <f t="shared" si="8"/>
        <v>386.5</v>
      </c>
      <c r="K179" s="4">
        <f t="shared" si="9"/>
        <v>77.3</v>
      </c>
      <c r="L179">
        <f t="shared" si="10"/>
        <v>231</v>
      </c>
      <c r="M179" t="str">
        <f t="shared" si="11"/>
        <v>及格</v>
      </c>
    </row>
    <row r="180" hidden="1" spans="1:13">
      <c r="A180">
        <v>10179</v>
      </c>
      <c r="B180" t="s">
        <v>202</v>
      </c>
      <c r="C180" t="s">
        <v>17</v>
      </c>
      <c r="D180" t="s">
        <v>23</v>
      </c>
      <c r="E180">
        <v>81</v>
      </c>
      <c r="F180">
        <v>79</v>
      </c>
      <c r="G180">
        <v>82.5</v>
      </c>
      <c r="H180">
        <v>80.5</v>
      </c>
      <c r="I180">
        <v>83</v>
      </c>
      <c r="J180">
        <f t="shared" si="8"/>
        <v>406</v>
      </c>
      <c r="K180" s="4">
        <f t="shared" si="9"/>
        <v>81.2</v>
      </c>
      <c r="L180">
        <f t="shared" si="10"/>
        <v>138</v>
      </c>
      <c r="M180" t="str">
        <f t="shared" si="11"/>
        <v>及格</v>
      </c>
    </row>
    <row r="181" hidden="1" spans="1:13">
      <c r="A181">
        <v>10180</v>
      </c>
      <c r="B181" t="s">
        <v>203</v>
      </c>
      <c r="C181" t="s">
        <v>17</v>
      </c>
      <c r="D181" t="s">
        <v>37</v>
      </c>
      <c r="E181">
        <v>79</v>
      </c>
      <c r="F181">
        <v>83.5</v>
      </c>
      <c r="G181">
        <v>63</v>
      </c>
      <c r="H181">
        <v>61</v>
      </c>
      <c r="I181">
        <v>77</v>
      </c>
      <c r="J181">
        <f t="shared" si="8"/>
        <v>363.5</v>
      </c>
      <c r="K181" s="4">
        <f t="shared" si="9"/>
        <v>72.7</v>
      </c>
      <c r="L181">
        <f t="shared" si="10"/>
        <v>370</v>
      </c>
      <c r="M181" t="str">
        <f t="shared" si="11"/>
        <v>及格</v>
      </c>
    </row>
    <row r="182" hidden="1" spans="1:13">
      <c r="A182">
        <v>10181</v>
      </c>
      <c r="B182" t="s">
        <v>204</v>
      </c>
      <c r="C182" t="s">
        <v>14</v>
      </c>
      <c r="D182" t="s">
        <v>20</v>
      </c>
      <c r="E182">
        <v>68.5</v>
      </c>
      <c r="F182">
        <v>71</v>
      </c>
      <c r="G182">
        <v>76.5</v>
      </c>
      <c r="H182">
        <v>74.5</v>
      </c>
      <c r="I182">
        <v>71.5</v>
      </c>
      <c r="J182">
        <f t="shared" si="8"/>
        <v>362</v>
      </c>
      <c r="K182" s="4">
        <f t="shared" si="9"/>
        <v>72.4</v>
      </c>
      <c r="L182">
        <f t="shared" si="10"/>
        <v>379</v>
      </c>
      <c r="M182" t="str">
        <f t="shared" si="11"/>
        <v>及格</v>
      </c>
    </row>
    <row r="183" hidden="1" spans="1:13">
      <c r="A183">
        <v>10182</v>
      </c>
      <c r="B183" t="s">
        <v>205</v>
      </c>
      <c r="C183" t="s">
        <v>17</v>
      </c>
      <c r="D183" t="s">
        <v>20</v>
      </c>
      <c r="E183">
        <v>69.5</v>
      </c>
      <c r="F183">
        <v>69.5</v>
      </c>
      <c r="G183">
        <v>76</v>
      </c>
      <c r="H183">
        <v>74</v>
      </c>
      <c r="I183">
        <v>93.5</v>
      </c>
      <c r="J183">
        <f t="shared" si="8"/>
        <v>382.5</v>
      </c>
      <c r="K183" s="4">
        <f t="shared" si="9"/>
        <v>76.5</v>
      </c>
      <c r="L183">
        <f t="shared" si="10"/>
        <v>258</v>
      </c>
      <c r="M183" t="str">
        <f t="shared" si="11"/>
        <v>及格</v>
      </c>
    </row>
    <row r="184" hidden="1" spans="1:13">
      <c r="A184">
        <v>10183</v>
      </c>
      <c r="B184" t="s">
        <v>206</v>
      </c>
      <c r="C184" t="s">
        <v>14</v>
      </c>
      <c r="D184" t="s">
        <v>15</v>
      </c>
      <c r="E184">
        <v>70</v>
      </c>
      <c r="F184">
        <v>76.5</v>
      </c>
      <c r="G184">
        <v>74</v>
      </c>
      <c r="H184">
        <v>72</v>
      </c>
      <c r="I184">
        <v>78</v>
      </c>
      <c r="J184">
        <f t="shared" si="8"/>
        <v>370.5</v>
      </c>
      <c r="K184" s="4">
        <f t="shared" si="9"/>
        <v>74.1</v>
      </c>
      <c r="L184">
        <f t="shared" si="10"/>
        <v>335</v>
      </c>
      <c r="M184" t="str">
        <f t="shared" si="11"/>
        <v>及格</v>
      </c>
    </row>
    <row r="185" hidden="1" spans="1:13">
      <c r="A185">
        <v>10184</v>
      </c>
      <c r="B185" t="s">
        <v>207</v>
      </c>
      <c r="C185" t="s">
        <v>14</v>
      </c>
      <c r="D185" t="s">
        <v>15</v>
      </c>
      <c r="E185">
        <v>75.5</v>
      </c>
      <c r="F185">
        <v>59</v>
      </c>
      <c r="G185">
        <v>86.5</v>
      </c>
      <c r="H185">
        <v>84.5</v>
      </c>
      <c r="I185">
        <v>77.5</v>
      </c>
      <c r="J185">
        <f t="shared" si="8"/>
        <v>383</v>
      </c>
      <c r="K185" s="4">
        <f t="shared" si="9"/>
        <v>76.6</v>
      </c>
      <c r="L185">
        <f t="shared" si="10"/>
        <v>255</v>
      </c>
      <c r="M185" t="str">
        <f t="shared" si="11"/>
        <v>及格</v>
      </c>
    </row>
    <row r="186" hidden="1" spans="1:13">
      <c r="A186">
        <v>10185</v>
      </c>
      <c r="B186" t="s">
        <v>208</v>
      </c>
      <c r="C186" t="s">
        <v>14</v>
      </c>
      <c r="D186" t="s">
        <v>23</v>
      </c>
      <c r="E186">
        <v>64.5</v>
      </c>
      <c r="F186">
        <v>82.5</v>
      </c>
      <c r="G186">
        <v>71.5</v>
      </c>
      <c r="H186">
        <v>69.5</v>
      </c>
      <c r="I186">
        <v>81.5</v>
      </c>
      <c r="J186">
        <f t="shared" si="8"/>
        <v>369.5</v>
      </c>
      <c r="K186" s="4">
        <f t="shared" si="9"/>
        <v>73.9</v>
      </c>
      <c r="L186">
        <f t="shared" si="10"/>
        <v>339</v>
      </c>
      <c r="M186" t="str">
        <f t="shared" si="11"/>
        <v>及格</v>
      </c>
    </row>
    <row r="187" hidden="1" spans="1:13">
      <c r="A187">
        <v>10186</v>
      </c>
      <c r="B187" t="s">
        <v>209</v>
      </c>
      <c r="C187" t="s">
        <v>17</v>
      </c>
      <c r="D187" t="s">
        <v>37</v>
      </c>
      <c r="E187">
        <v>75.5</v>
      </c>
      <c r="F187">
        <v>64.5</v>
      </c>
      <c r="G187">
        <v>74.5</v>
      </c>
      <c r="H187">
        <v>72.5</v>
      </c>
      <c r="I187">
        <v>82</v>
      </c>
      <c r="J187">
        <f t="shared" si="8"/>
        <v>369</v>
      </c>
      <c r="K187" s="4">
        <f t="shared" si="9"/>
        <v>73.8</v>
      </c>
      <c r="L187">
        <f t="shared" si="10"/>
        <v>344</v>
      </c>
      <c r="M187" t="str">
        <f t="shared" si="11"/>
        <v>及格</v>
      </c>
    </row>
    <row r="188" hidden="1" spans="1:13">
      <c r="A188">
        <v>10187</v>
      </c>
      <c r="B188" t="s">
        <v>210</v>
      </c>
      <c r="C188" t="s">
        <v>14</v>
      </c>
      <c r="D188" t="s">
        <v>37</v>
      </c>
      <c r="E188">
        <v>74.5</v>
      </c>
      <c r="F188">
        <v>68</v>
      </c>
      <c r="G188">
        <v>83</v>
      </c>
      <c r="H188">
        <v>81</v>
      </c>
      <c r="I188">
        <v>65</v>
      </c>
      <c r="J188">
        <f t="shared" si="8"/>
        <v>371.5</v>
      </c>
      <c r="K188" s="4">
        <f t="shared" si="9"/>
        <v>74.3</v>
      </c>
      <c r="L188">
        <f t="shared" si="10"/>
        <v>323</v>
      </c>
      <c r="M188" t="str">
        <f t="shared" si="11"/>
        <v>及格</v>
      </c>
    </row>
    <row r="189" hidden="1" spans="1:13">
      <c r="A189">
        <v>10188</v>
      </c>
      <c r="B189" t="s">
        <v>211</v>
      </c>
      <c r="C189" t="s">
        <v>14</v>
      </c>
      <c r="D189" t="s">
        <v>23</v>
      </c>
      <c r="E189">
        <v>87</v>
      </c>
      <c r="F189">
        <v>82</v>
      </c>
      <c r="G189">
        <v>68</v>
      </c>
      <c r="H189">
        <v>66</v>
      </c>
      <c r="I189">
        <v>76.5</v>
      </c>
      <c r="J189">
        <f t="shared" si="8"/>
        <v>379.5</v>
      </c>
      <c r="K189" s="4">
        <f t="shared" si="9"/>
        <v>75.9</v>
      </c>
      <c r="L189">
        <f t="shared" si="10"/>
        <v>276</v>
      </c>
      <c r="M189" t="str">
        <f t="shared" si="11"/>
        <v>及格</v>
      </c>
    </row>
    <row r="190" hidden="1" spans="1:13">
      <c r="A190">
        <v>10189</v>
      </c>
      <c r="B190" t="s">
        <v>212</v>
      </c>
      <c r="C190" t="s">
        <v>14</v>
      </c>
      <c r="D190" t="s">
        <v>20</v>
      </c>
      <c r="E190">
        <v>56</v>
      </c>
      <c r="F190">
        <v>67.5</v>
      </c>
      <c r="G190">
        <v>65</v>
      </c>
      <c r="H190">
        <v>63</v>
      </c>
      <c r="I190">
        <v>65</v>
      </c>
      <c r="J190">
        <f t="shared" si="8"/>
        <v>316.5</v>
      </c>
      <c r="K190" s="4">
        <f t="shared" si="9"/>
        <v>63.3</v>
      </c>
      <c r="L190">
        <f t="shared" si="10"/>
        <v>495</v>
      </c>
      <c r="M190" t="str">
        <f t="shared" si="11"/>
        <v>及格</v>
      </c>
    </row>
    <row r="191" hidden="1" spans="1:13">
      <c r="A191">
        <v>10190</v>
      </c>
      <c r="B191" t="s">
        <v>213</v>
      </c>
      <c r="C191" t="s">
        <v>14</v>
      </c>
      <c r="D191" t="s">
        <v>37</v>
      </c>
      <c r="E191">
        <v>69.5</v>
      </c>
      <c r="F191">
        <v>62.5</v>
      </c>
      <c r="G191">
        <v>74.5</v>
      </c>
      <c r="H191">
        <v>65</v>
      </c>
      <c r="I191">
        <v>68.5</v>
      </c>
      <c r="J191">
        <f t="shared" si="8"/>
        <v>340</v>
      </c>
      <c r="K191" s="4">
        <f t="shared" si="9"/>
        <v>68</v>
      </c>
      <c r="L191">
        <f t="shared" si="10"/>
        <v>448</v>
      </c>
      <c r="M191" t="str">
        <f t="shared" si="11"/>
        <v>及格</v>
      </c>
    </row>
    <row r="192" hidden="1" spans="1:13">
      <c r="A192">
        <v>10191</v>
      </c>
      <c r="B192" t="s">
        <v>214</v>
      </c>
      <c r="C192" t="s">
        <v>14</v>
      </c>
      <c r="D192" t="s">
        <v>23</v>
      </c>
      <c r="E192">
        <v>60</v>
      </c>
      <c r="F192">
        <v>75.5</v>
      </c>
      <c r="G192">
        <v>88</v>
      </c>
      <c r="H192">
        <v>86</v>
      </c>
      <c r="I192">
        <v>78</v>
      </c>
      <c r="J192">
        <f t="shared" si="8"/>
        <v>387.5</v>
      </c>
      <c r="K192" s="4">
        <f t="shared" si="9"/>
        <v>77.5</v>
      </c>
      <c r="L192">
        <f t="shared" si="10"/>
        <v>227</v>
      </c>
      <c r="M192" t="str">
        <f t="shared" si="11"/>
        <v>及格</v>
      </c>
    </row>
    <row r="193" hidden="1" spans="1:13">
      <c r="A193">
        <v>10192</v>
      </c>
      <c r="B193" t="s">
        <v>215</v>
      </c>
      <c r="C193" t="s">
        <v>14</v>
      </c>
      <c r="D193" t="s">
        <v>18</v>
      </c>
      <c r="E193">
        <v>72.5</v>
      </c>
      <c r="F193">
        <v>74.5</v>
      </c>
      <c r="G193">
        <v>71.5</v>
      </c>
      <c r="H193">
        <v>69.5</v>
      </c>
      <c r="I193">
        <v>81</v>
      </c>
      <c r="J193">
        <f t="shared" si="8"/>
        <v>369</v>
      </c>
      <c r="K193" s="4">
        <f t="shared" si="9"/>
        <v>73.8</v>
      </c>
      <c r="L193">
        <f t="shared" si="10"/>
        <v>344</v>
      </c>
      <c r="M193" t="str">
        <f t="shared" si="11"/>
        <v>及格</v>
      </c>
    </row>
    <row r="194" hidden="1" spans="1:13">
      <c r="A194">
        <v>10193</v>
      </c>
      <c r="B194" t="s">
        <v>216</v>
      </c>
      <c r="C194" t="s">
        <v>17</v>
      </c>
      <c r="D194" t="s">
        <v>37</v>
      </c>
      <c r="E194">
        <v>84</v>
      </c>
      <c r="F194">
        <v>67</v>
      </c>
      <c r="G194">
        <v>79</v>
      </c>
      <c r="H194">
        <v>87</v>
      </c>
      <c r="I194">
        <v>83.5</v>
      </c>
      <c r="J194">
        <f t="shared" si="8"/>
        <v>400.5</v>
      </c>
      <c r="K194" s="4">
        <f t="shared" si="9"/>
        <v>80.1</v>
      </c>
      <c r="L194">
        <f t="shared" si="10"/>
        <v>177</v>
      </c>
      <c r="M194" t="str">
        <f t="shared" si="11"/>
        <v>及格</v>
      </c>
    </row>
    <row r="195" hidden="1" spans="1:13">
      <c r="A195">
        <v>10194</v>
      </c>
      <c r="B195" t="s">
        <v>217</v>
      </c>
      <c r="C195" t="s">
        <v>17</v>
      </c>
      <c r="D195" t="s">
        <v>20</v>
      </c>
      <c r="E195">
        <v>69</v>
      </c>
      <c r="F195">
        <v>91.5</v>
      </c>
      <c r="G195">
        <v>74.5</v>
      </c>
      <c r="H195">
        <v>72.5</v>
      </c>
      <c r="I195">
        <v>72</v>
      </c>
      <c r="J195">
        <f t="shared" ref="J195:J258" si="12">SUM(E195:I195)</f>
        <v>379.5</v>
      </c>
      <c r="K195" s="4">
        <f t="shared" ref="K195:K258" si="13">AVERAGE(E195:I195)</f>
        <v>75.9</v>
      </c>
      <c r="L195">
        <f t="shared" ref="L195:L258" si="14">RANK(K195,$K$2:$K$503)</f>
        <v>276</v>
      </c>
      <c r="M195" t="str">
        <f t="shared" ref="M195:M258" si="15">IF(K195&gt;=85,"优秀",IF(K195&gt;=60,"及格","不及格"))</f>
        <v>及格</v>
      </c>
    </row>
    <row r="196" hidden="1" spans="1:13">
      <c r="A196">
        <v>10195</v>
      </c>
      <c r="B196" t="s">
        <v>218</v>
      </c>
      <c r="C196" t="s">
        <v>17</v>
      </c>
      <c r="D196" t="s">
        <v>15</v>
      </c>
      <c r="E196">
        <v>93</v>
      </c>
      <c r="F196">
        <v>90</v>
      </c>
      <c r="G196">
        <v>93</v>
      </c>
      <c r="H196">
        <v>89</v>
      </c>
      <c r="I196">
        <v>87.5</v>
      </c>
      <c r="J196">
        <f t="shared" si="12"/>
        <v>452.5</v>
      </c>
      <c r="K196" s="4">
        <f t="shared" si="13"/>
        <v>90.5</v>
      </c>
      <c r="L196">
        <f t="shared" si="14"/>
        <v>19</v>
      </c>
      <c r="M196" t="str">
        <f t="shared" si="15"/>
        <v>优秀</v>
      </c>
    </row>
    <row r="197" hidden="1" spans="1:13">
      <c r="A197">
        <v>10196</v>
      </c>
      <c r="B197" t="s">
        <v>219</v>
      </c>
      <c r="C197" t="s">
        <v>17</v>
      </c>
      <c r="D197" t="s">
        <v>23</v>
      </c>
      <c r="E197">
        <v>70</v>
      </c>
      <c r="F197">
        <v>68.5</v>
      </c>
      <c r="G197">
        <v>80</v>
      </c>
      <c r="H197">
        <v>78</v>
      </c>
      <c r="I197">
        <v>91.5</v>
      </c>
      <c r="J197">
        <f t="shared" si="12"/>
        <v>388</v>
      </c>
      <c r="K197" s="4">
        <f t="shared" si="13"/>
        <v>77.6</v>
      </c>
      <c r="L197">
        <f t="shared" si="14"/>
        <v>220</v>
      </c>
      <c r="M197" t="str">
        <f t="shared" si="15"/>
        <v>及格</v>
      </c>
    </row>
    <row r="198" hidden="1" spans="1:13">
      <c r="A198">
        <v>10197</v>
      </c>
      <c r="B198" t="s">
        <v>220</v>
      </c>
      <c r="C198" t="s">
        <v>17</v>
      </c>
      <c r="D198" t="s">
        <v>30</v>
      </c>
      <c r="E198">
        <v>65.5</v>
      </c>
      <c r="F198">
        <v>67.5</v>
      </c>
      <c r="G198">
        <v>71</v>
      </c>
      <c r="H198">
        <v>69</v>
      </c>
      <c r="I198">
        <v>68</v>
      </c>
      <c r="J198">
        <f t="shared" si="12"/>
        <v>341</v>
      </c>
      <c r="K198" s="4">
        <f t="shared" si="13"/>
        <v>68.2</v>
      </c>
      <c r="L198">
        <f t="shared" si="14"/>
        <v>435</v>
      </c>
      <c r="M198" t="str">
        <f t="shared" si="15"/>
        <v>及格</v>
      </c>
    </row>
    <row r="199" hidden="1" spans="1:13">
      <c r="A199">
        <v>10198</v>
      </c>
      <c r="B199" t="s">
        <v>221</v>
      </c>
      <c r="C199" t="s">
        <v>17</v>
      </c>
      <c r="D199" t="s">
        <v>20</v>
      </c>
      <c r="E199">
        <v>85</v>
      </c>
      <c r="F199">
        <v>73</v>
      </c>
      <c r="G199">
        <v>83.5</v>
      </c>
      <c r="H199">
        <v>81.5</v>
      </c>
      <c r="I199">
        <v>77.5</v>
      </c>
      <c r="J199">
        <f t="shared" si="12"/>
        <v>400.5</v>
      </c>
      <c r="K199" s="4">
        <f t="shared" si="13"/>
        <v>80.1</v>
      </c>
      <c r="L199">
        <f t="shared" si="14"/>
        <v>177</v>
      </c>
      <c r="M199" t="str">
        <f t="shared" si="15"/>
        <v>及格</v>
      </c>
    </row>
    <row r="200" hidden="1" spans="1:13">
      <c r="A200">
        <v>10199</v>
      </c>
      <c r="B200" t="s">
        <v>222</v>
      </c>
      <c r="C200" t="s">
        <v>14</v>
      </c>
      <c r="D200" t="s">
        <v>15</v>
      </c>
      <c r="E200">
        <v>68</v>
      </c>
      <c r="F200">
        <v>70.5</v>
      </c>
      <c r="G200">
        <v>70</v>
      </c>
      <c r="H200">
        <v>68</v>
      </c>
      <c r="I200">
        <v>72</v>
      </c>
      <c r="J200">
        <f t="shared" si="12"/>
        <v>348.5</v>
      </c>
      <c r="K200" s="4">
        <f t="shared" si="13"/>
        <v>69.7</v>
      </c>
      <c r="L200">
        <f t="shared" si="14"/>
        <v>410</v>
      </c>
      <c r="M200" t="str">
        <f t="shared" si="15"/>
        <v>及格</v>
      </c>
    </row>
    <row r="201" hidden="1" spans="1:13">
      <c r="A201">
        <v>10200</v>
      </c>
      <c r="B201" t="s">
        <v>223</v>
      </c>
      <c r="C201" t="s">
        <v>14</v>
      </c>
      <c r="D201" t="s">
        <v>20</v>
      </c>
      <c r="E201">
        <v>76.5</v>
      </c>
      <c r="F201">
        <v>80.5</v>
      </c>
      <c r="G201">
        <v>81.5</v>
      </c>
      <c r="H201">
        <v>79.5</v>
      </c>
      <c r="I201">
        <v>81</v>
      </c>
      <c r="J201">
        <f t="shared" si="12"/>
        <v>399</v>
      </c>
      <c r="K201" s="4">
        <f t="shared" si="13"/>
        <v>79.8</v>
      </c>
      <c r="L201">
        <f t="shared" si="14"/>
        <v>185</v>
      </c>
      <c r="M201" t="str">
        <f t="shared" si="15"/>
        <v>及格</v>
      </c>
    </row>
    <row r="202" hidden="1" spans="1:13">
      <c r="A202">
        <v>10201</v>
      </c>
      <c r="B202" t="s">
        <v>224</v>
      </c>
      <c r="C202" t="s">
        <v>17</v>
      </c>
      <c r="D202" t="s">
        <v>37</v>
      </c>
      <c r="E202">
        <v>91</v>
      </c>
      <c r="F202">
        <v>85.5</v>
      </c>
      <c r="G202">
        <v>97</v>
      </c>
      <c r="H202">
        <v>86</v>
      </c>
      <c r="I202">
        <v>64</v>
      </c>
      <c r="J202">
        <f t="shared" si="12"/>
        <v>423.5</v>
      </c>
      <c r="K202" s="4">
        <f t="shared" si="13"/>
        <v>84.7</v>
      </c>
      <c r="L202">
        <f t="shared" si="14"/>
        <v>41</v>
      </c>
      <c r="M202" t="str">
        <f t="shared" si="15"/>
        <v>及格</v>
      </c>
    </row>
    <row r="203" hidden="1" spans="1:13">
      <c r="A203">
        <v>10202</v>
      </c>
      <c r="B203" t="s">
        <v>225</v>
      </c>
      <c r="C203" t="s">
        <v>17</v>
      </c>
      <c r="D203" t="s">
        <v>15</v>
      </c>
      <c r="E203">
        <v>81.5</v>
      </c>
      <c r="F203">
        <v>69</v>
      </c>
      <c r="G203">
        <v>81</v>
      </c>
      <c r="H203">
        <v>79</v>
      </c>
      <c r="I203">
        <v>71</v>
      </c>
      <c r="J203">
        <f t="shared" si="12"/>
        <v>381.5</v>
      </c>
      <c r="K203" s="4">
        <f t="shared" si="13"/>
        <v>76.3</v>
      </c>
      <c r="L203">
        <f t="shared" si="14"/>
        <v>268</v>
      </c>
      <c r="M203" t="str">
        <f t="shared" si="15"/>
        <v>及格</v>
      </c>
    </row>
    <row r="204" hidden="1" spans="1:13">
      <c r="A204">
        <v>10203</v>
      </c>
      <c r="B204" t="s">
        <v>226</v>
      </c>
      <c r="C204" t="s">
        <v>17</v>
      </c>
      <c r="D204" t="s">
        <v>23</v>
      </c>
      <c r="E204">
        <v>81</v>
      </c>
      <c r="F204">
        <v>71.5</v>
      </c>
      <c r="G204">
        <v>74</v>
      </c>
      <c r="H204">
        <v>72</v>
      </c>
      <c r="I204">
        <v>79</v>
      </c>
      <c r="J204">
        <f t="shared" si="12"/>
        <v>377.5</v>
      </c>
      <c r="K204" s="4">
        <f t="shared" si="13"/>
        <v>75.5</v>
      </c>
      <c r="L204">
        <f t="shared" si="14"/>
        <v>293</v>
      </c>
      <c r="M204" t="str">
        <f t="shared" si="15"/>
        <v>及格</v>
      </c>
    </row>
    <row r="205" hidden="1" spans="1:13">
      <c r="A205">
        <v>10204</v>
      </c>
      <c r="B205" t="s">
        <v>227</v>
      </c>
      <c r="C205" t="s">
        <v>17</v>
      </c>
      <c r="D205" t="s">
        <v>30</v>
      </c>
      <c r="E205">
        <v>76.5</v>
      </c>
      <c r="F205">
        <v>88</v>
      </c>
      <c r="G205">
        <v>75.5</v>
      </c>
      <c r="H205">
        <v>73.5</v>
      </c>
      <c r="I205">
        <v>92</v>
      </c>
      <c r="J205">
        <f t="shared" si="12"/>
        <v>405.5</v>
      </c>
      <c r="K205" s="4">
        <f t="shared" si="13"/>
        <v>81.1</v>
      </c>
      <c r="L205">
        <f t="shared" si="14"/>
        <v>145</v>
      </c>
      <c r="M205" t="str">
        <f t="shared" si="15"/>
        <v>及格</v>
      </c>
    </row>
    <row r="206" hidden="1" spans="1:13">
      <c r="A206">
        <v>10205</v>
      </c>
      <c r="B206" t="s">
        <v>228</v>
      </c>
      <c r="C206" t="s">
        <v>14</v>
      </c>
      <c r="D206" t="s">
        <v>18</v>
      </c>
      <c r="E206">
        <v>86.5</v>
      </c>
      <c r="F206">
        <v>79</v>
      </c>
      <c r="G206">
        <v>82</v>
      </c>
      <c r="H206">
        <v>75</v>
      </c>
      <c r="I206">
        <v>82</v>
      </c>
      <c r="J206">
        <f t="shared" si="12"/>
        <v>404.5</v>
      </c>
      <c r="K206" s="4">
        <f t="shared" si="13"/>
        <v>80.9</v>
      </c>
      <c r="L206">
        <f t="shared" si="14"/>
        <v>152</v>
      </c>
      <c r="M206" t="str">
        <f t="shared" si="15"/>
        <v>及格</v>
      </c>
    </row>
    <row r="207" hidden="1" spans="1:13">
      <c r="A207">
        <v>10206</v>
      </c>
      <c r="B207" t="s">
        <v>229</v>
      </c>
      <c r="C207" t="s">
        <v>14</v>
      </c>
      <c r="D207" t="s">
        <v>18</v>
      </c>
      <c r="E207">
        <v>78</v>
      </c>
      <c r="F207">
        <v>83</v>
      </c>
      <c r="G207">
        <v>53</v>
      </c>
      <c r="H207">
        <v>51</v>
      </c>
      <c r="I207">
        <v>86.5</v>
      </c>
      <c r="J207">
        <f t="shared" si="12"/>
        <v>351.5</v>
      </c>
      <c r="K207" s="4">
        <f t="shared" si="13"/>
        <v>70.3</v>
      </c>
      <c r="L207">
        <f t="shared" si="14"/>
        <v>406</v>
      </c>
      <c r="M207" t="str">
        <f t="shared" si="15"/>
        <v>及格</v>
      </c>
    </row>
    <row r="208" hidden="1" spans="1:13">
      <c r="A208">
        <v>10207</v>
      </c>
      <c r="B208" t="s">
        <v>230</v>
      </c>
      <c r="C208" t="s">
        <v>17</v>
      </c>
      <c r="D208" t="s">
        <v>23</v>
      </c>
      <c r="E208">
        <v>91</v>
      </c>
      <c r="F208">
        <v>93</v>
      </c>
      <c r="G208">
        <v>90</v>
      </c>
      <c r="H208">
        <v>88</v>
      </c>
      <c r="I208">
        <v>91</v>
      </c>
      <c r="J208">
        <f t="shared" si="12"/>
        <v>453</v>
      </c>
      <c r="K208" s="4">
        <f t="shared" si="13"/>
        <v>90.6</v>
      </c>
      <c r="L208">
        <f t="shared" si="14"/>
        <v>15</v>
      </c>
      <c r="M208" t="str">
        <f t="shared" si="15"/>
        <v>优秀</v>
      </c>
    </row>
    <row r="209" hidden="1" spans="1:13">
      <c r="A209">
        <v>10208</v>
      </c>
      <c r="B209" t="s">
        <v>231</v>
      </c>
      <c r="C209" t="s">
        <v>17</v>
      </c>
      <c r="D209" t="s">
        <v>23</v>
      </c>
      <c r="E209">
        <v>75.5</v>
      </c>
      <c r="F209">
        <v>66</v>
      </c>
      <c r="G209">
        <v>69.5</v>
      </c>
      <c r="H209">
        <v>67.5</v>
      </c>
      <c r="I209">
        <v>63.5</v>
      </c>
      <c r="J209">
        <f t="shared" si="12"/>
        <v>342</v>
      </c>
      <c r="K209" s="4">
        <f t="shared" si="13"/>
        <v>68.4</v>
      </c>
      <c r="L209">
        <f t="shared" si="14"/>
        <v>424</v>
      </c>
      <c r="M209" t="str">
        <f t="shared" si="15"/>
        <v>及格</v>
      </c>
    </row>
    <row r="210" hidden="1" spans="1:13">
      <c r="A210">
        <v>10209</v>
      </c>
      <c r="B210" t="s">
        <v>232</v>
      </c>
      <c r="C210" t="s">
        <v>14</v>
      </c>
      <c r="D210" t="s">
        <v>30</v>
      </c>
      <c r="E210">
        <v>72.5</v>
      </c>
      <c r="F210">
        <v>60</v>
      </c>
      <c r="G210">
        <v>77.5</v>
      </c>
      <c r="H210">
        <v>61</v>
      </c>
      <c r="I210">
        <v>68</v>
      </c>
      <c r="J210">
        <f t="shared" si="12"/>
        <v>339</v>
      </c>
      <c r="K210" s="4">
        <f t="shared" si="13"/>
        <v>67.8</v>
      </c>
      <c r="L210">
        <f t="shared" si="14"/>
        <v>456</v>
      </c>
      <c r="M210" t="str">
        <f t="shared" si="15"/>
        <v>及格</v>
      </c>
    </row>
    <row r="211" hidden="1" spans="1:13">
      <c r="A211">
        <v>10210</v>
      </c>
      <c r="B211" t="s">
        <v>233</v>
      </c>
      <c r="C211" t="s">
        <v>17</v>
      </c>
      <c r="D211" t="s">
        <v>37</v>
      </c>
      <c r="E211">
        <v>74.5</v>
      </c>
      <c r="F211">
        <v>87</v>
      </c>
      <c r="G211">
        <v>92.5</v>
      </c>
      <c r="H211">
        <v>90.5</v>
      </c>
      <c r="I211">
        <v>74</v>
      </c>
      <c r="J211">
        <f t="shared" si="12"/>
        <v>418.5</v>
      </c>
      <c r="K211" s="4">
        <f t="shared" si="13"/>
        <v>83.7</v>
      </c>
      <c r="L211">
        <f t="shared" si="14"/>
        <v>54</v>
      </c>
      <c r="M211" t="str">
        <f t="shared" si="15"/>
        <v>及格</v>
      </c>
    </row>
    <row r="212" hidden="1" spans="1:13">
      <c r="A212">
        <v>10211</v>
      </c>
      <c r="B212" t="s">
        <v>234</v>
      </c>
      <c r="C212" t="s">
        <v>14</v>
      </c>
      <c r="D212" t="s">
        <v>20</v>
      </c>
      <c r="E212">
        <v>69.5</v>
      </c>
      <c r="F212">
        <v>69</v>
      </c>
      <c r="G212">
        <v>78</v>
      </c>
      <c r="H212">
        <v>76</v>
      </c>
      <c r="I212">
        <v>70.5</v>
      </c>
      <c r="J212">
        <f t="shared" si="12"/>
        <v>363</v>
      </c>
      <c r="K212" s="4">
        <f t="shared" si="13"/>
        <v>72.6</v>
      </c>
      <c r="L212">
        <f t="shared" si="14"/>
        <v>372</v>
      </c>
      <c r="M212" t="str">
        <f t="shared" si="15"/>
        <v>及格</v>
      </c>
    </row>
    <row r="213" hidden="1" spans="1:13">
      <c r="A213">
        <v>10212</v>
      </c>
      <c r="B213" t="s">
        <v>235</v>
      </c>
      <c r="C213" t="s">
        <v>17</v>
      </c>
      <c r="D213" t="s">
        <v>37</v>
      </c>
      <c r="E213">
        <v>79</v>
      </c>
      <c r="F213">
        <v>80</v>
      </c>
      <c r="G213">
        <v>75.5</v>
      </c>
      <c r="H213">
        <v>90</v>
      </c>
      <c r="I213">
        <v>84</v>
      </c>
      <c r="J213">
        <f t="shared" si="12"/>
        <v>408.5</v>
      </c>
      <c r="K213" s="4">
        <f t="shared" si="13"/>
        <v>81.7</v>
      </c>
      <c r="L213">
        <f t="shared" si="14"/>
        <v>112</v>
      </c>
      <c r="M213" t="str">
        <f t="shared" si="15"/>
        <v>及格</v>
      </c>
    </row>
    <row r="214" hidden="1" spans="1:13">
      <c r="A214">
        <v>10213</v>
      </c>
      <c r="B214" t="s">
        <v>236</v>
      </c>
      <c r="C214" t="s">
        <v>17</v>
      </c>
      <c r="D214" t="s">
        <v>30</v>
      </c>
      <c r="E214">
        <v>71</v>
      </c>
      <c r="F214">
        <v>80</v>
      </c>
      <c r="G214">
        <v>81.5</v>
      </c>
      <c r="H214">
        <v>79.5</v>
      </c>
      <c r="I214">
        <v>89.5</v>
      </c>
      <c r="J214">
        <f t="shared" si="12"/>
        <v>401.5</v>
      </c>
      <c r="K214" s="4">
        <f t="shared" si="13"/>
        <v>80.3</v>
      </c>
      <c r="L214">
        <f t="shared" si="14"/>
        <v>169</v>
      </c>
      <c r="M214" t="str">
        <f t="shared" si="15"/>
        <v>及格</v>
      </c>
    </row>
    <row r="215" hidden="1" spans="1:13">
      <c r="A215">
        <v>10214</v>
      </c>
      <c r="B215" t="s">
        <v>237</v>
      </c>
      <c r="C215" t="s">
        <v>14</v>
      </c>
      <c r="D215" t="s">
        <v>18</v>
      </c>
      <c r="E215">
        <v>86</v>
      </c>
      <c r="F215">
        <v>82.5</v>
      </c>
      <c r="G215">
        <v>80</v>
      </c>
      <c r="H215">
        <v>72</v>
      </c>
      <c r="I215">
        <v>83</v>
      </c>
      <c r="J215">
        <f t="shared" si="12"/>
        <v>403.5</v>
      </c>
      <c r="K215" s="4">
        <f t="shared" si="13"/>
        <v>80.7</v>
      </c>
      <c r="L215">
        <f t="shared" si="14"/>
        <v>157</v>
      </c>
      <c r="M215" t="str">
        <f t="shared" si="15"/>
        <v>及格</v>
      </c>
    </row>
    <row r="216" hidden="1" spans="1:13">
      <c r="A216">
        <v>10215</v>
      </c>
      <c r="B216" t="s">
        <v>238</v>
      </c>
      <c r="C216" t="s">
        <v>17</v>
      </c>
      <c r="D216" t="s">
        <v>30</v>
      </c>
      <c r="E216">
        <v>88.5</v>
      </c>
      <c r="F216">
        <v>88.5</v>
      </c>
      <c r="G216">
        <v>80.5</v>
      </c>
      <c r="H216">
        <v>78.5</v>
      </c>
      <c r="I216">
        <v>65.5</v>
      </c>
      <c r="J216">
        <f t="shared" si="12"/>
        <v>401.5</v>
      </c>
      <c r="K216" s="4">
        <f t="shared" si="13"/>
        <v>80.3</v>
      </c>
      <c r="L216">
        <f t="shared" si="14"/>
        <v>169</v>
      </c>
      <c r="M216" t="str">
        <f t="shared" si="15"/>
        <v>及格</v>
      </c>
    </row>
    <row r="217" hidden="1" spans="1:13">
      <c r="A217">
        <v>10216</v>
      </c>
      <c r="B217" t="s">
        <v>239</v>
      </c>
      <c r="C217" t="s">
        <v>14</v>
      </c>
      <c r="D217" t="s">
        <v>18</v>
      </c>
      <c r="E217">
        <v>73.5</v>
      </c>
      <c r="F217">
        <v>86</v>
      </c>
      <c r="G217">
        <v>88</v>
      </c>
      <c r="H217">
        <v>90</v>
      </c>
      <c r="I217">
        <v>75.5</v>
      </c>
      <c r="J217">
        <f t="shared" si="12"/>
        <v>413</v>
      </c>
      <c r="K217" s="4">
        <f t="shared" si="13"/>
        <v>82.6</v>
      </c>
      <c r="L217">
        <f t="shared" si="14"/>
        <v>76</v>
      </c>
      <c r="M217" t="str">
        <f t="shared" si="15"/>
        <v>及格</v>
      </c>
    </row>
    <row r="218" hidden="1" spans="1:13">
      <c r="A218">
        <v>10217</v>
      </c>
      <c r="B218" t="s">
        <v>240</v>
      </c>
      <c r="C218" t="s">
        <v>17</v>
      </c>
      <c r="D218" t="s">
        <v>30</v>
      </c>
      <c r="E218">
        <v>82.5</v>
      </c>
      <c r="F218">
        <v>75</v>
      </c>
      <c r="G218">
        <v>87</v>
      </c>
      <c r="H218">
        <v>85</v>
      </c>
      <c r="I218">
        <v>74.5</v>
      </c>
      <c r="J218">
        <f t="shared" si="12"/>
        <v>404</v>
      </c>
      <c r="K218" s="4">
        <f t="shared" si="13"/>
        <v>80.8</v>
      </c>
      <c r="L218">
        <f t="shared" si="14"/>
        <v>155</v>
      </c>
      <c r="M218" t="str">
        <f t="shared" si="15"/>
        <v>及格</v>
      </c>
    </row>
    <row r="219" hidden="1" spans="1:13">
      <c r="A219">
        <v>10218</v>
      </c>
      <c r="B219" t="s">
        <v>241</v>
      </c>
      <c r="C219" t="s">
        <v>14</v>
      </c>
      <c r="D219" t="s">
        <v>37</v>
      </c>
      <c r="E219">
        <v>68.5</v>
      </c>
      <c r="F219">
        <v>92</v>
      </c>
      <c r="G219">
        <v>72</v>
      </c>
      <c r="H219">
        <v>70</v>
      </c>
      <c r="I219">
        <v>81.5</v>
      </c>
      <c r="J219">
        <f t="shared" si="12"/>
        <v>384</v>
      </c>
      <c r="K219" s="4">
        <f t="shared" si="13"/>
        <v>76.8</v>
      </c>
      <c r="L219">
        <f t="shared" si="14"/>
        <v>248</v>
      </c>
      <c r="M219" t="str">
        <f t="shared" si="15"/>
        <v>及格</v>
      </c>
    </row>
    <row r="220" hidden="1" spans="1:13">
      <c r="A220">
        <v>10219</v>
      </c>
      <c r="B220" t="s">
        <v>242</v>
      </c>
      <c r="C220" t="s">
        <v>17</v>
      </c>
      <c r="D220" t="s">
        <v>23</v>
      </c>
      <c r="E220">
        <v>82.5</v>
      </c>
      <c r="F220">
        <v>77</v>
      </c>
      <c r="G220">
        <v>78</v>
      </c>
      <c r="H220">
        <v>88</v>
      </c>
      <c r="I220">
        <v>81.5</v>
      </c>
      <c r="J220">
        <f t="shared" si="12"/>
        <v>407</v>
      </c>
      <c r="K220" s="4">
        <f t="shared" si="13"/>
        <v>81.4</v>
      </c>
      <c r="L220">
        <f t="shared" si="14"/>
        <v>129</v>
      </c>
      <c r="M220" t="str">
        <f t="shared" si="15"/>
        <v>及格</v>
      </c>
    </row>
    <row r="221" hidden="1" spans="1:13">
      <c r="A221">
        <v>10220</v>
      </c>
      <c r="B221" t="s">
        <v>243</v>
      </c>
      <c r="C221" t="s">
        <v>17</v>
      </c>
      <c r="D221" t="s">
        <v>37</v>
      </c>
      <c r="E221">
        <v>79</v>
      </c>
      <c r="F221">
        <v>68.5</v>
      </c>
      <c r="G221">
        <v>80</v>
      </c>
      <c r="H221">
        <v>78</v>
      </c>
      <c r="I221">
        <v>64</v>
      </c>
      <c r="J221">
        <f t="shared" si="12"/>
        <v>369.5</v>
      </c>
      <c r="K221" s="4">
        <f t="shared" si="13"/>
        <v>73.9</v>
      </c>
      <c r="L221">
        <f t="shared" si="14"/>
        <v>339</v>
      </c>
      <c r="M221" t="str">
        <f t="shared" si="15"/>
        <v>及格</v>
      </c>
    </row>
    <row r="222" hidden="1" spans="1:13">
      <c r="A222">
        <v>10221</v>
      </c>
      <c r="B222" t="s">
        <v>244</v>
      </c>
      <c r="C222" t="s">
        <v>14</v>
      </c>
      <c r="D222" t="s">
        <v>15</v>
      </c>
      <c r="E222">
        <v>75.5</v>
      </c>
      <c r="F222">
        <v>97.5</v>
      </c>
      <c r="G222">
        <v>65</v>
      </c>
      <c r="H222">
        <v>85</v>
      </c>
      <c r="I222">
        <v>91.5</v>
      </c>
      <c r="J222">
        <f t="shared" si="12"/>
        <v>414.5</v>
      </c>
      <c r="K222" s="4">
        <f t="shared" si="13"/>
        <v>82.9</v>
      </c>
      <c r="L222">
        <f t="shared" si="14"/>
        <v>71</v>
      </c>
      <c r="M222" t="str">
        <f t="shared" si="15"/>
        <v>及格</v>
      </c>
    </row>
    <row r="223" hidden="1" spans="1:13">
      <c r="A223">
        <v>10222</v>
      </c>
      <c r="B223" t="s">
        <v>245</v>
      </c>
      <c r="C223" t="s">
        <v>17</v>
      </c>
      <c r="D223" t="s">
        <v>18</v>
      </c>
      <c r="E223">
        <v>90</v>
      </c>
      <c r="F223">
        <v>58</v>
      </c>
      <c r="G223">
        <v>84.5</v>
      </c>
      <c r="H223">
        <v>82.5</v>
      </c>
      <c r="I223">
        <v>96</v>
      </c>
      <c r="J223">
        <f t="shared" si="12"/>
        <v>411</v>
      </c>
      <c r="K223" s="4">
        <f t="shared" si="13"/>
        <v>82.2</v>
      </c>
      <c r="L223">
        <f t="shared" si="14"/>
        <v>89</v>
      </c>
      <c r="M223" t="str">
        <f t="shared" si="15"/>
        <v>及格</v>
      </c>
    </row>
    <row r="224" hidden="1" spans="1:13">
      <c r="A224">
        <v>10223</v>
      </c>
      <c r="B224" t="s">
        <v>246</v>
      </c>
      <c r="C224" t="s">
        <v>14</v>
      </c>
      <c r="D224" t="s">
        <v>37</v>
      </c>
      <c r="E224">
        <v>67.5</v>
      </c>
      <c r="F224">
        <v>57.5</v>
      </c>
      <c r="G224">
        <v>64.5</v>
      </c>
      <c r="H224">
        <v>62.5</v>
      </c>
      <c r="I224">
        <v>90.5</v>
      </c>
      <c r="J224">
        <f t="shared" si="12"/>
        <v>342.5</v>
      </c>
      <c r="K224" s="4">
        <f t="shared" si="13"/>
        <v>68.5</v>
      </c>
      <c r="L224">
        <f t="shared" si="14"/>
        <v>422</v>
      </c>
      <c r="M224" t="str">
        <f t="shared" si="15"/>
        <v>及格</v>
      </c>
    </row>
    <row r="225" hidden="1" spans="1:13">
      <c r="A225">
        <v>10224</v>
      </c>
      <c r="B225" t="s">
        <v>247</v>
      </c>
      <c r="C225" t="s">
        <v>17</v>
      </c>
      <c r="D225" t="s">
        <v>23</v>
      </c>
      <c r="E225">
        <v>75.5</v>
      </c>
      <c r="F225">
        <v>73.5</v>
      </c>
      <c r="G225">
        <v>77</v>
      </c>
      <c r="H225">
        <v>75</v>
      </c>
      <c r="I225">
        <v>68.5</v>
      </c>
      <c r="J225">
        <f t="shared" si="12"/>
        <v>369.5</v>
      </c>
      <c r="K225" s="4">
        <f t="shared" si="13"/>
        <v>73.9</v>
      </c>
      <c r="L225">
        <f t="shared" si="14"/>
        <v>339</v>
      </c>
      <c r="M225" t="str">
        <f t="shared" si="15"/>
        <v>及格</v>
      </c>
    </row>
    <row r="226" hidden="1" spans="1:13">
      <c r="A226">
        <v>10225</v>
      </c>
      <c r="B226" t="s">
        <v>248</v>
      </c>
      <c r="C226" t="s">
        <v>14</v>
      </c>
      <c r="D226" t="s">
        <v>15</v>
      </c>
      <c r="E226">
        <v>77</v>
      </c>
      <c r="F226">
        <v>72</v>
      </c>
      <c r="G226">
        <v>71</v>
      </c>
      <c r="H226">
        <v>60</v>
      </c>
      <c r="I226">
        <v>60.5</v>
      </c>
      <c r="J226">
        <f t="shared" si="12"/>
        <v>340.5</v>
      </c>
      <c r="K226" s="4">
        <f t="shared" si="13"/>
        <v>68.1</v>
      </c>
      <c r="L226">
        <f t="shared" si="14"/>
        <v>440</v>
      </c>
      <c r="M226" t="str">
        <f t="shared" si="15"/>
        <v>及格</v>
      </c>
    </row>
    <row r="227" hidden="1" spans="1:13">
      <c r="A227">
        <v>10226</v>
      </c>
      <c r="B227" t="s">
        <v>249</v>
      </c>
      <c r="C227" t="s">
        <v>17</v>
      </c>
      <c r="D227" t="s">
        <v>23</v>
      </c>
      <c r="E227">
        <v>64.5</v>
      </c>
      <c r="F227">
        <v>61.5</v>
      </c>
      <c r="G227">
        <v>79.5</v>
      </c>
      <c r="H227">
        <v>77.5</v>
      </c>
      <c r="I227">
        <v>69.5</v>
      </c>
      <c r="J227">
        <f t="shared" si="12"/>
        <v>352.5</v>
      </c>
      <c r="K227" s="4">
        <f t="shared" si="13"/>
        <v>70.5</v>
      </c>
      <c r="L227">
        <f t="shared" si="14"/>
        <v>405</v>
      </c>
      <c r="M227" t="str">
        <f t="shared" si="15"/>
        <v>及格</v>
      </c>
    </row>
    <row r="228" hidden="1" spans="1:13">
      <c r="A228">
        <v>10227</v>
      </c>
      <c r="B228" t="s">
        <v>250</v>
      </c>
      <c r="C228" t="s">
        <v>14</v>
      </c>
      <c r="D228" t="s">
        <v>20</v>
      </c>
      <c r="E228">
        <v>70.5</v>
      </c>
      <c r="F228">
        <v>74.5</v>
      </c>
      <c r="G228">
        <v>65</v>
      </c>
      <c r="H228">
        <v>63</v>
      </c>
      <c r="I228">
        <v>66</v>
      </c>
      <c r="J228">
        <f t="shared" si="12"/>
        <v>339</v>
      </c>
      <c r="K228" s="4">
        <f t="shared" si="13"/>
        <v>67.8</v>
      </c>
      <c r="L228">
        <f t="shared" si="14"/>
        <v>456</v>
      </c>
      <c r="M228" t="str">
        <f t="shared" si="15"/>
        <v>及格</v>
      </c>
    </row>
    <row r="229" hidden="1" spans="1:13">
      <c r="A229">
        <v>10228</v>
      </c>
      <c r="B229" t="s">
        <v>251</v>
      </c>
      <c r="C229" t="s">
        <v>14</v>
      </c>
      <c r="D229" t="s">
        <v>23</v>
      </c>
      <c r="E229">
        <v>95.5</v>
      </c>
      <c r="F229">
        <v>63.5</v>
      </c>
      <c r="G229">
        <v>74</v>
      </c>
      <c r="H229">
        <v>72</v>
      </c>
      <c r="I229">
        <v>66.5</v>
      </c>
      <c r="J229">
        <f t="shared" si="12"/>
        <v>371.5</v>
      </c>
      <c r="K229" s="4">
        <f t="shared" si="13"/>
        <v>74.3</v>
      </c>
      <c r="L229">
        <f t="shared" si="14"/>
        <v>323</v>
      </c>
      <c r="M229" t="str">
        <f t="shared" si="15"/>
        <v>及格</v>
      </c>
    </row>
    <row r="230" hidden="1" spans="1:13">
      <c r="A230">
        <v>10229</v>
      </c>
      <c r="B230" t="s">
        <v>252</v>
      </c>
      <c r="C230" t="s">
        <v>14</v>
      </c>
      <c r="D230" t="s">
        <v>23</v>
      </c>
      <c r="E230">
        <v>66</v>
      </c>
      <c r="F230">
        <v>85.5</v>
      </c>
      <c r="G230">
        <v>71.5</v>
      </c>
      <c r="H230">
        <v>69.5</v>
      </c>
      <c r="I230">
        <v>81</v>
      </c>
      <c r="J230">
        <f t="shared" si="12"/>
        <v>373.5</v>
      </c>
      <c r="K230" s="4">
        <f t="shared" si="13"/>
        <v>74.7</v>
      </c>
      <c r="L230">
        <f t="shared" si="14"/>
        <v>317</v>
      </c>
      <c r="M230" t="str">
        <f t="shared" si="15"/>
        <v>及格</v>
      </c>
    </row>
    <row r="231" hidden="1" spans="1:13">
      <c r="A231">
        <v>10230</v>
      </c>
      <c r="B231" t="s">
        <v>253</v>
      </c>
      <c r="C231" t="s">
        <v>17</v>
      </c>
      <c r="D231" t="s">
        <v>30</v>
      </c>
      <c r="E231">
        <v>66</v>
      </c>
      <c r="F231">
        <v>73</v>
      </c>
      <c r="G231">
        <v>79</v>
      </c>
      <c r="H231">
        <v>77</v>
      </c>
      <c r="I231">
        <v>88</v>
      </c>
      <c r="J231">
        <f t="shared" si="12"/>
        <v>383</v>
      </c>
      <c r="K231" s="4">
        <f t="shared" si="13"/>
        <v>76.6</v>
      </c>
      <c r="L231">
        <f t="shared" si="14"/>
        <v>255</v>
      </c>
      <c r="M231" t="str">
        <f t="shared" si="15"/>
        <v>及格</v>
      </c>
    </row>
    <row r="232" hidden="1" spans="1:13">
      <c r="A232">
        <v>10231</v>
      </c>
      <c r="B232" t="s">
        <v>254</v>
      </c>
      <c r="C232" t="s">
        <v>17</v>
      </c>
      <c r="D232" t="s">
        <v>23</v>
      </c>
      <c r="E232">
        <v>62.5</v>
      </c>
      <c r="F232">
        <v>86.5</v>
      </c>
      <c r="G232">
        <v>86.5</v>
      </c>
      <c r="H232">
        <v>84.5</v>
      </c>
      <c r="I232">
        <v>92</v>
      </c>
      <c r="J232">
        <f t="shared" si="12"/>
        <v>412</v>
      </c>
      <c r="K232" s="4">
        <f t="shared" si="13"/>
        <v>82.4</v>
      </c>
      <c r="L232">
        <f t="shared" si="14"/>
        <v>83</v>
      </c>
      <c r="M232" t="str">
        <f t="shared" si="15"/>
        <v>及格</v>
      </c>
    </row>
    <row r="233" hidden="1" spans="1:13">
      <c r="A233">
        <v>10232</v>
      </c>
      <c r="B233" t="s">
        <v>255</v>
      </c>
      <c r="C233" t="s">
        <v>14</v>
      </c>
      <c r="D233" t="s">
        <v>30</v>
      </c>
      <c r="E233">
        <v>59.5</v>
      </c>
      <c r="F233">
        <v>74.5</v>
      </c>
      <c r="G233">
        <v>74.5</v>
      </c>
      <c r="H233">
        <v>72.5</v>
      </c>
      <c r="I233">
        <v>74</v>
      </c>
      <c r="J233">
        <f t="shared" si="12"/>
        <v>355</v>
      </c>
      <c r="K233" s="4">
        <f t="shared" si="13"/>
        <v>71</v>
      </c>
      <c r="L233">
        <f t="shared" si="14"/>
        <v>401</v>
      </c>
      <c r="M233" t="str">
        <f t="shared" si="15"/>
        <v>及格</v>
      </c>
    </row>
    <row r="234" hidden="1" spans="1:13">
      <c r="A234">
        <v>10233</v>
      </c>
      <c r="B234" t="s">
        <v>256</v>
      </c>
      <c r="C234" t="s">
        <v>17</v>
      </c>
      <c r="D234" t="s">
        <v>15</v>
      </c>
      <c r="E234">
        <v>69.5</v>
      </c>
      <c r="F234">
        <v>81</v>
      </c>
      <c r="G234">
        <v>74.5</v>
      </c>
      <c r="H234">
        <v>72.5</v>
      </c>
      <c r="I234">
        <v>73</v>
      </c>
      <c r="J234">
        <f t="shared" si="12"/>
        <v>370.5</v>
      </c>
      <c r="K234" s="4">
        <f t="shared" si="13"/>
        <v>74.1</v>
      </c>
      <c r="L234">
        <f t="shared" si="14"/>
        <v>335</v>
      </c>
      <c r="M234" t="str">
        <f t="shared" si="15"/>
        <v>及格</v>
      </c>
    </row>
    <row r="235" hidden="1" spans="1:13">
      <c r="A235">
        <v>10234</v>
      </c>
      <c r="B235" t="s">
        <v>257</v>
      </c>
      <c r="C235" t="s">
        <v>17</v>
      </c>
      <c r="D235" t="s">
        <v>23</v>
      </c>
      <c r="E235">
        <v>97</v>
      </c>
      <c r="F235">
        <v>82.5</v>
      </c>
      <c r="G235">
        <v>72</v>
      </c>
      <c r="H235">
        <v>90</v>
      </c>
      <c r="I235">
        <v>76</v>
      </c>
      <c r="J235">
        <f t="shared" si="12"/>
        <v>417.5</v>
      </c>
      <c r="K235" s="4">
        <f t="shared" si="13"/>
        <v>83.5</v>
      </c>
      <c r="L235">
        <f t="shared" si="14"/>
        <v>58</v>
      </c>
      <c r="M235" t="str">
        <f t="shared" si="15"/>
        <v>及格</v>
      </c>
    </row>
    <row r="236" hidden="1" spans="1:13">
      <c r="A236">
        <v>10235</v>
      </c>
      <c r="B236" t="s">
        <v>258</v>
      </c>
      <c r="C236" t="s">
        <v>17</v>
      </c>
      <c r="D236" t="s">
        <v>15</v>
      </c>
      <c r="E236">
        <v>64</v>
      </c>
      <c r="F236">
        <v>64.5</v>
      </c>
      <c r="G236">
        <v>75</v>
      </c>
      <c r="H236">
        <v>78</v>
      </c>
      <c r="I236">
        <v>60</v>
      </c>
      <c r="J236">
        <f t="shared" si="12"/>
        <v>341.5</v>
      </c>
      <c r="K236" s="4">
        <f t="shared" si="13"/>
        <v>68.3</v>
      </c>
      <c r="L236">
        <f t="shared" si="14"/>
        <v>429</v>
      </c>
      <c r="M236" t="str">
        <f t="shared" si="15"/>
        <v>及格</v>
      </c>
    </row>
    <row r="237" hidden="1" spans="1:13">
      <c r="A237">
        <v>10236</v>
      </c>
      <c r="B237" t="s">
        <v>259</v>
      </c>
      <c r="C237" t="s">
        <v>14</v>
      </c>
      <c r="D237" t="s">
        <v>37</v>
      </c>
      <c r="E237">
        <v>76.5</v>
      </c>
      <c r="F237">
        <v>61</v>
      </c>
      <c r="G237">
        <v>88</v>
      </c>
      <c r="H237">
        <v>86</v>
      </c>
      <c r="I237">
        <v>90</v>
      </c>
      <c r="J237">
        <f t="shared" si="12"/>
        <v>401.5</v>
      </c>
      <c r="K237" s="4">
        <f t="shared" si="13"/>
        <v>80.3</v>
      </c>
      <c r="L237">
        <f t="shared" si="14"/>
        <v>169</v>
      </c>
      <c r="M237" t="str">
        <f t="shared" si="15"/>
        <v>及格</v>
      </c>
    </row>
    <row r="238" hidden="1" spans="1:13">
      <c r="A238">
        <v>10237</v>
      </c>
      <c r="B238" t="s">
        <v>260</v>
      </c>
      <c r="C238" t="s">
        <v>14</v>
      </c>
      <c r="D238" t="s">
        <v>23</v>
      </c>
      <c r="E238">
        <v>76.5</v>
      </c>
      <c r="F238">
        <v>66</v>
      </c>
      <c r="G238">
        <v>74</v>
      </c>
      <c r="H238">
        <v>72</v>
      </c>
      <c r="I238">
        <v>71</v>
      </c>
      <c r="J238">
        <f t="shared" si="12"/>
        <v>359.5</v>
      </c>
      <c r="K238" s="4">
        <f t="shared" si="13"/>
        <v>71.9</v>
      </c>
      <c r="L238">
        <f t="shared" si="14"/>
        <v>389</v>
      </c>
      <c r="M238" t="str">
        <f t="shared" si="15"/>
        <v>及格</v>
      </c>
    </row>
    <row r="239" hidden="1" spans="1:13">
      <c r="A239">
        <v>10238</v>
      </c>
      <c r="B239" t="s">
        <v>261</v>
      </c>
      <c r="C239" t="s">
        <v>14</v>
      </c>
      <c r="D239" t="s">
        <v>37</v>
      </c>
      <c r="E239">
        <v>74</v>
      </c>
      <c r="F239">
        <v>82</v>
      </c>
      <c r="G239">
        <v>70</v>
      </c>
      <c r="H239">
        <v>68</v>
      </c>
      <c r="I239">
        <v>71</v>
      </c>
      <c r="J239">
        <f t="shared" si="12"/>
        <v>365</v>
      </c>
      <c r="K239" s="4">
        <f t="shared" si="13"/>
        <v>73</v>
      </c>
      <c r="L239">
        <f t="shared" si="14"/>
        <v>364</v>
      </c>
      <c r="M239" t="str">
        <f t="shared" si="15"/>
        <v>及格</v>
      </c>
    </row>
    <row r="240" hidden="1" spans="1:13">
      <c r="A240">
        <v>10239</v>
      </c>
      <c r="B240" t="s">
        <v>262</v>
      </c>
      <c r="C240" t="s">
        <v>17</v>
      </c>
      <c r="D240" t="s">
        <v>20</v>
      </c>
      <c r="E240">
        <v>88.5</v>
      </c>
      <c r="F240">
        <v>66.5</v>
      </c>
      <c r="G240">
        <v>68.5</v>
      </c>
      <c r="H240">
        <v>66.5</v>
      </c>
      <c r="I240">
        <v>81.5</v>
      </c>
      <c r="J240">
        <f t="shared" si="12"/>
        <v>371.5</v>
      </c>
      <c r="K240" s="4">
        <f t="shared" si="13"/>
        <v>74.3</v>
      </c>
      <c r="L240">
        <f t="shared" si="14"/>
        <v>323</v>
      </c>
      <c r="M240" t="str">
        <f t="shared" si="15"/>
        <v>及格</v>
      </c>
    </row>
    <row r="241" hidden="1" spans="1:13">
      <c r="A241">
        <v>10240</v>
      </c>
      <c r="B241" t="s">
        <v>263</v>
      </c>
      <c r="C241" t="s">
        <v>17</v>
      </c>
      <c r="D241" t="s">
        <v>23</v>
      </c>
      <c r="E241">
        <v>91.5</v>
      </c>
      <c r="F241">
        <v>72.5</v>
      </c>
      <c r="G241">
        <v>67.5</v>
      </c>
      <c r="H241">
        <v>65.5</v>
      </c>
      <c r="I241">
        <v>89.5</v>
      </c>
      <c r="J241">
        <f t="shared" si="12"/>
        <v>386.5</v>
      </c>
      <c r="K241" s="4">
        <f t="shared" si="13"/>
        <v>77.3</v>
      </c>
      <c r="L241">
        <f t="shared" si="14"/>
        <v>231</v>
      </c>
      <c r="M241" t="str">
        <f t="shared" si="15"/>
        <v>及格</v>
      </c>
    </row>
    <row r="242" hidden="1" spans="1:13">
      <c r="A242">
        <v>10241</v>
      </c>
      <c r="B242" t="s">
        <v>264</v>
      </c>
      <c r="C242" t="s">
        <v>17</v>
      </c>
      <c r="D242" t="s">
        <v>30</v>
      </c>
      <c r="E242">
        <v>76</v>
      </c>
      <c r="F242">
        <v>92</v>
      </c>
      <c r="G242">
        <v>95</v>
      </c>
      <c r="H242">
        <v>93</v>
      </c>
      <c r="I242">
        <v>67</v>
      </c>
      <c r="J242">
        <f t="shared" si="12"/>
        <v>423</v>
      </c>
      <c r="K242" s="4">
        <f t="shared" si="13"/>
        <v>84.6</v>
      </c>
      <c r="L242">
        <f t="shared" si="14"/>
        <v>43</v>
      </c>
      <c r="M242" t="str">
        <f t="shared" si="15"/>
        <v>及格</v>
      </c>
    </row>
    <row r="243" hidden="1" spans="1:13">
      <c r="A243">
        <v>10242</v>
      </c>
      <c r="B243" t="s">
        <v>265</v>
      </c>
      <c r="C243" t="s">
        <v>14</v>
      </c>
      <c r="D243" t="s">
        <v>20</v>
      </c>
      <c r="E243">
        <v>71.5</v>
      </c>
      <c r="F243">
        <v>90</v>
      </c>
      <c r="G243">
        <v>86</v>
      </c>
      <c r="H243">
        <v>84</v>
      </c>
      <c r="I243">
        <v>84.5</v>
      </c>
      <c r="J243">
        <f t="shared" si="12"/>
        <v>416</v>
      </c>
      <c r="K243" s="4">
        <f t="shared" si="13"/>
        <v>83.2</v>
      </c>
      <c r="L243">
        <f t="shared" si="14"/>
        <v>64</v>
      </c>
      <c r="M243" t="str">
        <f t="shared" si="15"/>
        <v>及格</v>
      </c>
    </row>
    <row r="244" hidden="1" spans="1:13">
      <c r="A244">
        <v>10243</v>
      </c>
      <c r="B244" t="s">
        <v>266</v>
      </c>
      <c r="C244" t="s">
        <v>14</v>
      </c>
      <c r="D244" t="s">
        <v>15</v>
      </c>
      <c r="E244">
        <v>94</v>
      </c>
      <c r="F244">
        <v>69.5</v>
      </c>
      <c r="G244">
        <v>81</v>
      </c>
      <c r="H244">
        <v>79</v>
      </c>
      <c r="I244">
        <v>87.5</v>
      </c>
      <c r="J244">
        <f t="shared" si="12"/>
        <v>411</v>
      </c>
      <c r="K244" s="4">
        <f t="shared" si="13"/>
        <v>82.2</v>
      </c>
      <c r="L244">
        <f t="shared" si="14"/>
        <v>89</v>
      </c>
      <c r="M244" t="str">
        <f t="shared" si="15"/>
        <v>及格</v>
      </c>
    </row>
    <row r="245" hidden="1" spans="1:13">
      <c r="A245">
        <v>10244</v>
      </c>
      <c r="B245" t="s">
        <v>267</v>
      </c>
      <c r="C245" t="s">
        <v>14</v>
      </c>
      <c r="D245" t="s">
        <v>20</v>
      </c>
      <c r="E245">
        <v>96</v>
      </c>
      <c r="F245">
        <v>82</v>
      </c>
      <c r="G245">
        <v>70</v>
      </c>
      <c r="H245">
        <v>68</v>
      </c>
      <c r="I245">
        <v>51</v>
      </c>
      <c r="J245">
        <f t="shared" si="12"/>
        <v>367</v>
      </c>
      <c r="K245" s="4">
        <f t="shared" si="13"/>
        <v>73.4</v>
      </c>
      <c r="L245">
        <f t="shared" si="14"/>
        <v>357</v>
      </c>
      <c r="M245" t="str">
        <f t="shared" si="15"/>
        <v>及格</v>
      </c>
    </row>
    <row r="246" hidden="1" spans="1:13">
      <c r="A246">
        <v>10245</v>
      </c>
      <c r="B246" t="s">
        <v>268</v>
      </c>
      <c r="C246" t="s">
        <v>14</v>
      </c>
      <c r="D246" t="s">
        <v>20</v>
      </c>
      <c r="E246">
        <v>67</v>
      </c>
      <c r="F246">
        <v>68.5</v>
      </c>
      <c r="G246">
        <v>73.5</v>
      </c>
      <c r="H246">
        <v>60</v>
      </c>
      <c r="I246">
        <v>72.5</v>
      </c>
      <c r="J246">
        <f t="shared" si="12"/>
        <v>341.5</v>
      </c>
      <c r="K246" s="4">
        <f t="shared" si="13"/>
        <v>68.3</v>
      </c>
      <c r="L246">
        <f t="shared" si="14"/>
        <v>429</v>
      </c>
      <c r="M246" t="str">
        <f t="shared" si="15"/>
        <v>及格</v>
      </c>
    </row>
    <row r="247" hidden="1" spans="1:13">
      <c r="A247">
        <v>10246</v>
      </c>
      <c r="B247" t="s">
        <v>269</v>
      </c>
      <c r="C247" t="s">
        <v>14</v>
      </c>
      <c r="D247" t="s">
        <v>30</v>
      </c>
      <c r="E247">
        <v>52</v>
      </c>
      <c r="F247">
        <v>67</v>
      </c>
      <c r="G247">
        <v>63</v>
      </c>
      <c r="H247">
        <v>78</v>
      </c>
      <c r="I247">
        <v>78.5</v>
      </c>
      <c r="J247">
        <f t="shared" si="12"/>
        <v>338.5</v>
      </c>
      <c r="K247" s="4">
        <f t="shared" si="13"/>
        <v>67.7</v>
      </c>
      <c r="L247">
        <f t="shared" si="14"/>
        <v>458</v>
      </c>
      <c r="M247" t="str">
        <f t="shared" si="15"/>
        <v>及格</v>
      </c>
    </row>
    <row r="248" hidden="1" spans="1:13">
      <c r="A248">
        <v>10247</v>
      </c>
      <c r="B248" t="s">
        <v>270</v>
      </c>
      <c r="C248" t="s">
        <v>17</v>
      </c>
      <c r="D248" t="s">
        <v>23</v>
      </c>
      <c r="E248">
        <v>71.5</v>
      </c>
      <c r="F248">
        <v>60</v>
      </c>
      <c r="G248">
        <v>70.5</v>
      </c>
      <c r="H248">
        <v>68.5</v>
      </c>
      <c r="I248">
        <v>90</v>
      </c>
      <c r="J248">
        <f t="shared" si="12"/>
        <v>360.5</v>
      </c>
      <c r="K248" s="4">
        <f t="shared" si="13"/>
        <v>72.1</v>
      </c>
      <c r="L248">
        <f t="shared" si="14"/>
        <v>385</v>
      </c>
      <c r="M248" t="str">
        <f t="shared" si="15"/>
        <v>及格</v>
      </c>
    </row>
    <row r="249" hidden="1" spans="1:13">
      <c r="A249">
        <v>10248</v>
      </c>
      <c r="B249" t="s">
        <v>271</v>
      </c>
      <c r="C249" t="s">
        <v>17</v>
      </c>
      <c r="D249" t="s">
        <v>20</v>
      </c>
      <c r="E249">
        <v>74.5</v>
      </c>
      <c r="F249">
        <v>72.5</v>
      </c>
      <c r="G249">
        <v>71</v>
      </c>
      <c r="H249">
        <v>62</v>
      </c>
      <c r="I249">
        <v>62</v>
      </c>
      <c r="J249">
        <f t="shared" si="12"/>
        <v>342</v>
      </c>
      <c r="K249" s="4">
        <f t="shared" si="13"/>
        <v>68.4</v>
      </c>
      <c r="L249">
        <f t="shared" si="14"/>
        <v>424</v>
      </c>
      <c r="M249" t="str">
        <f t="shared" si="15"/>
        <v>及格</v>
      </c>
    </row>
    <row r="250" hidden="1" spans="1:13">
      <c r="A250">
        <v>10249</v>
      </c>
      <c r="B250" t="s">
        <v>272</v>
      </c>
      <c r="C250" t="s">
        <v>14</v>
      </c>
      <c r="D250" t="s">
        <v>18</v>
      </c>
      <c r="E250">
        <v>90</v>
      </c>
      <c r="F250">
        <v>83.5</v>
      </c>
      <c r="G250">
        <v>94</v>
      </c>
      <c r="H250">
        <v>92</v>
      </c>
      <c r="I250">
        <v>95</v>
      </c>
      <c r="J250">
        <f t="shared" si="12"/>
        <v>454.5</v>
      </c>
      <c r="K250" s="4">
        <f t="shared" si="13"/>
        <v>90.9</v>
      </c>
      <c r="L250">
        <f t="shared" si="14"/>
        <v>13</v>
      </c>
      <c r="M250" t="str">
        <f t="shared" si="15"/>
        <v>优秀</v>
      </c>
    </row>
    <row r="251" hidden="1" spans="1:13">
      <c r="A251">
        <v>10250</v>
      </c>
      <c r="B251" t="s">
        <v>273</v>
      </c>
      <c r="C251" t="s">
        <v>17</v>
      </c>
      <c r="D251" t="s">
        <v>37</v>
      </c>
      <c r="E251">
        <v>81.5</v>
      </c>
      <c r="F251">
        <v>72</v>
      </c>
      <c r="G251">
        <v>79</v>
      </c>
      <c r="H251">
        <v>89</v>
      </c>
      <c r="I251">
        <v>87</v>
      </c>
      <c r="J251">
        <f t="shared" si="12"/>
        <v>408.5</v>
      </c>
      <c r="K251" s="4">
        <f t="shared" si="13"/>
        <v>81.7</v>
      </c>
      <c r="L251">
        <f t="shared" si="14"/>
        <v>112</v>
      </c>
      <c r="M251" t="str">
        <f t="shared" si="15"/>
        <v>及格</v>
      </c>
    </row>
    <row r="252" hidden="1" spans="1:13">
      <c r="A252">
        <v>10251</v>
      </c>
      <c r="B252" t="s">
        <v>230</v>
      </c>
      <c r="C252" t="s">
        <v>17</v>
      </c>
      <c r="D252" t="s">
        <v>20</v>
      </c>
      <c r="E252">
        <v>65.5</v>
      </c>
      <c r="F252">
        <v>85</v>
      </c>
      <c r="G252">
        <v>83</v>
      </c>
      <c r="H252">
        <v>81</v>
      </c>
      <c r="I252">
        <v>97</v>
      </c>
      <c r="J252">
        <f t="shared" si="12"/>
        <v>411.5</v>
      </c>
      <c r="K252" s="4">
        <f t="shared" si="13"/>
        <v>82.3</v>
      </c>
      <c r="L252">
        <f t="shared" si="14"/>
        <v>84</v>
      </c>
      <c r="M252" t="str">
        <f t="shared" si="15"/>
        <v>及格</v>
      </c>
    </row>
    <row r="253" hidden="1" spans="1:13">
      <c r="A253">
        <v>10252</v>
      </c>
      <c r="B253" t="s">
        <v>274</v>
      </c>
      <c r="C253" t="s">
        <v>17</v>
      </c>
      <c r="D253" t="s">
        <v>18</v>
      </c>
      <c r="E253">
        <v>73.5</v>
      </c>
      <c r="F253">
        <v>68</v>
      </c>
      <c r="G253">
        <v>68.5</v>
      </c>
      <c r="H253">
        <v>66.5</v>
      </c>
      <c r="I253">
        <v>65</v>
      </c>
      <c r="J253">
        <f t="shared" si="12"/>
        <v>341.5</v>
      </c>
      <c r="K253" s="4">
        <f t="shared" si="13"/>
        <v>68.3</v>
      </c>
      <c r="L253">
        <f t="shared" si="14"/>
        <v>429</v>
      </c>
      <c r="M253" t="str">
        <f t="shared" si="15"/>
        <v>及格</v>
      </c>
    </row>
    <row r="254" hidden="1" spans="1:13">
      <c r="A254">
        <v>10253</v>
      </c>
      <c r="B254" t="s">
        <v>275</v>
      </c>
      <c r="C254" t="s">
        <v>14</v>
      </c>
      <c r="D254" t="s">
        <v>23</v>
      </c>
      <c r="E254">
        <v>93</v>
      </c>
      <c r="F254">
        <v>93</v>
      </c>
      <c r="G254">
        <v>93</v>
      </c>
      <c r="H254">
        <v>78</v>
      </c>
      <c r="I254">
        <v>93</v>
      </c>
      <c r="J254">
        <f t="shared" si="12"/>
        <v>450</v>
      </c>
      <c r="K254" s="4">
        <f t="shared" si="13"/>
        <v>90</v>
      </c>
      <c r="L254">
        <f t="shared" si="14"/>
        <v>24</v>
      </c>
      <c r="M254" t="str">
        <f t="shared" si="15"/>
        <v>优秀</v>
      </c>
    </row>
    <row r="255" hidden="1" spans="1:13">
      <c r="A255">
        <v>10254</v>
      </c>
      <c r="B255" t="s">
        <v>276</v>
      </c>
      <c r="C255" t="s">
        <v>17</v>
      </c>
      <c r="D255" t="s">
        <v>20</v>
      </c>
      <c r="E255">
        <v>92.5</v>
      </c>
      <c r="F255">
        <v>57.5</v>
      </c>
      <c r="G255">
        <v>88</v>
      </c>
      <c r="H255">
        <v>86</v>
      </c>
      <c r="I255">
        <v>81</v>
      </c>
      <c r="J255">
        <f t="shared" si="12"/>
        <v>405</v>
      </c>
      <c r="K255" s="4">
        <f t="shared" si="13"/>
        <v>81</v>
      </c>
      <c r="L255">
        <f t="shared" si="14"/>
        <v>148</v>
      </c>
      <c r="M255" t="str">
        <f t="shared" si="15"/>
        <v>及格</v>
      </c>
    </row>
    <row r="256" hidden="1" spans="1:13">
      <c r="A256">
        <v>10255</v>
      </c>
      <c r="B256" t="s">
        <v>277</v>
      </c>
      <c r="C256" t="s">
        <v>14</v>
      </c>
      <c r="D256" t="s">
        <v>37</v>
      </c>
      <c r="E256">
        <v>93</v>
      </c>
      <c r="F256">
        <v>58</v>
      </c>
      <c r="G256">
        <v>92</v>
      </c>
      <c r="H256">
        <v>90</v>
      </c>
      <c r="I256">
        <v>92.5</v>
      </c>
      <c r="J256">
        <f t="shared" si="12"/>
        <v>425.5</v>
      </c>
      <c r="K256" s="4">
        <f t="shared" si="13"/>
        <v>85.1</v>
      </c>
      <c r="L256">
        <f t="shared" si="14"/>
        <v>39</v>
      </c>
      <c r="M256" t="str">
        <f t="shared" si="15"/>
        <v>优秀</v>
      </c>
    </row>
    <row r="257" hidden="1" spans="1:13">
      <c r="A257">
        <v>10256</v>
      </c>
      <c r="B257" t="s">
        <v>278</v>
      </c>
      <c r="C257" t="s">
        <v>17</v>
      </c>
      <c r="D257" t="s">
        <v>20</v>
      </c>
      <c r="E257">
        <v>82.5</v>
      </c>
      <c r="F257">
        <v>95.5</v>
      </c>
      <c r="G257">
        <v>72.5</v>
      </c>
      <c r="H257">
        <v>85</v>
      </c>
      <c r="I257">
        <v>69</v>
      </c>
      <c r="J257">
        <f t="shared" si="12"/>
        <v>404.5</v>
      </c>
      <c r="K257" s="4">
        <f t="shared" si="13"/>
        <v>80.9</v>
      </c>
      <c r="L257">
        <f t="shared" si="14"/>
        <v>152</v>
      </c>
      <c r="M257" t="str">
        <f t="shared" si="15"/>
        <v>及格</v>
      </c>
    </row>
    <row r="258" hidden="1" spans="1:13">
      <c r="A258">
        <v>10257</v>
      </c>
      <c r="B258" t="s">
        <v>279</v>
      </c>
      <c r="C258" t="s">
        <v>17</v>
      </c>
      <c r="D258" t="s">
        <v>37</v>
      </c>
      <c r="E258">
        <v>65</v>
      </c>
      <c r="F258">
        <v>83</v>
      </c>
      <c r="G258">
        <v>57</v>
      </c>
      <c r="H258">
        <v>55</v>
      </c>
      <c r="I258">
        <v>72.5</v>
      </c>
      <c r="J258">
        <f t="shared" si="12"/>
        <v>332.5</v>
      </c>
      <c r="K258" s="4">
        <f t="shared" si="13"/>
        <v>66.5</v>
      </c>
      <c r="L258">
        <f t="shared" si="14"/>
        <v>480</v>
      </c>
      <c r="M258" t="str">
        <f t="shared" si="15"/>
        <v>及格</v>
      </c>
    </row>
    <row r="259" hidden="1" spans="1:13">
      <c r="A259">
        <v>10258</v>
      </c>
      <c r="B259" t="s">
        <v>280</v>
      </c>
      <c r="C259" t="s">
        <v>17</v>
      </c>
      <c r="D259" t="s">
        <v>20</v>
      </c>
      <c r="E259">
        <v>66</v>
      </c>
      <c r="F259">
        <v>68.5</v>
      </c>
      <c r="G259">
        <v>76.5</v>
      </c>
      <c r="H259">
        <v>74.5</v>
      </c>
      <c r="I259">
        <v>74.5</v>
      </c>
      <c r="J259">
        <f t="shared" ref="J259:J322" si="16">SUM(E259:I259)</f>
        <v>360</v>
      </c>
      <c r="K259" s="4">
        <f t="shared" ref="K259:K322" si="17">AVERAGE(E259:I259)</f>
        <v>72</v>
      </c>
      <c r="L259">
        <f t="shared" ref="L259:L322" si="18">RANK(K259,$K$2:$K$503)</f>
        <v>387</v>
      </c>
      <c r="M259" t="str">
        <f t="shared" ref="M259:M322" si="19">IF(K259&gt;=85,"优秀",IF(K259&gt;=60,"及格","不及格"))</f>
        <v>及格</v>
      </c>
    </row>
    <row r="260" hidden="1" spans="1:13">
      <c r="A260">
        <v>10259</v>
      </c>
      <c r="B260" t="s">
        <v>281</v>
      </c>
      <c r="C260" t="s">
        <v>14</v>
      </c>
      <c r="D260" t="s">
        <v>30</v>
      </c>
      <c r="E260">
        <v>87</v>
      </c>
      <c r="F260">
        <v>67</v>
      </c>
      <c r="G260">
        <v>64</v>
      </c>
      <c r="H260">
        <v>62</v>
      </c>
      <c r="I260">
        <v>61</v>
      </c>
      <c r="J260">
        <f t="shared" si="16"/>
        <v>341</v>
      </c>
      <c r="K260" s="4">
        <f t="shared" si="17"/>
        <v>68.2</v>
      </c>
      <c r="L260">
        <f t="shared" si="18"/>
        <v>435</v>
      </c>
      <c r="M260" t="str">
        <f t="shared" si="19"/>
        <v>及格</v>
      </c>
    </row>
    <row r="261" hidden="1" spans="1:13">
      <c r="A261">
        <v>10260</v>
      </c>
      <c r="B261" t="s">
        <v>282</v>
      </c>
      <c r="C261" t="s">
        <v>17</v>
      </c>
      <c r="D261" t="s">
        <v>37</v>
      </c>
      <c r="E261">
        <v>69</v>
      </c>
      <c r="F261">
        <v>85</v>
      </c>
      <c r="G261">
        <v>80</v>
      </c>
      <c r="H261">
        <v>78</v>
      </c>
      <c r="I261">
        <v>90.5</v>
      </c>
      <c r="J261">
        <f t="shared" si="16"/>
        <v>402.5</v>
      </c>
      <c r="K261" s="4">
        <f t="shared" si="17"/>
        <v>80.5</v>
      </c>
      <c r="L261">
        <f t="shared" si="18"/>
        <v>164</v>
      </c>
      <c r="M261" t="str">
        <f t="shared" si="19"/>
        <v>及格</v>
      </c>
    </row>
    <row r="262" hidden="1" spans="1:13">
      <c r="A262">
        <v>10261</v>
      </c>
      <c r="B262" t="s">
        <v>283</v>
      </c>
      <c r="C262" t="s">
        <v>17</v>
      </c>
      <c r="D262" t="s">
        <v>30</v>
      </c>
      <c r="E262">
        <v>95.5</v>
      </c>
      <c r="F262">
        <v>63.5</v>
      </c>
      <c r="G262">
        <v>89</v>
      </c>
      <c r="H262">
        <v>87</v>
      </c>
      <c r="I262">
        <v>84.5</v>
      </c>
      <c r="J262">
        <f t="shared" si="16"/>
        <v>419.5</v>
      </c>
      <c r="K262" s="4">
        <f t="shared" si="17"/>
        <v>83.9</v>
      </c>
      <c r="L262">
        <f t="shared" si="18"/>
        <v>51</v>
      </c>
      <c r="M262" t="str">
        <f t="shared" si="19"/>
        <v>及格</v>
      </c>
    </row>
    <row r="263" hidden="1" spans="1:13">
      <c r="A263">
        <v>10262</v>
      </c>
      <c r="B263" t="s">
        <v>284</v>
      </c>
      <c r="C263" t="s">
        <v>17</v>
      </c>
      <c r="D263" t="s">
        <v>30</v>
      </c>
      <c r="E263">
        <v>57</v>
      </c>
      <c r="F263">
        <v>85.5</v>
      </c>
      <c r="G263">
        <v>88.5</v>
      </c>
      <c r="H263">
        <v>86.5</v>
      </c>
      <c r="I263">
        <v>70.5</v>
      </c>
      <c r="J263">
        <f t="shared" si="16"/>
        <v>388</v>
      </c>
      <c r="K263" s="4">
        <f t="shared" si="17"/>
        <v>77.6</v>
      </c>
      <c r="L263">
        <f t="shared" si="18"/>
        <v>220</v>
      </c>
      <c r="M263" t="str">
        <f t="shared" si="19"/>
        <v>及格</v>
      </c>
    </row>
    <row r="264" hidden="1" spans="1:13">
      <c r="A264">
        <v>10263</v>
      </c>
      <c r="B264" t="s">
        <v>285</v>
      </c>
      <c r="C264" t="s">
        <v>17</v>
      </c>
      <c r="D264" t="s">
        <v>20</v>
      </c>
      <c r="E264">
        <v>74</v>
      </c>
      <c r="F264">
        <v>81</v>
      </c>
      <c r="G264">
        <v>82</v>
      </c>
      <c r="H264">
        <v>80</v>
      </c>
      <c r="I264">
        <v>91</v>
      </c>
      <c r="J264">
        <f t="shared" si="16"/>
        <v>408</v>
      </c>
      <c r="K264" s="4">
        <f t="shared" si="17"/>
        <v>81.6</v>
      </c>
      <c r="L264">
        <f t="shared" si="18"/>
        <v>119</v>
      </c>
      <c r="M264" t="str">
        <f t="shared" si="19"/>
        <v>及格</v>
      </c>
    </row>
    <row r="265" spans="1:13">
      <c r="A265">
        <v>10264</v>
      </c>
      <c r="B265" t="s">
        <v>85</v>
      </c>
      <c r="C265" t="s">
        <v>17</v>
      </c>
      <c r="D265" t="s">
        <v>15</v>
      </c>
      <c r="E265">
        <v>90</v>
      </c>
      <c r="F265">
        <v>92</v>
      </c>
      <c r="G265">
        <v>87</v>
      </c>
      <c r="H265">
        <v>91</v>
      </c>
      <c r="I265">
        <v>90</v>
      </c>
      <c r="J265">
        <f t="shared" si="16"/>
        <v>450</v>
      </c>
      <c r="K265" s="4">
        <f t="shared" si="17"/>
        <v>90</v>
      </c>
      <c r="L265">
        <f t="shared" si="18"/>
        <v>24</v>
      </c>
      <c r="M265" t="str">
        <f t="shared" si="19"/>
        <v>优秀</v>
      </c>
    </row>
    <row r="266" hidden="1" spans="1:13">
      <c r="A266">
        <v>10265</v>
      </c>
      <c r="B266" t="s">
        <v>286</v>
      </c>
      <c r="C266" t="s">
        <v>17</v>
      </c>
      <c r="D266" t="s">
        <v>15</v>
      </c>
      <c r="E266">
        <v>79</v>
      </c>
      <c r="F266">
        <v>82</v>
      </c>
      <c r="G266">
        <v>76.5</v>
      </c>
      <c r="H266">
        <v>74.5</v>
      </c>
      <c r="I266">
        <v>72.5</v>
      </c>
      <c r="J266">
        <f t="shared" si="16"/>
        <v>384.5</v>
      </c>
      <c r="K266" s="4">
        <f t="shared" si="17"/>
        <v>76.9</v>
      </c>
      <c r="L266">
        <f t="shared" si="18"/>
        <v>244</v>
      </c>
      <c r="M266" t="str">
        <f t="shared" si="19"/>
        <v>及格</v>
      </c>
    </row>
    <row r="267" hidden="1" spans="1:13">
      <c r="A267">
        <v>10266</v>
      </c>
      <c r="B267" t="s">
        <v>287</v>
      </c>
      <c r="C267" t="s">
        <v>14</v>
      </c>
      <c r="D267" t="s">
        <v>18</v>
      </c>
      <c r="E267">
        <v>84</v>
      </c>
      <c r="F267">
        <v>83</v>
      </c>
      <c r="G267">
        <v>82</v>
      </c>
      <c r="H267">
        <v>73</v>
      </c>
      <c r="I267">
        <v>86</v>
      </c>
      <c r="J267">
        <f t="shared" si="16"/>
        <v>408</v>
      </c>
      <c r="K267" s="4">
        <f t="shared" si="17"/>
        <v>81.6</v>
      </c>
      <c r="L267">
        <f t="shared" si="18"/>
        <v>119</v>
      </c>
      <c r="M267" t="str">
        <f t="shared" si="19"/>
        <v>及格</v>
      </c>
    </row>
    <row r="268" hidden="1" spans="1:13">
      <c r="A268">
        <v>10267</v>
      </c>
      <c r="B268" t="s">
        <v>288</v>
      </c>
      <c r="C268" t="s">
        <v>14</v>
      </c>
      <c r="D268" t="s">
        <v>37</v>
      </c>
      <c r="E268">
        <v>72</v>
      </c>
      <c r="F268">
        <v>53.5</v>
      </c>
      <c r="G268">
        <v>75.5</v>
      </c>
      <c r="H268">
        <v>73.5</v>
      </c>
      <c r="I268">
        <v>59</v>
      </c>
      <c r="J268">
        <f t="shared" si="16"/>
        <v>333.5</v>
      </c>
      <c r="K268" s="4">
        <f t="shared" si="17"/>
        <v>66.7</v>
      </c>
      <c r="L268">
        <f t="shared" si="18"/>
        <v>478</v>
      </c>
      <c r="M268" t="str">
        <f t="shared" si="19"/>
        <v>及格</v>
      </c>
    </row>
    <row r="269" hidden="1" spans="1:13">
      <c r="A269">
        <v>10268</v>
      </c>
      <c r="B269" t="s">
        <v>289</v>
      </c>
      <c r="C269" t="s">
        <v>17</v>
      </c>
      <c r="D269" t="s">
        <v>30</v>
      </c>
      <c r="E269">
        <v>78</v>
      </c>
      <c r="F269">
        <v>68</v>
      </c>
      <c r="G269">
        <v>88.5</v>
      </c>
      <c r="H269">
        <v>86.5</v>
      </c>
      <c r="I269">
        <v>82.5</v>
      </c>
      <c r="J269">
        <f t="shared" si="16"/>
        <v>403.5</v>
      </c>
      <c r="K269" s="4">
        <f t="shared" si="17"/>
        <v>80.7</v>
      </c>
      <c r="L269">
        <f t="shared" si="18"/>
        <v>157</v>
      </c>
      <c r="M269" t="str">
        <f t="shared" si="19"/>
        <v>及格</v>
      </c>
    </row>
    <row r="270" hidden="1" spans="1:13">
      <c r="A270">
        <v>10269</v>
      </c>
      <c r="B270" t="s">
        <v>290</v>
      </c>
      <c r="C270" t="s">
        <v>14</v>
      </c>
      <c r="D270" t="s">
        <v>18</v>
      </c>
      <c r="E270">
        <v>67</v>
      </c>
      <c r="F270">
        <v>72</v>
      </c>
      <c r="G270">
        <v>83</v>
      </c>
      <c r="H270">
        <v>81</v>
      </c>
      <c r="I270">
        <v>51</v>
      </c>
      <c r="J270">
        <f t="shared" si="16"/>
        <v>354</v>
      </c>
      <c r="K270" s="4">
        <f t="shared" si="17"/>
        <v>70.8</v>
      </c>
      <c r="L270">
        <f t="shared" si="18"/>
        <v>403</v>
      </c>
      <c r="M270" t="str">
        <f t="shared" si="19"/>
        <v>及格</v>
      </c>
    </row>
    <row r="271" hidden="1" spans="1:13">
      <c r="A271">
        <v>10270</v>
      </c>
      <c r="B271" t="s">
        <v>291</v>
      </c>
      <c r="C271" t="s">
        <v>17</v>
      </c>
      <c r="D271" t="s">
        <v>18</v>
      </c>
      <c r="E271">
        <v>71</v>
      </c>
      <c r="F271">
        <v>79</v>
      </c>
      <c r="G271">
        <v>93</v>
      </c>
      <c r="H271">
        <v>91</v>
      </c>
      <c r="I271">
        <v>82.5</v>
      </c>
      <c r="J271">
        <f t="shared" si="16"/>
        <v>416.5</v>
      </c>
      <c r="K271" s="4">
        <f t="shared" si="17"/>
        <v>83.3</v>
      </c>
      <c r="L271">
        <f t="shared" si="18"/>
        <v>60</v>
      </c>
      <c r="M271" t="str">
        <f t="shared" si="19"/>
        <v>及格</v>
      </c>
    </row>
    <row r="272" hidden="1" spans="1:13">
      <c r="A272">
        <v>10271</v>
      </c>
      <c r="B272" t="s">
        <v>292</v>
      </c>
      <c r="C272" t="s">
        <v>14</v>
      </c>
      <c r="D272" t="s">
        <v>23</v>
      </c>
      <c r="E272">
        <v>78.5</v>
      </c>
      <c r="F272">
        <v>81.5</v>
      </c>
      <c r="G272">
        <v>82</v>
      </c>
      <c r="H272">
        <v>80</v>
      </c>
      <c r="I272">
        <v>89.5</v>
      </c>
      <c r="J272">
        <f t="shared" si="16"/>
        <v>411.5</v>
      </c>
      <c r="K272" s="4">
        <f t="shared" si="17"/>
        <v>82.3</v>
      </c>
      <c r="L272">
        <f t="shared" si="18"/>
        <v>84</v>
      </c>
      <c r="M272" t="str">
        <f t="shared" si="19"/>
        <v>及格</v>
      </c>
    </row>
    <row r="273" hidden="1" spans="1:13">
      <c r="A273">
        <v>10272</v>
      </c>
      <c r="B273" t="s">
        <v>293</v>
      </c>
      <c r="C273" t="s">
        <v>14</v>
      </c>
      <c r="D273" t="s">
        <v>30</v>
      </c>
      <c r="E273">
        <v>83</v>
      </c>
      <c r="F273">
        <v>84</v>
      </c>
      <c r="G273">
        <v>77</v>
      </c>
      <c r="H273">
        <v>75</v>
      </c>
      <c r="I273">
        <v>73.5</v>
      </c>
      <c r="J273">
        <f t="shared" si="16"/>
        <v>392.5</v>
      </c>
      <c r="K273" s="4">
        <f t="shared" si="17"/>
        <v>78.5</v>
      </c>
      <c r="L273">
        <f t="shared" si="18"/>
        <v>193</v>
      </c>
      <c r="M273" t="str">
        <f t="shared" si="19"/>
        <v>及格</v>
      </c>
    </row>
    <row r="274" hidden="1" spans="1:13">
      <c r="A274">
        <v>10273</v>
      </c>
      <c r="B274" t="s">
        <v>294</v>
      </c>
      <c r="C274" t="s">
        <v>17</v>
      </c>
      <c r="D274" t="s">
        <v>23</v>
      </c>
      <c r="E274">
        <v>78</v>
      </c>
      <c r="F274">
        <v>63</v>
      </c>
      <c r="G274">
        <v>92</v>
      </c>
      <c r="H274">
        <v>90</v>
      </c>
      <c r="I274">
        <v>65</v>
      </c>
      <c r="J274">
        <f t="shared" si="16"/>
        <v>388</v>
      </c>
      <c r="K274" s="4">
        <f t="shared" si="17"/>
        <v>77.6</v>
      </c>
      <c r="L274">
        <f t="shared" si="18"/>
        <v>220</v>
      </c>
      <c r="M274" t="str">
        <f t="shared" si="19"/>
        <v>及格</v>
      </c>
    </row>
    <row r="275" hidden="1" spans="1:13">
      <c r="A275">
        <v>10274</v>
      </c>
      <c r="B275" t="s">
        <v>295</v>
      </c>
      <c r="C275" t="s">
        <v>14</v>
      </c>
      <c r="D275" t="s">
        <v>15</v>
      </c>
      <c r="E275">
        <v>77.5</v>
      </c>
      <c r="F275">
        <v>78.5</v>
      </c>
      <c r="G275">
        <v>65</v>
      </c>
      <c r="H275">
        <v>63</v>
      </c>
      <c r="I275">
        <v>73.5</v>
      </c>
      <c r="J275">
        <f t="shared" si="16"/>
        <v>357.5</v>
      </c>
      <c r="K275" s="4">
        <f t="shared" si="17"/>
        <v>71.5</v>
      </c>
      <c r="L275">
        <f t="shared" si="18"/>
        <v>393</v>
      </c>
      <c r="M275" t="str">
        <f t="shared" si="19"/>
        <v>及格</v>
      </c>
    </row>
    <row r="276" hidden="1" spans="1:13">
      <c r="A276">
        <v>10275</v>
      </c>
      <c r="B276" t="s">
        <v>296</v>
      </c>
      <c r="C276" t="s">
        <v>14</v>
      </c>
      <c r="D276" t="s">
        <v>18</v>
      </c>
      <c r="E276">
        <v>73</v>
      </c>
      <c r="F276">
        <v>74.5</v>
      </c>
      <c r="G276">
        <v>81.5</v>
      </c>
      <c r="H276">
        <v>79.5</v>
      </c>
      <c r="I276">
        <v>75.5</v>
      </c>
      <c r="J276">
        <f t="shared" si="16"/>
        <v>384</v>
      </c>
      <c r="K276" s="4">
        <f t="shared" si="17"/>
        <v>76.8</v>
      </c>
      <c r="L276">
        <f t="shared" si="18"/>
        <v>248</v>
      </c>
      <c r="M276" t="str">
        <f t="shared" si="19"/>
        <v>及格</v>
      </c>
    </row>
    <row r="277" hidden="1" spans="1:13">
      <c r="A277">
        <v>10276</v>
      </c>
      <c r="B277" t="s">
        <v>297</v>
      </c>
      <c r="C277" t="s">
        <v>17</v>
      </c>
      <c r="D277" t="s">
        <v>23</v>
      </c>
      <c r="E277">
        <v>76</v>
      </c>
      <c r="F277">
        <v>75</v>
      </c>
      <c r="G277">
        <v>67</v>
      </c>
      <c r="H277">
        <v>65</v>
      </c>
      <c r="I277">
        <v>59</v>
      </c>
      <c r="J277">
        <f t="shared" si="16"/>
        <v>342</v>
      </c>
      <c r="K277" s="4">
        <f t="shared" si="17"/>
        <v>68.4</v>
      </c>
      <c r="L277">
        <f t="shared" si="18"/>
        <v>424</v>
      </c>
      <c r="M277" t="str">
        <f t="shared" si="19"/>
        <v>及格</v>
      </c>
    </row>
    <row r="278" spans="1:13">
      <c r="A278">
        <v>10277</v>
      </c>
      <c r="B278" t="s">
        <v>298</v>
      </c>
      <c r="C278" t="s">
        <v>17</v>
      </c>
      <c r="D278" t="s">
        <v>15</v>
      </c>
      <c r="E278">
        <v>83.5</v>
      </c>
      <c r="F278">
        <v>86.5</v>
      </c>
      <c r="G278">
        <v>84</v>
      </c>
      <c r="H278">
        <v>82</v>
      </c>
      <c r="I278">
        <v>80</v>
      </c>
      <c r="J278">
        <f t="shared" si="16"/>
        <v>416</v>
      </c>
      <c r="K278" s="4">
        <f t="shared" si="17"/>
        <v>83.2</v>
      </c>
      <c r="L278">
        <f t="shared" si="18"/>
        <v>64</v>
      </c>
      <c r="M278" t="str">
        <f t="shared" si="19"/>
        <v>及格</v>
      </c>
    </row>
    <row r="279" hidden="1" spans="1:13">
      <c r="A279">
        <v>10278</v>
      </c>
      <c r="B279" t="s">
        <v>299</v>
      </c>
      <c r="C279" t="s">
        <v>17</v>
      </c>
      <c r="D279" t="s">
        <v>20</v>
      </c>
      <c r="E279">
        <v>86.5</v>
      </c>
      <c r="F279">
        <v>94</v>
      </c>
      <c r="G279">
        <v>67.5</v>
      </c>
      <c r="H279">
        <v>65.5</v>
      </c>
      <c r="I279">
        <v>74.5</v>
      </c>
      <c r="J279">
        <f t="shared" si="16"/>
        <v>388</v>
      </c>
      <c r="K279" s="4">
        <f t="shared" si="17"/>
        <v>77.6</v>
      </c>
      <c r="L279">
        <f t="shared" si="18"/>
        <v>220</v>
      </c>
      <c r="M279" t="str">
        <f t="shared" si="19"/>
        <v>及格</v>
      </c>
    </row>
    <row r="280" hidden="1" spans="1:13">
      <c r="A280">
        <v>10279</v>
      </c>
      <c r="B280" t="s">
        <v>300</v>
      </c>
      <c r="C280" t="s">
        <v>17</v>
      </c>
      <c r="D280" t="s">
        <v>20</v>
      </c>
      <c r="E280">
        <v>82</v>
      </c>
      <c r="F280">
        <v>82.5</v>
      </c>
      <c r="G280">
        <v>79</v>
      </c>
      <c r="H280">
        <v>77</v>
      </c>
      <c r="I280">
        <v>81</v>
      </c>
      <c r="J280">
        <f t="shared" si="16"/>
        <v>401.5</v>
      </c>
      <c r="K280" s="4">
        <f t="shared" si="17"/>
        <v>80.3</v>
      </c>
      <c r="L280">
        <f t="shared" si="18"/>
        <v>169</v>
      </c>
      <c r="M280" t="str">
        <f t="shared" si="19"/>
        <v>及格</v>
      </c>
    </row>
    <row r="281" hidden="1" spans="1:13">
      <c r="A281">
        <v>10280</v>
      </c>
      <c r="B281" t="s">
        <v>301</v>
      </c>
      <c r="C281" t="s">
        <v>14</v>
      </c>
      <c r="D281" t="s">
        <v>20</v>
      </c>
      <c r="E281">
        <v>69</v>
      </c>
      <c r="F281">
        <v>83</v>
      </c>
      <c r="G281">
        <v>69.5</v>
      </c>
      <c r="H281">
        <v>67.5</v>
      </c>
      <c r="I281">
        <v>78</v>
      </c>
      <c r="J281">
        <f t="shared" si="16"/>
        <v>367</v>
      </c>
      <c r="K281" s="4">
        <f t="shared" si="17"/>
        <v>73.4</v>
      </c>
      <c r="L281">
        <f t="shared" si="18"/>
        <v>357</v>
      </c>
      <c r="M281" t="str">
        <f t="shared" si="19"/>
        <v>及格</v>
      </c>
    </row>
    <row r="282" hidden="1" spans="1:13">
      <c r="A282">
        <v>10281</v>
      </c>
      <c r="B282" t="s">
        <v>302</v>
      </c>
      <c r="C282" t="s">
        <v>14</v>
      </c>
      <c r="D282" t="s">
        <v>30</v>
      </c>
      <c r="E282">
        <v>62</v>
      </c>
      <c r="F282">
        <v>78</v>
      </c>
      <c r="G282">
        <v>78</v>
      </c>
      <c r="H282">
        <v>76</v>
      </c>
      <c r="I282">
        <v>75</v>
      </c>
      <c r="J282">
        <f t="shared" si="16"/>
        <v>369</v>
      </c>
      <c r="K282" s="4">
        <f t="shared" si="17"/>
        <v>73.8</v>
      </c>
      <c r="L282">
        <f t="shared" si="18"/>
        <v>344</v>
      </c>
      <c r="M282" t="str">
        <f t="shared" si="19"/>
        <v>及格</v>
      </c>
    </row>
    <row r="283" hidden="1" spans="1:13">
      <c r="A283">
        <v>10282</v>
      </c>
      <c r="B283" t="s">
        <v>303</v>
      </c>
      <c r="C283" t="s">
        <v>14</v>
      </c>
      <c r="D283" t="s">
        <v>20</v>
      </c>
      <c r="E283">
        <v>95</v>
      </c>
      <c r="F283">
        <v>87</v>
      </c>
      <c r="G283">
        <v>90.5</v>
      </c>
      <c r="H283">
        <v>88.5</v>
      </c>
      <c r="I283">
        <v>92</v>
      </c>
      <c r="J283">
        <f t="shared" si="16"/>
        <v>453</v>
      </c>
      <c r="K283" s="4">
        <f t="shared" si="17"/>
        <v>90.6</v>
      </c>
      <c r="L283">
        <f t="shared" si="18"/>
        <v>15</v>
      </c>
      <c r="M283" t="str">
        <f t="shared" si="19"/>
        <v>优秀</v>
      </c>
    </row>
    <row r="284" hidden="1" spans="1:13">
      <c r="A284">
        <v>10283</v>
      </c>
      <c r="B284" t="s">
        <v>304</v>
      </c>
      <c r="C284" t="s">
        <v>14</v>
      </c>
      <c r="D284" t="s">
        <v>30</v>
      </c>
      <c r="E284">
        <v>77.5</v>
      </c>
      <c r="F284">
        <v>65.5</v>
      </c>
      <c r="G284">
        <v>77.5</v>
      </c>
      <c r="H284">
        <v>75.5</v>
      </c>
      <c r="I284">
        <v>84.5</v>
      </c>
      <c r="J284">
        <f t="shared" si="16"/>
        <v>380.5</v>
      </c>
      <c r="K284" s="4">
        <f t="shared" si="17"/>
        <v>76.1</v>
      </c>
      <c r="L284">
        <f t="shared" si="18"/>
        <v>272</v>
      </c>
      <c r="M284" t="str">
        <f t="shared" si="19"/>
        <v>及格</v>
      </c>
    </row>
    <row r="285" hidden="1" spans="1:13">
      <c r="A285">
        <v>10284</v>
      </c>
      <c r="B285" t="s">
        <v>305</v>
      </c>
      <c r="C285" t="s">
        <v>17</v>
      </c>
      <c r="D285" t="s">
        <v>30</v>
      </c>
      <c r="E285">
        <v>97</v>
      </c>
      <c r="F285">
        <v>74</v>
      </c>
      <c r="G285">
        <v>75</v>
      </c>
      <c r="H285">
        <v>85</v>
      </c>
      <c r="I285">
        <v>77</v>
      </c>
      <c r="J285">
        <f t="shared" si="16"/>
        <v>408</v>
      </c>
      <c r="K285" s="4">
        <f t="shared" si="17"/>
        <v>81.6</v>
      </c>
      <c r="L285">
        <f t="shared" si="18"/>
        <v>119</v>
      </c>
      <c r="M285" t="str">
        <f t="shared" si="19"/>
        <v>及格</v>
      </c>
    </row>
    <row r="286" hidden="1" spans="1:13">
      <c r="A286">
        <v>10285</v>
      </c>
      <c r="B286" t="s">
        <v>306</v>
      </c>
      <c r="C286" t="s">
        <v>17</v>
      </c>
      <c r="D286" t="s">
        <v>30</v>
      </c>
      <c r="E286">
        <v>83.5</v>
      </c>
      <c r="F286">
        <v>59.5</v>
      </c>
      <c r="G286">
        <v>79.5</v>
      </c>
      <c r="H286">
        <v>77.5</v>
      </c>
      <c r="I286">
        <v>79.5</v>
      </c>
      <c r="J286">
        <f t="shared" si="16"/>
        <v>379.5</v>
      </c>
      <c r="K286" s="4">
        <f t="shared" si="17"/>
        <v>75.9</v>
      </c>
      <c r="L286">
        <f t="shared" si="18"/>
        <v>276</v>
      </c>
      <c r="M286" t="str">
        <f t="shared" si="19"/>
        <v>及格</v>
      </c>
    </row>
    <row r="287" hidden="1" spans="1:13">
      <c r="A287">
        <v>10286</v>
      </c>
      <c r="B287" t="s">
        <v>307</v>
      </c>
      <c r="C287" t="s">
        <v>17</v>
      </c>
      <c r="D287" t="s">
        <v>20</v>
      </c>
      <c r="E287">
        <v>77</v>
      </c>
      <c r="F287">
        <v>57</v>
      </c>
      <c r="G287">
        <v>68.5</v>
      </c>
      <c r="H287">
        <v>66.5</v>
      </c>
      <c r="I287">
        <v>72</v>
      </c>
      <c r="J287">
        <f t="shared" si="16"/>
        <v>341</v>
      </c>
      <c r="K287" s="4">
        <f t="shared" si="17"/>
        <v>68.2</v>
      </c>
      <c r="L287">
        <f t="shared" si="18"/>
        <v>435</v>
      </c>
      <c r="M287" t="str">
        <f t="shared" si="19"/>
        <v>及格</v>
      </c>
    </row>
    <row r="288" hidden="1" spans="1:13">
      <c r="A288">
        <v>10287</v>
      </c>
      <c r="B288" t="s">
        <v>308</v>
      </c>
      <c r="C288" t="s">
        <v>14</v>
      </c>
      <c r="D288" t="s">
        <v>23</v>
      </c>
      <c r="E288">
        <v>83</v>
      </c>
      <c r="F288">
        <v>71.5</v>
      </c>
      <c r="G288">
        <v>75</v>
      </c>
      <c r="H288">
        <v>73</v>
      </c>
      <c r="I288">
        <v>73</v>
      </c>
      <c r="J288">
        <f t="shared" si="16"/>
        <v>375.5</v>
      </c>
      <c r="K288" s="4">
        <f t="shared" si="17"/>
        <v>75.1</v>
      </c>
      <c r="L288">
        <f t="shared" si="18"/>
        <v>306</v>
      </c>
      <c r="M288" t="str">
        <f t="shared" si="19"/>
        <v>及格</v>
      </c>
    </row>
    <row r="289" hidden="1" spans="1:13">
      <c r="A289">
        <v>10288</v>
      </c>
      <c r="B289" t="s">
        <v>309</v>
      </c>
      <c r="C289" t="s">
        <v>17</v>
      </c>
      <c r="D289" t="s">
        <v>30</v>
      </c>
      <c r="E289">
        <v>49</v>
      </c>
      <c r="F289">
        <v>73.5</v>
      </c>
      <c r="G289">
        <v>86</v>
      </c>
      <c r="H289">
        <v>84</v>
      </c>
      <c r="I289">
        <v>76.5</v>
      </c>
      <c r="J289">
        <f t="shared" si="16"/>
        <v>369</v>
      </c>
      <c r="K289" s="4">
        <f t="shared" si="17"/>
        <v>73.8</v>
      </c>
      <c r="L289">
        <f t="shared" si="18"/>
        <v>344</v>
      </c>
      <c r="M289" t="str">
        <f t="shared" si="19"/>
        <v>及格</v>
      </c>
    </row>
    <row r="290" hidden="1" spans="1:13">
      <c r="A290">
        <v>10289</v>
      </c>
      <c r="B290" t="s">
        <v>310</v>
      </c>
      <c r="C290" t="s">
        <v>14</v>
      </c>
      <c r="D290" t="s">
        <v>37</v>
      </c>
      <c r="E290">
        <v>82</v>
      </c>
      <c r="F290">
        <v>65</v>
      </c>
      <c r="G290">
        <v>87.5</v>
      </c>
      <c r="H290">
        <v>85.5</v>
      </c>
      <c r="I290">
        <v>91</v>
      </c>
      <c r="J290">
        <f t="shared" si="16"/>
        <v>411</v>
      </c>
      <c r="K290" s="4">
        <f t="shared" si="17"/>
        <v>82.2</v>
      </c>
      <c r="L290">
        <f t="shared" si="18"/>
        <v>89</v>
      </c>
      <c r="M290" t="str">
        <f t="shared" si="19"/>
        <v>及格</v>
      </c>
    </row>
    <row r="291" hidden="1" spans="1:13">
      <c r="A291">
        <v>10290</v>
      </c>
      <c r="B291" t="s">
        <v>311</v>
      </c>
      <c r="C291" t="s">
        <v>17</v>
      </c>
      <c r="D291" t="s">
        <v>18</v>
      </c>
      <c r="E291">
        <v>90</v>
      </c>
      <c r="F291">
        <v>68</v>
      </c>
      <c r="G291">
        <v>97.5</v>
      </c>
      <c r="H291">
        <v>95.5</v>
      </c>
      <c r="I291">
        <v>81</v>
      </c>
      <c r="J291">
        <f t="shared" si="16"/>
        <v>432</v>
      </c>
      <c r="K291" s="4">
        <f t="shared" si="17"/>
        <v>86.4</v>
      </c>
      <c r="L291">
        <f t="shared" si="18"/>
        <v>30</v>
      </c>
      <c r="M291" t="str">
        <f t="shared" si="19"/>
        <v>优秀</v>
      </c>
    </row>
    <row r="292" hidden="1" spans="1:13">
      <c r="A292">
        <v>10291</v>
      </c>
      <c r="B292" t="s">
        <v>312</v>
      </c>
      <c r="C292" t="s">
        <v>17</v>
      </c>
      <c r="D292" t="s">
        <v>18</v>
      </c>
      <c r="E292">
        <v>78</v>
      </c>
      <c r="F292">
        <v>79.5</v>
      </c>
      <c r="G292">
        <v>76.5</v>
      </c>
      <c r="H292">
        <v>74.5</v>
      </c>
      <c r="I292">
        <v>75</v>
      </c>
      <c r="J292">
        <f t="shared" si="16"/>
        <v>383.5</v>
      </c>
      <c r="K292" s="4">
        <f t="shared" si="17"/>
        <v>76.7</v>
      </c>
      <c r="L292">
        <f t="shared" si="18"/>
        <v>251</v>
      </c>
      <c r="M292" t="str">
        <f t="shared" si="19"/>
        <v>及格</v>
      </c>
    </row>
    <row r="293" hidden="1" spans="1:13">
      <c r="A293">
        <v>10292</v>
      </c>
      <c r="B293" t="s">
        <v>313</v>
      </c>
      <c r="C293" t="s">
        <v>17</v>
      </c>
      <c r="D293" t="s">
        <v>37</v>
      </c>
      <c r="E293">
        <v>80.5</v>
      </c>
      <c r="F293">
        <v>65</v>
      </c>
      <c r="G293">
        <v>73.5</v>
      </c>
      <c r="H293">
        <v>71.5</v>
      </c>
      <c r="I293">
        <v>81</v>
      </c>
      <c r="J293">
        <f t="shared" si="16"/>
        <v>371.5</v>
      </c>
      <c r="K293" s="4">
        <f t="shared" si="17"/>
        <v>74.3</v>
      </c>
      <c r="L293">
        <f t="shared" si="18"/>
        <v>323</v>
      </c>
      <c r="M293" t="str">
        <f t="shared" si="19"/>
        <v>及格</v>
      </c>
    </row>
    <row r="294" spans="1:13">
      <c r="A294">
        <v>10293</v>
      </c>
      <c r="B294" t="s">
        <v>314</v>
      </c>
      <c r="C294" t="s">
        <v>17</v>
      </c>
      <c r="D294" t="s">
        <v>15</v>
      </c>
      <c r="E294">
        <v>87.5</v>
      </c>
      <c r="F294">
        <v>81.5</v>
      </c>
      <c r="G294">
        <v>85</v>
      </c>
      <c r="H294">
        <v>83</v>
      </c>
      <c r="I294">
        <v>89.5</v>
      </c>
      <c r="J294">
        <f t="shared" si="16"/>
        <v>426.5</v>
      </c>
      <c r="K294" s="4">
        <f t="shared" si="17"/>
        <v>85.3</v>
      </c>
      <c r="L294">
        <f t="shared" si="18"/>
        <v>38</v>
      </c>
      <c r="M294" t="str">
        <f t="shared" si="19"/>
        <v>优秀</v>
      </c>
    </row>
    <row r="295" hidden="1" spans="1:13">
      <c r="A295">
        <v>10294</v>
      </c>
      <c r="B295" t="s">
        <v>315</v>
      </c>
      <c r="C295" t="s">
        <v>14</v>
      </c>
      <c r="D295" t="s">
        <v>18</v>
      </c>
      <c r="E295">
        <v>75</v>
      </c>
      <c r="F295">
        <v>98</v>
      </c>
      <c r="G295">
        <v>57</v>
      </c>
      <c r="H295">
        <v>55</v>
      </c>
      <c r="I295">
        <v>87</v>
      </c>
      <c r="J295">
        <f t="shared" si="16"/>
        <v>372</v>
      </c>
      <c r="K295" s="4">
        <f t="shared" si="17"/>
        <v>74.4</v>
      </c>
      <c r="L295">
        <f t="shared" si="18"/>
        <v>322</v>
      </c>
      <c r="M295" t="str">
        <f t="shared" si="19"/>
        <v>及格</v>
      </c>
    </row>
    <row r="296" hidden="1" spans="1:13">
      <c r="A296">
        <v>10295</v>
      </c>
      <c r="B296" t="s">
        <v>316</v>
      </c>
      <c r="C296" t="s">
        <v>17</v>
      </c>
      <c r="D296" t="s">
        <v>18</v>
      </c>
      <c r="E296">
        <v>69</v>
      </c>
      <c r="F296">
        <v>82</v>
      </c>
      <c r="G296">
        <v>70</v>
      </c>
      <c r="H296">
        <v>68</v>
      </c>
      <c r="I296">
        <v>87.5</v>
      </c>
      <c r="J296">
        <f t="shared" si="16"/>
        <v>376.5</v>
      </c>
      <c r="K296" s="4">
        <f t="shared" si="17"/>
        <v>75.3</v>
      </c>
      <c r="L296">
        <f t="shared" si="18"/>
        <v>300</v>
      </c>
      <c r="M296" t="str">
        <f t="shared" si="19"/>
        <v>及格</v>
      </c>
    </row>
    <row r="297" hidden="1" spans="1:13">
      <c r="A297">
        <v>10296</v>
      </c>
      <c r="B297" t="s">
        <v>317</v>
      </c>
      <c r="C297" t="s">
        <v>14</v>
      </c>
      <c r="D297" t="s">
        <v>15</v>
      </c>
      <c r="E297">
        <v>91.5</v>
      </c>
      <c r="F297">
        <v>80</v>
      </c>
      <c r="G297">
        <v>59</v>
      </c>
      <c r="H297">
        <v>57</v>
      </c>
      <c r="I297">
        <v>52</v>
      </c>
      <c r="J297">
        <f t="shared" si="16"/>
        <v>339.5</v>
      </c>
      <c r="K297" s="4">
        <f t="shared" si="17"/>
        <v>67.9</v>
      </c>
      <c r="L297">
        <f t="shared" si="18"/>
        <v>452</v>
      </c>
      <c r="M297" t="str">
        <f t="shared" si="19"/>
        <v>及格</v>
      </c>
    </row>
    <row r="298" hidden="1" spans="1:13">
      <c r="A298">
        <v>10297</v>
      </c>
      <c r="B298" t="s">
        <v>318</v>
      </c>
      <c r="C298" t="s">
        <v>14</v>
      </c>
      <c r="D298" t="s">
        <v>20</v>
      </c>
      <c r="E298">
        <v>84.5</v>
      </c>
      <c r="F298">
        <v>58.5</v>
      </c>
      <c r="G298">
        <v>63</v>
      </c>
      <c r="H298">
        <v>61</v>
      </c>
      <c r="I298">
        <v>64</v>
      </c>
      <c r="J298">
        <f t="shared" si="16"/>
        <v>331</v>
      </c>
      <c r="K298" s="4">
        <f t="shared" si="17"/>
        <v>66.2</v>
      </c>
      <c r="L298">
        <f t="shared" si="18"/>
        <v>483</v>
      </c>
      <c r="M298" t="str">
        <f t="shared" si="19"/>
        <v>及格</v>
      </c>
    </row>
    <row r="299" hidden="1" spans="1:13">
      <c r="A299">
        <v>10298</v>
      </c>
      <c r="B299" t="s">
        <v>319</v>
      </c>
      <c r="C299" t="s">
        <v>14</v>
      </c>
      <c r="D299" t="s">
        <v>18</v>
      </c>
      <c r="E299">
        <v>78</v>
      </c>
      <c r="F299">
        <v>76.5</v>
      </c>
      <c r="G299">
        <v>92</v>
      </c>
      <c r="H299">
        <v>78</v>
      </c>
      <c r="I299">
        <v>69</v>
      </c>
      <c r="J299">
        <f t="shared" si="16"/>
        <v>393.5</v>
      </c>
      <c r="K299" s="4">
        <f t="shared" si="17"/>
        <v>78.7</v>
      </c>
      <c r="L299">
        <f t="shared" si="18"/>
        <v>191</v>
      </c>
      <c r="M299" t="str">
        <f t="shared" si="19"/>
        <v>及格</v>
      </c>
    </row>
    <row r="300" hidden="1" spans="1:13">
      <c r="A300">
        <v>10299</v>
      </c>
      <c r="B300" t="s">
        <v>320</v>
      </c>
      <c r="C300" t="s">
        <v>14</v>
      </c>
      <c r="D300" t="s">
        <v>18</v>
      </c>
      <c r="E300">
        <v>68.5</v>
      </c>
      <c r="F300">
        <v>73.5</v>
      </c>
      <c r="G300">
        <v>60</v>
      </c>
      <c r="H300">
        <v>58</v>
      </c>
      <c r="I300">
        <v>72</v>
      </c>
      <c r="J300">
        <f t="shared" si="16"/>
        <v>332</v>
      </c>
      <c r="K300" s="4">
        <f t="shared" si="17"/>
        <v>66.4</v>
      </c>
      <c r="L300">
        <f t="shared" si="18"/>
        <v>481</v>
      </c>
      <c r="M300" t="str">
        <f t="shared" si="19"/>
        <v>及格</v>
      </c>
    </row>
    <row r="301" hidden="1" spans="1:13">
      <c r="A301">
        <v>10300</v>
      </c>
      <c r="B301" t="s">
        <v>321</v>
      </c>
      <c r="C301" t="s">
        <v>14</v>
      </c>
      <c r="D301" t="s">
        <v>23</v>
      </c>
      <c r="E301">
        <v>77</v>
      </c>
      <c r="F301">
        <v>62</v>
      </c>
      <c r="G301">
        <v>68.5</v>
      </c>
      <c r="H301">
        <v>66.5</v>
      </c>
      <c r="I301">
        <v>68</v>
      </c>
      <c r="J301">
        <f t="shared" si="16"/>
        <v>342</v>
      </c>
      <c r="K301" s="4">
        <f t="shared" si="17"/>
        <v>68.4</v>
      </c>
      <c r="L301">
        <f t="shared" si="18"/>
        <v>424</v>
      </c>
      <c r="M301" t="str">
        <f t="shared" si="19"/>
        <v>及格</v>
      </c>
    </row>
    <row r="302" hidden="1" spans="1:13">
      <c r="A302">
        <v>10301</v>
      </c>
      <c r="B302" t="s">
        <v>322</v>
      </c>
      <c r="C302" t="s">
        <v>17</v>
      </c>
      <c r="D302" t="s">
        <v>15</v>
      </c>
      <c r="E302">
        <v>81.5</v>
      </c>
      <c r="F302">
        <v>74.5</v>
      </c>
      <c r="G302">
        <v>68.5</v>
      </c>
      <c r="H302">
        <v>66.5</v>
      </c>
      <c r="I302">
        <v>91</v>
      </c>
      <c r="J302">
        <f t="shared" si="16"/>
        <v>382</v>
      </c>
      <c r="K302" s="4">
        <f t="shared" si="17"/>
        <v>76.4</v>
      </c>
      <c r="L302">
        <f t="shared" si="18"/>
        <v>263</v>
      </c>
      <c r="M302" t="str">
        <f t="shared" si="19"/>
        <v>及格</v>
      </c>
    </row>
    <row r="303" hidden="1" spans="1:13">
      <c r="A303">
        <v>10302</v>
      </c>
      <c r="B303" t="s">
        <v>323</v>
      </c>
      <c r="C303" t="s">
        <v>17</v>
      </c>
      <c r="D303" t="s">
        <v>20</v>
      </c>
      <c r="E303">
        <v>82.5</v>
      </c>
      <c r="F303">
        <v>88</v>
      </c>
      <c r="G303">
        <v>86</v>
      </c>
      <c r="H303">
        <v>84</v>
      </c>
      <c r="I303">
        <v>81.5</v>
      </c>
      <c r="J303">
        <f t="shared" si="16"/>
        <v>422</v>
      </c>
      <c r="K303" s="4">
        <f t="shared" si="17"/>
        <v>84.4</v>
      </c>
      <c r="L303">
        <f t="shared" si="18"/>
        <v>45</v>
      </c>
      <c r="M303" t="str">
        <f t="shared" si="19"/>
        <v>及格</v>
      </c>
    </row>
    <row r="304" hidden="1" spans="1:13">
      <c r="A304">
        <v>10303</v>
      </c>
      <c r="B304" t="s">
        <v>324</v>
      </c>
      <c r="C304" t="s">
        <v>17</v>
      </c>
      <c r="D304" t="s">
        <v>23</v>
      </c>
      <c r="E304">
        <v>75.5</v>
      </c>
      <c r="F304">
        <v>66</v>
      </c>
      <c r="G304">
        <v>87</v>
      </c>
      <c r="H304">
        <v>85</v>
      </c>
      <c r="I304">
        <v>72.5</v>
      </c>
      <c r="J304">
        <f t="shared" si="16"/>
        <v>386</v>
      </c>
      <c r="K304" s="4">
        <f t="shared" si="17"/>
        <v>77.2</v>
      </c>
      <c r="L304">
        <f t="shared" si="18"/>
        <v>236</v>
      </c>
      <c r="M304" t="str">
        <f t="shared" si="19"/>
        <v>及格</v>
      </c>
    </row>
    <row r="305" hidden="1" spans="1:13">
      <c r="A305">
        <v>10304</v>
      </c>
      <c r="B305" t="s">
        <v>325</v>
      </c>
      <c r="C305" t="s">
        <v>14</v>
      </c>
      <c r="D305" t="s">
        <v>23</v>
      </c>
      <c r="E305">
        <v>80.5</v>
      </c>
      <c r="F305">
        <v>71.5</v>
      </c>
      <c r="G305">
        <v>63.5</v>
      </c>
      <c r="H305">
        <v>61.5</v>
      </c>
      <c r="I305">
        <v>64</v>
      </c>
      <c r="J305">
        <f t="shared" si="16"/>
        <v>341</v>
      </c>
      <c r="K305" s="4">
        <f t="shared" si="17"/>
        <v>68.2</v>
      </c>
      <c r="L305">
        <f t="shared" si="18"/>
        <v>435</v>
      </c>
      <c r="M305" t="str">
        <f t="shared" si="19"/>
        <v>及格</v>
      </c>
    </row>
    <row r="306" hidden="1" spans="1:13">
      <c r="A306">
        <v>10305</v>
      </c>
      <c r="B306" t="s">
        <v>326</v>
      </c>
      <c r="C306" t="s">
        <v>14</v>
      </c>
      <c r="D306" t="s">
        <v>15</v>
      </c>
      <c r="E306">
        <v>78</v>
      </c>
      <c r="F306">
        <v>75.5</v>
      </c>
      <c r="G306">
        <v>82.5</v>
      </c>
      <c r="H306">
        <v>80.5</v>
      </c>
      <c r="I306">
        <v>94</v>
      </c>
      <c r="J306">
        <f t="shared" si="16"/>
        <v>410.5</v>
      </c>
      <c r="K306" s="4">
        <f t="shared" si="17"/>
        <v>82.1</v>
      </c>
      <c r="L306">
        <f t="shared" si="18"/>
        <v>96</v>
      </c>
      <c r="M306" t="str">
        <f t="shared" si="19"/>
        <v>及格</v>
      </c>
    </row>
    <row r="307" hidden="1" spans="1:13">
      <c r="A307">
        <v>10306</v>
      </c>
      <c r="B307" t="s">
        <v>327</v>
      </c>
      <c r="C307" t="s">
        <v>14</v>
      </c>
      <c r="D307" t="s">
        <v>20</v>
      </c>
      <c r="E307">
        <v>74.5</v>
      </c>
      <c r="F307">
        <v>71.5</v>
      </c>
      <c r="G307">
        <v>65</v>
      </c>
      <c r="H307">
        <v>63</v>
      </c>
      <c r="I307">
        <v>72</v>
      </c>
      <c r="J307">
        <f t="shared" si="16"/>
        <v>346</v>
      </c>
      <c r="K307" s="4">
        <f t="shared" si="17"/>
        <v>69.2</v>
      </c>
      <c r="L307">
        <f t="shared" si="18"/>
        <v>413</v>
      </c>
      <c r="M307" t="str">
        <f t="shared" si="19"/>
        <v>及格</v>
      </c>
    </row>
    <row r="308" hidden="1" spans="1:13">
      <c r="A308">
        <v>10307</v>
      </c>
      <c r="B308" t="s">
        <v>328</v>
      </c>
      <c r="C308" t="s">
        <v>17</v>
      </c>
      <c r="D308" t="s">
        <v>37</v>
      </c>
      <c r="E308">
        <v>85</v>
      </c>
      <c r="F308">
        <v>73</v>
      </c>
      <c r="G308">
        <v>93</v>
      </c>
      <c r="H308">
        <v>96.5</v>
      </c>
      <c r="I308">
        <v>82</v>
      </c>
      <c r="J308">
        <f t="shared" si="16"/>
        <v>429.5</v>
      </c>
      <c r="K308" s="4">
        <f t="shared" si="17"/>
        <v>85.9</v>
      </c>
      <c r="L308">
        <f t="shared" si="18"/>
        <v>34</v>
      </c>
      <c r="M308" t="str">
        <f t="shared" si="19"/>
        <v>优秀</v>
      </c>
    </row>
    <row r="309" hidden="1" spans="1:13">
      <c r="A309">
        <v>10308</v>
      </c>
      <c r="B309" t="s">
        <v>329</v>
      </c>
      <c r="C309" t="s">
        <v>14</v>
      </c>
      <c r="D309" t="s">
        <v>30</v>
      </c>
      <c r="E309">
        <v>82</v>
      </c>
      <c r="F309">
        <v>75</v>
      </c>
      <c r="G309">
        <v>90</v>
      </c>
      <c r="H309">
        <v>88</v>
      </c>
      <c r="I309">
        <v>75</v>
      </c>
      <c r="J309">
        <f t="shared" si="16"/>
        <v>410</v>
      </c>
      <c r="K309" s="4">
        <f t="shared" si="17"/>
        <v>82</v>
      </c>
      <c r="L309">
        <f t="shared" si="18"/>
        <v>99</v>
      </c>
      <c r="M309" t="str">
        <f t="shared" si="19"/>
        <v>及格</v>
      </c>
    </row>
    <row r="310" hidden="1" spans="1:13">
      <c r="A310">
        <v>10309</v>
      </c>
      <c r="B310" t="s">
        <v>330</v>
      </c>
      <c r="C310" t="s">
        <v>17</v>
      </c>
      <c r="D310" t="s">
        <v>30</v>
      </c>
      <c r="E310">
        <v>80</v>
      </c>
      <c r="F310">
        <v>69</v>
      </c>
      <c r="G310">
        <v>96</v>
      </c>
      <c r="H310">
        <v>96</v>
      </c>
      <c r="I310">
        <v>88</v>
      </c>
      <c r="J310">
        <f t="shared" si="16"/>
        <v>429</v>
      </c>
      <c r="K310" s="4">
        <f t="shared" si="17"/>
        <v>85.8</v>
      </c>
      <c r="L310">
        <f t="shared" si="18"/>
        <v>35</v>
      </c>
      <c r="M310" t="str">
        <f t="shared" si="19"/>
        <v>优秀</v>
      </c>
    </row>
    <row r="311" hidden="1" spans="1:13">
      <c r="A311">
        <v>10310</v>
      </c>
      <c r="B311" t="s">
        <v>331</v>
      </c>
      <c r="C311" t="s">
        <v>17</v>
      </c>
      <c r="D311" t="s">
        <v>20</v>
      </c>
      <c r="E311">
        <v>77</v>
      </c>
      <c r="F311">
        <v>90</v>
      </c>
      <c r="G311">
        <v>76</v>
      </c>
      <c r="H311">
        <v>74</v>
      </c>
      <c r="I311">
        <v>74</v>
      </c>
      <c r="J311">
        <f t="shared" si="16"/>
        <v>391</v>
      </c>
      <c r="K311" s="4">
        <f t="shared" si="17"/>
        <v>78.2</v>
      </c>
      <c r="L311">
        <f t="shared" si="18"/>
        <v>203</v>
      </c>
      <c r="M311" t="str">
        <f t="shared" si="19"/>
        <v>及格</v>
      </c>
    </row>
    <row r="312" hidden="1" spans="1:13">
      <c r="A312">
        <v>10311</v>
      </c>
      <c r="B312" t="s">
        <v>332</v>
      </c>
      <c r="C312" t="s">
        <v>17</v>
      </c>
      <c r="D312" t="s">
        <v>15</v>
      </c>
      <c r="E312">
        <v>76.5</v>
      </c>
      <c r="F312">
        <v>78.5</v>
      </c>
      <c r="G312">
        <v>63</v>
      </c>
      <c r="H312">
        <v>61</v>
      </c>
      <c r="I312">
        <v>69.5</v>
      </c>
      <c r="J312">
        <f t="shared" si="16"/>
        <v>348.5</v>
      </c>
      <c r="K312" s="4">
        <f t="shared" si="17"/>
        <v>69.7</v>
      </c>
      <c r="L312">
        <f t="shared" si="18"/>
        <v>410</v>
      </c>
      <c r="M312" t="str">
        <f t="shared" si="19"/>
        <v>及格</v>
      </c>
    </row>
    <row r="313" hidden="1" spans="1:13">
      <c r="A313">
        <v>10312</v>
      </c>
      <c r="B313" t="s">
        <v>333</v>
      </c>
      <c r="C313" t="s">
        <v>17</v>
      </c>
      <c r="D313" t="s">
        <v>18</v>
      </c>
      <c r="E313">
        <v>91</v>
      </c>
      <c r="F313">
        <v>94</v>
      </c>
      <c r="G313">
        <v>74.5</v>
      </c>
      <c r="H313">
        <v>72.5</v>
      </c>
      <c r="I313">
        <v>89</v>
      </c>
      <c r="J313">
        <f t="shared" si="16"/>
        <v>421</v>
      </c>
      <c r="K313" s="4">
        <f t="shared" si="17"/>
        <v>84.2</v>
      </c>
      <c r="L313">
        <f t="shared" si="18"/>
        <v>48</v>
      </c>
      <c r="M313" t="str">
        <f t="shared" si="19"/>
        <v>及格</v>
      </c>
    </row>
    <row r="314" hidden="1" spans="1:13">
      <c r="A314">
        <v>10313</v>
      </c>
      <c r="B314" t="s">
        <v>334</v>
      </c>
      <c r="C314" t="s">
        <v>14</v>
      </c>
      <c r="D314" t="s">
        <v>30</v>
      </c>
      <c r="E314">
        <v>80.5</v>
      </c>
      <c r="F314">
        <v>81</v>
      </c>
      <c r="G314">
        <v>74</v>
      </c>
      <c r="H314">
        <v>72</v>
      </c>
      <c r="I314">
        <v>93</v>
      </c>
      <c r="J314">
        <f t="shared" si="16"/>
        <v>400.5</v>
      </c>
      <c r="K314" s="4">
        <f t="shared" si="17"/>
        <v>80.1</v>
      </c>
      <c r="L314">
        <f t="shared" si="18"/>
        <v>177</v>
      </c>
      <c r="M314" t="str">
        <f t="shared" si="19"/>
        <v>及格</v>
      </c>
    </row>
    <row r="315" hidden="1" spans="1:13">
      <c r="A315">
        <v>10314</v>
      </c>
      <c r="B315" t="s">
        <v>335</v>
      </c>
      <c r="C315" t="s">
        <v>14</v>
      </c>
      <c r="D315" t="s">
        <v>18</v>
      </c>
      <c r="E315">
        <v>77.5</v>
      </c>
      <c r="F315">
        <v>85</v>
      </c>
      <c r="G315">
        <v>87.5</v>
      </c>
      <c r="H315">
        <v>85.5</v>
      </c>
      <c r="I315">
        <v>75.5</v>
      </c>
      <c r="J315">
        <f t="shared" si="16"/>
        <v>411</v>
      </c>
      <c r="K315" s="4">
        <f t="shared" si="17"/>
        <v>82.2</v>
      </c>
      <c r="L315">
        <f t="shared" si="18"/>
        <v>89</v>
      </c>
      <c r="M315" t="str">
        <f t="shared" si="19"/>
        <v>及格</v>
      </c>
    </row>
    <row r="316" hidden="1" spans="1:13">
      <c r="A316">
        <v>10315</v>
      </c>
      <c r="B316" t="s">
        <v>336</v>
      </c>
      <c r="C316" t="s">
        <v>17</v>
      </c>
      <c r="D316" t="s">
        <v>20</v>
      </c>
      <c r="E316">
        <v>64.5</v>
      </c>
      <c r="F316">
        <v>62</v>
      </c>
      <c r="G316">
        <v>76.5</v>
      </c>
      <c r="H316">
        <v>74.5</v>
      </c>
      <c r="I316">
        <v>65.5</v>
      </c>
      <c r="J316">
        <f t="shared" si="16"/>
        <v>343</v>
      </c>
      <c r="K316" s="4">
        <f t="shared" si="17"/>
        <v>68.6</v>
      </c>
      <c r="L316">
        <f t="shared" si="18"/>
        <v>419</v>
      </c>
      <c r="M316" t="str">
        <f t="shared" si="19"/>
        <v>及格</v>
      </c>
    </row>
    <row r="317" hidden="1" spans="1:13">
      <c r="A317">
        <v>10316</v>
      </c>
      <c r="B317" t="s">
        <v>337</v>
      </c>
      <c r="C317" t="s">
        <v>17</v>
      </c>
      <c r="D317" t="s">
        <v>37</v>
      </c>
      <c r="E317">
        <v>66</v>
      </c>
      <c r="F317">
        <v>73</v>
      </c>
      <c r="G317">
        <v>77</v>
      </c>
      <c r="H317">
        <v>63</v>
      </c>
      <c r="I317">
        <v>65</v>
      </c>
      <c r="J317">
        <f t="shared" si="16"/>
        <v>344</v>
      </c>
      <c r="K317" s="4">
        <f t="shared" si="17"/>
        <v>68.8</v>
      </c>
      <c r="L317">
        <f t="shared" si="18"/>
        <v>416</v>
      </c>
      <c r="M317" t="str">
        <f t="shared" si="19"/>
        <v>及格</v>
      </c>
    </row>
    <row r="318" hidden="1" spans="1:13">
      <c r="A318">
        <v>10317</v>
      </c>
      <c r="B318" t="s">
        <v>338</v>
      </c>
      <c r="C318" t="s">
        <v>17</v>
      </c>
      <c r="D318" t="s">
        <v>23</v>
      </c>
      <c r="E318">
        <v>86</v>
      </c>
      <c r="F318">
        <v>97</v>
      </c>
      <c r="G318">
        <v>78</v>
      </c>
      <c r="H318">
        <v>76</v>
      </c>
      <c r="I318">
        <v>69</v>
      </c>
      <c r="J318">
        <f t="shared" si="16"/>
        <v>406</v>
      </c>
      <c r="K318" s="4">
        <f t="shared" si="17"/>
        <v>81.2</v>
      </c>
      <c r="L318">
        <f t="shared" si="18"/>
        <v>138</v>
      </c>
      <c r="M318" t="str">
        <f t="shared" si="19"/>
        <v>及格</v>
      </c>
    </row>
    <row r="319" hidden="1" spans="1:13">
      <c r="A319">
        <v>10318</v>
      </c>
      <c r="B319" t="s">
        <v>339</v>
      </c>
      <c r="C319" t="s">
        <v>17</v>
      </c>
      <c r="D319" t="s">
        <v>23</v>
      </c>
      <c r="E319">
        <v>94.5</v>
      </c>
      <c r="F319">
        <v>70</v>
      </c>
      <c r="G319">
        <v>77</v>
      </c>
      <c r="H319">
        <v>75</v>
      </c>
      <c r="I319">
        <v>61</v>
      </c>
      <c r="J319">
        <f t="shared" si="16"/>
        <v>377.5</v>
      </c>
      <c r="K319" s="4">
        <f t="shared" si="17"/>
        <v>75.5</v>
      </c>
      <c r="L319">
        <f t="shared" si="18"/>
        <v>293</v>
      </c>
      <c r="M319" t="str">
        <f t="shared" si="19"/>
        <v>及格</v>
      </c>
    </row>
    <row r="320" spans="1:13">
      <c r="A320">
        <v>10319</v>
      </c>
      <c r="B320" t="s">
        <v>340</v>
      </c>
      <c r="C320" t="s">
        <v>17</v>
      </c>
      <c r="D320" t="s">
        <v>15</v>
      </c>
      <c r="E320">
        <v>90</v>
      </c>
      <c r="F320">
        <v>94</v>
      </c>
      <c r="G320">
        <v>70.5</v>
      </c>
      <c r="H320">
        <v>68.5</v>
      </c>
      <c r="I320">
        <v>88</v>
      </c>
      <c r="J320">
        <f t="shared" si="16"/>
        <v>411</v>
      </c>
      <c r="K320" s="4">
        <f t="shared" si="17"/>
        <v>82.2</v>
      </c>
      <c r="L320">
        <f t="shared" si="18"/>
        <v>89</v>
      </c>
      <c r="M320" t="str">
        <f t="shared" si="19"/>
        <v>及格</v>
      </c>
    </row>
    <row r="321" hidden="1" spans="1:13">
      <c r="A321">
        <v>10320</v>
      </c>
      <c r="B321" t="s">
        <v>341</v>
      </c>
      <c r="C321" t="s">
        <v>14</v>
      </c>
      <c r="D321" t="s">
        <v>15</v>
      </c>
      <c r="E321">
        <v>88</v>
      </c>
      <c r="F321">
        <v>96</v>
      </c>
      <c r="G321">
        <v>62</v>
      </c>
      <c r="H321">
        <v>80</v>
      </c>
      <c r="I321">
        <v>80.5</v>
      </c>
      <c r="J321">
        <f t="shared" si="16"/>
        <v>406.5</v>
      </c>
      <c r="K321" s="4">
        <f t="shared" si="17"/>
        <v>81.3</v>
      </c>
      <c r="L321">
        <f t="shared" si="18"/>
        <v>133</v>
      </c>
      <c r="M321" t="str">
        <f t="shared" si="19"/>
        <v>及格</v>
      </c>
    </row>
    <row r="322" hidden="1" spans="1:13">
      <c r="A322">
        <v>10321</v>
      </c>
      <c r="B322" t="s">
        <v>342</v>
      </c>
      <c r="C322" t="s">
        <v>14</v>
      </c>
      <c r="D322" t="s">
        <v>20</v>
      </c>
      <c r="E322">
        <v>71.5</v>
      </c>
      <c r="F322">
        <v>74</v>
      </c>
      <c r="G322">
        <v>67.5</v>
      </c>
      <c r="H322">
        <v>65.5</v>
      </c>
      <c r="I322">
        <v>65</v>
      </c>
      <c r="J322">
        <f t="shared" si="16"/>
        <v>343.5</v>
      </c>
      <c r="K322" s="4">
        <f t="shared" si="17"/>
        <v>68.7</v>
      </c>
      <c r="L322">
        <f t="shared" si="18"/>
        <v>417</v>
      </c>
      <c r="M322" t="str">
        <f t="shared" si="19"/>
        <v>及格</v>
      </c>
    </row>
    <row r="323" hidden="1" spans="1:13">
      <c r="A323">
        <v>10322</v>
      </c>
      <c r="B323" t="s">
        <v>343</v>
      </c>
      <c r="C323" t="s">
        <v>14</v>
      </c>
      <c r="D323" t="s">
        <v>15</v>
      </c>
      <c r="E323">
        <v>82</v>
      </c>
      <c r="F323">
        <v>70.5</v>
      </c>
      <c r="G323">
        <v>80.5</v>
      </c>
      <c r="H323">
        <v>86</v>
      </c>
      <c r="I323">
        <v>87</v>
      </c>
      <c r="J323">
        <f t="shared" ref="J323:J386" si="20">SUM(E323:I323)</f>
        <v>406</v>
      </c>
      <c r="K323" s="4">
        <f t="shared" ref="K323:K386" si="21">AVERAGE(E323:I323)</f>
        <v>81.2</v>
      </c>
      <c r="L323">
        <f t="shared" ref="L323:L386" si="22">RANK(K323,$K$2:$K$503)</f>
        <v>138</v>
      </c>
      <c r="M323" t="str">
        <f t="shared" ref="M323:M386" si="23">IF(K323&gt;=85,"优秀",IF(K323&gt;=60,"及格","不及格"))</f>
        <v>及格</v>
      </c>
    </row>
    <row r="324" hidden="1" spans="1:13">
      <c r="A324">
        <v>10323</v>
      </c>
      <c r="B324" t="s">
        <v>344</v>
      </c>
      <c r="C324" t="s">
        <v>14</v>
      </c>
      <c r="D324" t="s">
        <v>37</v>
      </c>
      <c r="E324">
        <v>75.5</v>
      </c>
      <c r="F324">
        <v>62.5</v>
      </c>
      <c r="G324">
        <v>74.5</v>
      </c>
      <c r="H324">
        <v>63</v>
      </c>
      <c r="I324">
        <v>67</v>
      </c>
      <c r="J324">
        <f t="shared" si="20"/>
        <v>342.5</v>
      </c>
      <c r="K324" s="4">
        <f t="shared" si="21"/>
        <v>68.5</v>
      </c>
      <c r="L324">
        <f t="shared" si="22"/>
        <v>422</v>
      </c>
      <c r="M324" t="str">
        <f t="shared" si="23"/>
        <v>及格</v>
      </c>
    </row>
    <row r="325" spans="1:13">
      <c r="A325">
        <v>10324</v>
      </c>
      <c r="B325" t="s">
        <v>345</v>
      </c>
      <c r="C325" t="s">
        <v>17</v>
      </c>
      <c r="D325" t="s">
        <v>15</v>
      </c>
      <c r="E325">
        <v>76</v>
      </c>
      <c r="F325">
        <v>88</v>
      </c>
      <c r="G325">
        <v>83</v>
      </c>
      <c r="H325">
        <v>81</v>
      </c>
      <c r="I325">
        <v>72</v>
      </c>
      <c r="J325">
        <f t="shared" si="20"/>
        <v>400</v>
      </c>
      <c r="K325" s="4">
        <f t="shared" si="21"/>
        <v>80</v>
      </c>
      <c r="L325">
        <f t="shared" si="22"/>
        <v>182</v>
      </c>
      <c r="M325" t="str">
        <f t="shared" si="23"/>
        <v>及格</v>
      </c>
    </row>
    <row r="326" hidden="1" spans="1:13">
      <c r="A326">
        <v>10325</v>
      </c>
      <c r="B326" t="s">
        <v>346</v>
      </c>
      <c r="C326" t="s">
        <v>17</v>
      </c>
      <c r="D326" t="s">
        <v>15</v>
      </c>
      <c r="E326">
        <v>76.5</v>
      </c>
      <c r="F326">
        <v>80.5</v>
      </c>
      <c r="G326">
        <v>68.5</v>
      </c>
      <c r="H326">
        <v>66.5</v>
      </c>
      <c r="I326">
        <v>86.5</v>
      </c>
      <c r="J326">
        <f t="shared" si="20"/>
        <v>378.5</v>
      </c>
      <c r="K326" s="4">
        <f t="shared" si="21"/>
        <v>75.7</v>
      </c>
      <c r="L326">
        <f t="shared" si="22"/>
        <v>287</v>
      </c>
      <c r="M326" t="str">
        <f t="shared" si="23"/>
        <v>及格</v>
      </c>
    </row>
    <row r="327" hidden="1" spans="1:13">
      <c r="A327">
        <v>10326</v>
      </c>
      <c r="B327" t="s">
        <v>347</v>
      </c>
      <c r="C327" t="s">
        <v>17</v>
      </c>
      <c r="D327" t="s">
        <v>18</v>
      </c>
      <c r="E327">
        <v>66</v>
      </c>
      <c r="F327">
        <v>95</v>
      </c>
      <c r="G327">
        <v>62.5</v>
      </c>
      <c r="H327">
        <v>60.5</v>
      </c>
      <c r="I327">
        <v>86</v>
      </c>
      <c r="J327">
        <f t="shared" si="20"/>
        <v>370</v>
      </c>
      <c r="K327" s="4">
        <f t="shared" si="21"/>
        <v>74</v>
      </c>
      <c r="L327">
        <f t="shared" si="22"/>
        <v>337</v>
      </c>
      <c r="M327" t="str">
        <f t="shared" si="23"/>
        <v>及格</v>
      </c>
    </row>
    <row r="328" hidden="1" spans="1:13">
      <c r="A328">
        <v>10327</v>
      </c>
      <c r="B328" t="s">
        <v>348</v>
      </c>
      <c r="C328" t="s">
        <v>14</v>
      </c>
      <c r="D328" t="s">
        <v>18</v>
      </c>
      <c r="E328">
        <v>85</v>
      </c>
      <c r="F328">
        <v>77</v>
      </c>
      <c r="G328">
        <v>84.5</v>
      </c>
      <c r="H328">
        <v>82.5</v>
      </c>
      <c r="I328">
        <v>77.5</v>
      </c>
      <c r="J328">
        <f t="shared" si="20"/>
        <v>406.5</v>
      </c>
      <c r="K328" s="4">
        <f t="shared" si="21"/>
        <v>81.3</v>
      </c>
      <c r="L328">
        <f t="shared" si="22"/>
        <v>133</v>
      </c>
      <c r="M328" t="str">
        <f t="shared" si="23"/>
        <v>及格</v>
      </c>
    </row>
    <row r="329" hidden="1" spans="1:13">
      <c r="A329">
        <v>10328</v>
      </c>
      <c r="B329" t="s">
        <v>349</v>
      </c>
      <c r="C329" t="s">
        <v>14</v>
      </c>
      <c r="D329" t="s">
        <v>30</v>
      </c>
      <c r="E329">
        <v>82</v>
      </c>
      <c r="F329">
        <v>78</v>
      </c>
      <c r="G329">
        <v>89</v>
      </c>
      <c r="H329">
        <v>87</v>
      </c>
      <c r="I329">
        <v>64.5</v>
      </c>
      <c r="J329">
        <f t="shared" si="20"/>
        <v>400.5</v>
      </c>
      <c r="K329" s="4">
        <f t="shared" si="21"/>
        <v>80.1</v>
      </c>
      <c r="L329">
        <f t="shared" si="22"/>
        <v>177</v>
      </c>
      <c r="M329" t="str">
        <f t="shared" si="23"/>
        <v>及格</v>
      </c>
    </row>
    <row r="330" hidden="1" spans="1:13">
      <c r="A330">
        <v>10329</v>
      </c>
      <c r="B330" t="s">
        <v>350</v>
      </c>
      <c r="C330" t="s">
        <v>17</v>
      </c>
      <c r="D330" t="s">
        <v>18</v>
      </c>
      <c r="E330">
        <v>61</v>
      </c>
      <c r="F330">
        <v>63</v>
      </c>
      <c r="G330">
        <v>74</v>
      </c>
      <c r="H330">
        <v>72</v>
      </c>
      <c r="I330">
        <v>72</v>
      </c>
      <c r="J330">
        <f t="shared" si="20"/>
        <v>342</v>
      </c>
      <c r="K330" s="4">
        <f t="shared" si="21"/>
        <v>68.4</v>
      </c>
      <c r="L330">
        <f t="shared" si="22"/>
        <v>424</v>
      </c>
      <c r="M330" t="str">
        <f t="shared" si="23"/>
        <v>及格</v>
      </c>
    </row>
    <row r="331" hidden="1" spans="1:13">
      <c r="A331">
        <v>10330</v>
      </c>
      <c r="B331" t="s">
        <v>351</v>
      </c>
      <c r="C331" t="s">
        <v>17</v>
      </c>
      <c r="D331" t="s">
        <v>23</v>
      </c>
      <c r="E331">
        <v>79</v>
      </c>
      <c r="F331">
        <v>85.5</v>
      </c>
      <c r="G331">
        <v>63.5</v>
      </c>
      <c r="H331">
        <v>61.5</v>
      </c>
      <c r="I331">
        <v>85.5</v>
      </c>
      <c r="J331">
        <f t="shared" si="20"/>
        <v>375</v>
      </c>
      <c r="K331" s="4">
        <f t="shared" si="21"/>
        <v>75</v>
      </c>
      <c r="L331">
        <f t="shared" si="22"/>
        <v>312</v>
      </c>
      <c r="M331" t="str">
        <f t="shared" si="23"/>
        <v>及格</v>
      </c>
    </row>
    <row r="332" hidden="1" spans="1:13">
      <c r="A332">
        <v>10331</v>
      </c>
      <c r="B332" t="s">
        <v>352</v>
      </c>
      <c r="C332" t="s">
        <v>17</v>
      </c>
      <c r="D332" t="s">
        <v>30</v>
      </c>
      <c r="E332">
        <v>66</v>
      </c>
      <c r="F332">
        <v>49</v>
      </c>
      <c r="G332">
        <v>73</v>
      </c>
      <c r="H332">
        <v>71</v>
      </c>
      <c r="I332">
        <v>80.5</v>
      </c>
      <c r="J332">
        <f t="shared" si="20"/>
        <v>339.5</v>
      </c>
      <c r="K332" s="4">
        <f t="shared" si="21"/>
        <v>67.9</v>
      </c>
      <c r="L332">
        <f t="shared" si="22"/>
        <v>452</v>
      </c>
      <c r="M332" t="str">
        <f t="shared" si="23"/>
        <v>及格</v>
      </c>
    </row>
    <row r="333" hidden="1" spans="1:13">
      <c r="A333">
        <v>10332</v>
      </c>
      <c r="B333" t="s">
        <v>353</v>
      </c>
      <c r="C333" t="s">
        <v>17</v>
      </c>
      <c r="D333" t="s">
        <v>23</v>
      </c>
      <c r="E333">
        <v>63</v>
      </c>
      <c r="F333">
        <v>79</v>
      </c>
      <c r="G333">
        <v>76</v>
      </c>
      <c r="H333">
        <v>74</v>
      </c>
      <c r="I333">
        <v>76</v>
      </c>
      <c r="J333">
        <f t="shared" si="20"/>
        <v>368</v>
      </c>
      <c r="K333" s="4">
        <f t="shared" si="21"/>
        <v>73.6</v>
      </c>
      <c r="L333">
        <f t="shared" si="22"/>
        <v>352</v>
      </c>
      <c r="M333" t="str">
        <f t="shared" si="23"/>
        <v>及格</v>
      </c>
    </row>
    <row r="334" hidden="1" spans="1:13">
      <c r="A334">
        <v>10333</v>
      </c>
      <c r="B334" t="s">
        <v>354</v>
      </c>
      <c r="C334" t="s">
        <v>14</v>
      </c>
      <c r="D334" t="s">
        <v>15</v>
      </c>
      <c r="E334">
        <v>71.5</v>
      </c>
      <c r="F334">
        <v>64.5</v>
      </c>
      <c r="G334">
        <v>61</v>
      </c>
      <c r="H334">
        <v>75</v>
      </c>
      <c r="I334">
        <v>68.5</v>
      </c>
      <c r="J334">
        <f t="shared" si="20"/>
        <v>340.5</v>
      </c>
      <c r="K334" s="4">
        <f t="shared" si="21"/>
        <v>68.1</v>
      </c>
      <c r="L334">
        <f t="shared" si="22"/>
        <v>440</v>
      </c>
      <c r="M334" t="str">
        <f t="shared" si="23"/>
        <v>及格</v>
      </c>
    </row>
    <row r="335" hidden="1" spans="1:13">
      <c r="A335">
        <v>10334</v>
      </c>
      <c r="B335" t="s">
        <v>355</v>
      </c>
      <c r="C335" t="s">
        <v>14</v>
      </c>
      <c r="D335" t="s">
        <v>15</v>
      </c>
      <c r="E335">
        <v>84</v>
      </c>
      <c r="F335">
        <v>67</v>
      </c>
      <c r="G335">
        <v>73.5</v>
      </c>
      <c r="H335">
        <v>71.5</v>
      </c>
      <c r="I335">
        <v>75.5</v>
      </c>
      <c r="J335">
        <f t="shared" si="20"/>
        <v>371.5</v>
      </c>
      <c r="K335" s="4">
        <f t="shared" si="21"/>
        <v>74.3</v>
      </c>
      <c r="L335">
        <f t="shared" si="22"/>
        <v>323</v>
      </c>
      <c r="M335" t="str">
        <f t="shared" si="23"/>
        <v>及格</v>
      </c>
    </row>
    <row r="336" hidden="1" spans="1:13">
      <c r="A336">
        <v>10335</v>
      </c>
      <c r="B336" t="s">
        <v>356</v>
      </c>
      <c r="C336" t="s">
        <v>14</v>
      </c>
      <c r="D336" t="s">
        <v>20</v>
      </c>
      <c r="E336">
        <v>69.5</v>
      </c>
      <c r="F336">
        <v>87</v>
      </c>
      <c r="G336">
        <v>79.5</v>
      </c>
      <c r="H336">
        <v>77.5</v>
      </c>
      <c r="I336">
        <v>88</v>
      </c>
      <c r="J336">
        <f t="shared" si="20"/>
        <v>401.5</v>
      </c>
      <c r="K336" s="4">
        <f t="shared" si="21"/>
        <v>80.3</v>
      </c>
      <c r="L336">
        <f t="shared" si="22"/>
        <v>169</v>
      </c>
      <c r="M336" t="str">
        <f t="shared" si="23"/>
        <v>及格</v>
      </c>
    </row>
    <row r="337" hidden="1" spans="1:13">
      <c r="A337">
        <v>10336</v>
      </c>
      <c r="B337" t="s">
        <v>357</v>
      </c>
      <c r="C337" t="s">
        <v>17</v>
      </c>
      <c r="D337" t="s">
        <v>30</v>
      </c>
      <c r="E337">
        <v>69</v>
      </c>
      <c r="F337">
        <v>79</v>
      </c>
      <c r="G337">
        <v>69</v>
      </c>
      <c r="H337">
        <v>67</v>
      </c>
      <c r="I337">
        <v>81</v>
      </c>
      <c r="J337">
        <f t="shared" si="20"/>
        <v>365</v>
      </c>
      <c r="K337" s="4">
        <f t="shared" si="21"/>
        <v>73</v>
      </c>
      <c r="L337">
        <f t="shared" si="22"/>
        <v>364</v>
      </c>
      <c r="M337" t="str">
        <f t="shared" si="23"/>
        <v>及格</v>
      </c>
    </row>
    <row r="338" hidden="1" spans="1:13">
      <c r="A338">
        <v>10337</v>
      </c>
      <c r="B338" t="s">
        <v>358</v>
      </c>
      <c r="C338" t="s">
        <v>17</v>
      </c>
      <c r="D338" t="s">
        <v>15</v>
      </c>
      <c r="E338">
        <v>84.5</v>
      </c>
      <c r="F338">
        <v>60</v>
      </c>
      <c r="G338">
        <v>75.5</v>
      </c>
      <c r="H338">
        <v>73.5</v>
      </c>
      <c r="I338">
        <v>82</v>
      </c>
      <c r="J338">
        <f t="shared" si="20"/>
        <v>375.5</v>
      </c>
      <c r="K338" s="4">
        <f t="shared" si="21"/>
        <v>75.1</v>
      </c>
      <c r="L338">
        <f t="shared" si="22"/>
        <v>306</v>
      </c>
      <c r="M338" t="str">
        <f t="shared" si="23"/>
        <v>及格</v>
      </c>
    </row>
    <row r="339" hidden="1" spans="1:13">
      <c r="A339">
        <v>10338</v>
      </c>
      <c r="B339" t="s">
        <v>359</v>
      </c>
      <c r="C339" t="s">
        <v>17</v>
      </c>
      <c r="D339" t="s">
        <v>20</v>
      </c>
      <c r="E339">
        <v>85.5</v>
      </c>
      <c r="F339">
        <v>79</v>
      </c>
      <c r="G339">
        <v>83</v>
      </c>
      <c r="H339">
        <v>81</v>
      </c>
      <c r="I339">
        <v>75</v>
      </c>
      <c r="J339">
        <f t="shared" si="20"/>
        <v>403.5</v>
      </c>
      <c r="K339" s="4">
        <f t="shared" si="21"/>
        <v>80.7</v>
      </c>
      <c r="L339">
        <f t="shared" si="22"/>
        <v>157</v>
      </c>
      <c r="M339" t="str">
        <f t="shared" si="23"/>
        <v>及格</v>
      </c>
    </row>
    <row r="340" hidden="1" spans="1:13">
      <c r="A340">
        <v>10339</v>
      </c>
      <c r="B340" t="s">
        <v>360</v>
      </c>
      <c r="C340" t="s">
        <v>14</v>
      </c>
      <c r="D340" t="s">
        <v>37</v>
      </c>
      <c r="E340">
        <v>61.5</v>
      </c>
      <c r="F340">
        <v>95.5</v>
      </c>
      <c r="G340">
        <v>65.5</v>
      </c>
      <c r="H340">
        <v>63.5</v>
      </c>
      <c r="I340">
        <v>89.5</v>
      </c>
      <c r="J340">
        <f t="shared" si="20"/>
        <v>375.5</v>
      </c>
      <c r="K340" s="4">
        <f t="shared" si="21"/>
        <v>75.1</v>
      </c>
      <c r="L340">
        <f t="shared" si="22"/>
        <v>306</v>
      </c>
      <c r="M340" t="str">
        <f t="shared" si="23"/>
        <v>及格</v>
      </c>
    </row>
    <row r="341" hidden="1" spans="1:13">
      <c r="A341">
        <v>10340</v>
      </c>
      <c r="B341" t="s">
        <v>361</v>
      </c>
      <c r="C341" t="s">
        <v>17</v>
      </c>
      <c r="D341" t="s">
        <v>30</v>
      </c>
      <c r="E341">
        <v>85</v>
      </c>
      <c r="F341">
        <v>82.5</v>
      </c>
      <c r="G341">
        <v>79.5</v>
      </c>
      <c r="H341">
        <v>77.5</v>
      </c>
      <c r="I341">
        <v>84</v>
      </c>
      <c r="J341">
        <f t="shared" si="20"/>
        <v>408.5</v>
      </c>
      <c r="K341" s="4">
        <f t="shared" si="21"/>
        <v>81.7</v>
      </c>
      <c r="L341">
        <f t="shared" si="22"/>
        <v>112</v>
      </c>
      <c r="M341" t="str">
        <f t="shared" si="23"/>
        <v>及格</v>
      </c>
    </row>
    <row r="342" hidden="1" spans="1:13">
      <c r="A342">
        <v>10341</v>
      </c>
      <c r="B342" t="s">
        <v>362</v>
      </c>
      <c r="C342" t="s">
        <v>17</v>
      </c>
      <c r="D342" t="s">
        <v>37</v>
      </c>
      <c r="E342">
        <v>69</v>
      </c>
      <c r="F342">
        <v>61</v>
      </c>
      <c r="G342">
        <v>58.5</v>
      </c>
      <c r="H342">
        <v>56.5</v>
      </c>
      <c r="I342">
        <v>75.5</v>
      </c>
      <c r="J342">
        <f t="shared" si="20"/>
        <v>320.5</v>
      </c>
      <c r="K342" s="4">
        <f t="shared" si="21"/>
        <v>64.1</v>
      </c>
      <c r="L342">
        <f t="shared" si="22"/>
        <v>491</v>
      </c>
      <c r="M342" t="str">
        <f t="shared" si="23"/>
        <v>及格</v>
      </c>
    </row>
    <row r="343" hidden="1" spans="1:13">
      <c r="A343">
        <v>10342</v>
      </c>
      <c r="B343" t="s">
        <v>363</v>
      </c>
      <c r="C343" t="s">
        <v>14</v>
      </c>
      <c r="D343" t="s">
        <v>23</v>
      </c>
      <c r="E343">
        <v>53</v>
      </c>
      <c r="F343">
        <v>90</v>
      </c>
      <c r="G343">
        <v>92.5</v>
      </c>
      <c r="H343">
        <v>90.5</v>
      </c>
      <c r="I343">
        <v>80</v>
      </c>
      <c r="J343">
        <f t="shared" si="20"/>
        <v>406</v>
      </c>
      <c r="K343" s="4">
        <f t="shared" si="21"/>
        <v>81.2</v>
      </c>
      <c r="L343">
        <f t="shared" si="22"/>
        <v>138</v>
      </c>
      <c r="M343" t="str">
        <f t="shared" si="23"/>
        <v>及格</v>
      </c>
    </row>
    <row r="344" hidden="1" spans="1:13">
      <c r="A344">
        <v>10343</v>
      </c>
      <c r="B344" t="s">
        <v>364</v>
      </c>
      <c r="C344" t="s">
        <v>14</v>
      </c>
      <c r="D344" t="s">
        <v>23</v>
      </c>
      <c r="E344">
        <v>74.5</v>
      </c>
      <c r="F344">
        <v>83.5</v>
      </c>
      <c r="G344">
        <v>73</v>
      </c>
      <c r="H344">
        <v>71</v>
      </c>
      <c r="I344">
        <v>80</v>
      </c>
      <c r="J344">
        <f t="shared" si="20"/>
        <v>382</v>
      </c>
      <c r="K344" s="4">
        <f t="shared" si="21"/>
        <v>76.4</v>
      </c>
      <c r="L344">
        <f t="shared" si="22"/>
        <v>263</v>
      </c>
      <c r="M344" t="str">
        <f t="shared" si="23"/>
        <v>及格</v>
      </c>
    </row>
    <row r="345" hidden="1" spans="1:13">
      <c r="A345">
        <v>10344</v>
      </c>
      <c r="B345" t="s">
        <v>365</v>
      </c>
      <c r="C345" t="s">
        <v>17</v>
      </c>
      <c r="D345" t="s">
        <v>30</v>
      </c>
      <c r="E345">
        <v>83</v>
      </c>
      <c r="F345">
        <v>70.5</v>
      </c>
      <c r="G345">
        <v>76.5</v>
      </c>
      <c r="H345">
        <v>86</v>
      </c>
      <c r="I345">
        <v>91</v>
      </c>
      <c r="J345">
        <f t="shared" si="20"/>
        <v>407</v>
      </c>
      <c r="K345" s="4">
        <f t="shared" si="21"/>
        <v>81.4</v>
      </c>
      <c r="L345">
        <f t="shared" si="22"/>
        <v>129</v>
      </c>
      <c r="M345" t="str">
        <f t="shared" si="23"/>
        <v>及格</v>
      </c>
    </row>
    <row r="346" hidden="1" spans="1:13">
      <c r="A346">
        <v>10345</v>
      </c>
      <c r="B346" t="s">
        <v>366</v>
      </c>
      <c r="C346" t="s">
        <v>14</v>
      </c>
      <c r="D346" t="s">
        <v>37</v>
      </c>
      <c r="E346">
        <v>55.5</v>
      </c>
      <c r="F346">
        <v>59.5</v>
      </c>
      <c r="G346">
        <v>71.5</v>
      </c>
      <c r="H346">
        <v>69.5</v>
      </c>
      <c r="I346">
        <v>69.5</v>
      </c>
      <c r="J346">
        <f t="shared" si="20"/>
        <v>325.5</v>
      </c>
      <c r="K346" s="4">
        <f t="shared" si="21"/>
        <v>65.1</v>
      </c>
      <c r="L346">
        <f t="shared" si="22"/>
        <v>486</v>
      </c>
      <c r="M346" t="str">
        <f t="shared" si="23"/>
        <v>及格</v>
      </c>
    </row>
    <row r="347" hidden="1" spans="1:13">
      <c r="A347">
        <v>10346</v>
      </c>
      <c r="B347" t="s">
        <v>367</v>
      </c>
      <c r="C347" t="s">
        <v>17</v>
      </c>
      <c r="D347" t="s">
        <v>18</v>
      </c>
      <c r="E347">
        <v>69</v>
      </c>
      <c r="F347">
        <v>72.5</v>
      </c>
      <c r="G347">
        <v>83.5</v>
      </c>
      <c r="H347">
        <v>81.5</v>
      </c>
      <c r="I347">
        <v>73.5</v>
      </c>
      <c r="J347">
        <f t="shared" si="20"/>
        <v>380</v>
      </c>
      <c r="K347" s="4">
        <f t="shared" si="21"/>
        <v>76</v>
      </c>
      <c r="L347">
        <f t="shared" si="22"/>
        <v>273</v>
      </c>
      <c r="M347" t="str">
        <f t="shared" si="23"/>
        <v>及格</v>
      </c>
    </row>
    <row r="348" hidden="1" spans="1:13">
      <c r="A348">
        <v>10347</v>
      </c>
      <c r="B348" t="s">
        <v>368</v>
      </c>
      <c r="C348" t="s">
        <v>14</v>
      </c>
      <c r="D348" t="s">
        <v>20</v>
      </c>
      <c r="E348">
        <v>75</v>
      </c>
      <c r="F348">
        <v>67.5</v>
      </c>
      <c r="G348">
        <v>71.5</v>
      </c>
      <c r="H348">
        <v>69.5</v>
      </c>
      <c r="I348">
        <v>59.5</v>
      </c>
      <c r="J348">
        <f t="shared" si="20"/>
        <v>343</v>
      </c>
      <c r="K348" s="4">
        <f t="shared" si="21"/>
        <v>68.6</v>
      </c>
      <c r="L348">
        <f t="shared" si="22"/>
        <v>419</v>
      </c>
      <c r="M348" t="str">
        <f t="shared" si="23"/>
        <v>及格</v>
      </c>
    </row>
    <row r="349" hidden="1" spans="1:13">
      <c r="A349">
        <v>10348</v>
      </c>
      <c r="B349" t="s">
        <v>369</v>
      </c>
      <c r="C349" t="s">
        <v>14</v>
      </c>
      <c r="D349" t="s">
        <v>15</v>
      </c>
      <c r="E349">
        <v>96</v>
      </c>
      <c r="F349">
        <v>74</v>
      </c>
      <c r="G349">
        <v>95</v>
      </c>
      <c r="H349">
        <v>93</v>
      </c>
      <c r="I349">
        <v>65.5</v>
      </c>
      <c r="J349">
        <f t="shared" si="20"/>
        <v>423.5</v>
      </c>
      <c r="K349" s="4">
        <f t="shared" si="21"/>
        <v>84.7</v>
      </c>
      <c r="L349">
        <f t="shared" si="22"/>
        <v>41</v>
      </c>
      <c r="M349" t="str">
        <f t="shared" si="23"/>
        <v>及格</v>
      </c>
    </row>
    <row r="350" hidden="1" spans="1:13">
      <c r="A350">
        <v>10349</v>
      </c>
      <c r="B350" t="s">
        <v>370</v>
      </c>
      <c r="C350" t="s">
        <v>14</v>
      </c>
      <c r="D350" t="s">
        <v>18</v>
      </c>
      <c r="E350">
        <v>66</v>
      </c>
      <c r="F350">
        <v>90.5</v>
      </c>
      <c r="G350">
        <v>77</v>
      </c>
      <c r="H350">
        <v>75</v>
      </c>
      <c r="I350">
        <v>74</v>
      </c>
      <c r="J350">
        <f t="shared" si="20"/>
        <v>382.5</v>
      </c>
      <c r="K350" s="4">
        <f t="shared" si="21"/>
        <v>76.5</v>
      </c>
      <c r="L350">
        <f t="shared" si="22"/>
        <v>258</v>
      </c>
      <c r="M350" t="str">
        <f t="shared" si="23"/>
        <v>及格</v>
      </c>
    </row>
    <row r="351" hidden="1" spans="1:13">
      <c r="A351">
        <v>10350</v>
      </c>
      <c r="B351" t="s">
        <v>371</v>
      </c>
      <c r="C351" t="s">
        <v>14</v>
      </c>
      <c r="D351" t="s">
        <v>23</v>
      </c>
      <c r="E351">
        <v>59</v>
      </c>
      <c r="F351">
        <v>88</v>
      </c>
      <c r="G351">
        <v>70.5</v>
      </c>
      <c r="H351">
        <v>68.5</v>
      </c>
      <c r="I351">
        <v>96</v>
      </c>
      <c r="J351">
        <f t="shared" si="20"/>
        <v>382</v>
      </c>
      <c r="K351" s="4">
        <f t="shared" si="21"/>
        <v>76.4</v>
      </c>
      <c r="L351">
        <f t="shared" si="22"/>
        <v>263</v>
      </c>
      <c r="M351" t="str">
        <f t="shared" si="23"/>
        <v>及格</v>
      </c>
    </row>
    <row r="352" hidden="1" spans="1:13">
      <c r="A352">
        <v>10351</v>
      </c>
      <c r="B352" t="s">
        <v>372</v>
      </c>
      <c r="C352" t="s">
        <v>14</v>
      </c>
      <c r="D352" t="s">
        <v>15</v>
      </c>
      <c r="E352">
        <v>92</v>
      </c>
      <c r="F352">
        <v>85</v>
      </c>
      <c r="G352">
        <v>94</v>
      </c>
      <c r="H352">
        <v>92</v>
      </c>
      <c r="I352">
        <v>92</v>
      </c>
      <c r="J352">
        <f t="shared" si="20"/>
        <v>455</v>
      </c>
      <c r="K352" s="4">
        <f t="shared" si="21"/>
        <v>91</v>
      </c>
      <c r="L352">
        <f t="shared" si="22"/>
        <v>11</v>
      </c>
      <c r="M352" t="str">
        <f t="shared" si="23"/>
        <v>优秀</v>
      </c>
    </row>
    <row r="353" hidden="1" spans="1:13">
      <c r="A353">
        <v>10352</v>
      </c>
      <c r="B353" t="s">
        <v>373</v>
      </c>
      <c r="C353" t="s">
        <v>17</v>
      </c>
      <c r="D353" t="s">
        <v>23</v>
      </c>
      <c r="E353">
        <v>90</v>
      </c>
      <c r="F353">
        <v>76.5</v>
      </c>
      <c r="G353">
        <v>71.5</v>
      </c>
      <c r="H353">
        <v>69.5</v>
      </c>
      <c r="I353">
        <v>84</v>
      </c>
      <c r="J353">
        <f t="shared" si="20"/>
        <v>391.5</v>
      </c>
      <c r="K353" s="4">
        <f t="shared" si="21"/>
        <v>78.3</v>
      </c>
      <c r="L353">
        <f t="shared" si="22"/>
        <v>199</v>
      </c>
      <c r="M353" t="str">
        <f t="shared" si="23"/>
        <v>及格</v>
      </c>
    </row>
    <row r="354" hidden="1" spans="1:13">
      <c r="A354">
        <v>10353</v>
      </c>
      <c r="B354" t="s">
        <v>374</v>
      </c>
      <c r="C354" t="s">
        <v>17</v>
      </c>
      <c r="D354" t="s">
        <v>37</v>
      </c>
      <c r="E354">
        <v>57</v>
      </c>
      <c r="F354">
        <v>66.5</v>
      </c>
      <c r="G354">
        <v>79.5</v>
      </c>
      <c r="H354">
        <v>68</v>
      </c>
      <c r="I354">
        <v>65</v>
      </c>
      <c r="J354">
        <f t="shared" si="20"/>
        <v>336</v>
      </c>
      <c r="K354" s="4">
        <f t="shared" si="21"/>
        <v>67.2</v>
      </c>
      <c r="L354">
        <f t="shared" si="22"/>
        <v>467</v>
      </c>
      <c r="M354" t="str">
        <f t="shared" si="23"/>
        <v>及格</v>
      </c>
    </row>
    <row r="355" hidden="1" spans="1:13">
      <c r="A355">
        <v>10354</v>
      </c>
      <c r="B355" t="s">
        <v>375</v>
      </c>
      <c r="C355" t="s">
        <v>17</v>
      </c>
      <c r="D355" t="s">
        <v>37</v>
      </c>
      <c r="E355">
        <v>72</v>
      </c>
      <c r="F355">
        <v>82</v>
      </c>
      <c r="G355">
        <v>66</v>
      </c>
      <c r="H355">
        <v>64</v>
      </c>
      <c r="I355">
        <v>73.5</v>
      </c>
      <c r="J355">
        <f t="shared" si="20"/>
        <v>357.5</v>
      </c>
      <c r="K355" s="4">
        <f t="shared" si="21"/>
        <v>71.5</v>
      </c>
      <c r="L355">
        <f t="shared" si="22"/>
        <v>393</v>
      </c>
      <c r="M355" t="str">
        <f t="shared" si="23"/>
        <v>及格</v>
      </c>
    </row>
    <row r="356" hidden="1" spans="1:13">
      <c r="A356">
        <v>10355</v>
      </c>
      <c r="B356" t="s">
        <v>376</v>
      </c>
      <c r="C356" t="s">
        <v>17</v>
      </c>
      <c r="D356" t="s">
        <v>23</v>
      </c>
      <c r="E356">
        <v>76</v>
      </c>
      <c r="F356">
        <v>80</v>
      </c>
      <c r="G356">
        <v>85.5</v>
      </c>
      <c r="H356">
        <v>83.5</v>
      </c>
      <c r="I356">
        <v>83</v>
      </c>
      <c r="J356">
        <f t="shared" si="20"/>
        <v>408</v>
      </c>
      <c r="K356" s="4">
        <f t="shared" si="21"/>
        <v>81.6</v>
      </c>
      <c r="L356">
        <f t="shared" si="22"/>
        <v>119</v>
      </c>
      <c r="M356" t="str">
        <f t="shared" si="23"/>
        <v>及格</v>
      </c>
    </row>
    <row r="357" hidden="1" spans="1:13">
      <c r="A357">
        <v>10356</v>
      </c>
      <c r="B357" t="s">
        <v>377</v>
      </c>
      <c r="C357" t="s">
        <v>17</v>
      </c>
      <c r="D357" t="s">
        <v>20</v>
      </c>
      <c r="E357">
        <v>66</v>
      </c>
      <c r="F357">
        <v>68.5</v>
      </c>
      <c r="G357">
        <v>83</v>
      </c>
      <c r="H357">
        <v>81</v>
      </c>
      <c r="I357">
        <v>93</v>
      </c>
      <c r="J357">
        <f t="shared" si="20"/>
        <v>391.5</v>
      </c>
      <c r="K357" s="4">
        <f t="shared" si="21"/>
        <v>78.3</v>
      </c>
      <c r="L357">
        <f t="shared" si="22"/>
        <v>199</v>
      </c>
      <c r="M357" t="str">
        <f t="shared" si="23"/>
        <v>及格</v>
      </c>
    </row>
    <row r="358" spans="1:13">
      <c r="A358">
        <v>10357</v>
      </c>
      <c r="B358" t="s">
        <v>378</v>
      </c>
      <c r="C358" t="s">
        <v>17</v>
      </c>
      <c r="D358" t="s">
        <v>15</v>
      </c>
      <c r="E358">
        <v>90</v>
      </c>
      <c r="F358">
        <v>73</v>
      </c>
      <c r="G358">
        <v>84</v>
      </c>
      <c r="H358">
        <v>82</v>
      </c>
      <c r="I358">
        <v>80</v>
      </c>
      <c r="J358">
        <f t="shared" si="20"/>
        <v>409</v>
      </c>
      <c r="K358" s="4">
        <f t="shared" si="21"/>
        <v>81.8</v>
      </c>
      <c r="L358">
        <f t="shared" si="22"/>
        <v>105</v>
      </c>
      <c r="M358" t="str">
        <f t="shared" si="23"/>
        <v>及格</v>
      </c>
    </row>
    <row r="359" hidden="1" spans="1:13">
      <c r="A359">
        <v>10358</v>
      </c>
      <c r="B359" t="s">
        <v>379</v>
      </c>
      <c r="C359" t="s">
        <v>14</v>
      </c>
      <c r="D359" t="s">
        <v>18</v>
      </c>
      <c r="E359">
        <v>76</v>
      </c>
      <c r="F359">
        <v>84</v>
      </c>
      <c r="G359">
        <v>85</v>
      </c>
      <c r="H359">
        <v>83</v>
      </c>
      <c r="I359">
        <v>79.5</v>
      </c>
      <c r="J359">
        <f t="shared" si="20"/>
        <v>407.5</v>
      </c>
      <c r="K359" s="4">
        <f t="shared" si="21"/>
        <v>81.5</v>
      </c>
      <c r="L359">
        <f t="shared" si="22"/>
        <v>127</v>
      </c>
      <c r="M359" t="str">
        <f t="shared" si="23"/>
        <v>及格</v>
      </c>
    </row>
    <row r="360" hidden="1" spans="1:13">
      <c r="A360">
        <v>10359</v>
      </c>
      <c r="B360" t="s">
        <v>380</v>
      </c>
      <c r="C360" t="s">
        <v>14</v>
      </c>
      <c r="D360" t="s">
        <v>20</v>
      </c>
      <c r="E360">
        <v>85</v>
      </c>
      <c r="F360">
        <v>52</v>
      </c>
      <c r="G360">
        <v>97</v>
      </c>
      <c r="H360">
        <v>95</v>
      </c>
      <c r="I360">
        <v>89.5</v>
      </c>
      <c r="J360">
        <f t="shared" si="20"/>
        <v>418.5</v>
      </c>
      <c r="K360" s="4">
        <f t="shared" si="21"/>
        <v>83.7</v>
      </c>
      <c r="L360">
        <f t="shared" si="22"/>
        <v>54</v>
      </c>
      <c r="M360" t="str">
        <f t="shared" si="23"/>
        <v>及格</v>
      </c>
    </row>
    <row r="361" hidden="1" spans="1:13">
      <c r="A361">
        <v>10360</v>
      </c>
      <c r="B361" t="s">
        <v>381</v>
      </c>
      <c r="C361" t="s">
        <v>17</v>
      </c>
      <c r="D361" t="s">
        <v>23</v>
      </c>
      <c r="E361">
        <v>83</v>
      </c>
      <c r="F361">
        <v>71</v>
      </c>
      <c r="G361">
        <v>90</v>
      </c>
      <c r="H361">
        <v>93.5</v>
      </c>
      <c r="I361">
        <v>95</v>
      </c>
      <c r="J361">
        <f t="shared" si="20"/>
        <v>432.5</v>
      </c>
      <c r="K361" s="4">
        <f t="shared" si="21"/>
        <v>86.5</v>
      </c>
      <c r="L361">
        <f t="shared" si="22"/>
        <v>28</v>
      </c>
      <c r="M361" t="str">
        <f t="shared" si="23"/>
        <v>优秀</v>
      </c>
    </row>
    <row r="362" hidden="1" spans="1:13">
      <c r="A362">
        <v>10361</v>
      </c>
      <c r="B362" t="s">
        <v>382</v>
      </c>
      <c r="C362" t="s">
        <v>17</v>
      </c>
      <c r="D362" t="s">
        <v>30</v>
      </c>
      <c r="E362">
        <v>78</v>
      </c>
      <c r="F362">
        <v>79.5</v>
      </c>
      <c r="G362">
        <v>90</v>
      </c>
      <c r="H362">
        <v>77.5</v>
      </c>
      <c r="I362">
        <v>78</v>
      </c>
      <c r="J362">
        <f t="shared" si="20"/>
        <v>403</v>
      </c>
      <c r="K362" s="4">
        <f t="shared" si="21"/>
        <v>80.6</v>
      </c>
      <c r="L362">
        <f t="shared" si="22"/>
        <v>161</v>
      </c>
      <c r="M362" t="str">
        <f t="shared" si="23"/>
        <v>及格</v>
      </c>
    </row>
    <row r="363" hidden="1" spans="1:13">
      <c r="A363">
        <v>10362</v>
      </c>
      <c r="B363" t="s">
        <v>383</v>
      </c>
      <c r="C363" t="s">
        <v>17</v>
      </c>
      <c r="D363" t="s">
        <v>15</v>
      </c>
      <c r="E363">
        <v>60.5</v>
      </c>
      <c r="F363">
        <v>86</v>
      </c>
      <c r="G363">
        <v>79</v>
      </c>
      <c r="H363">
        <v>77</v>
      </c>
      <c r="I363">
        <v>78.5</v>
      </c>
      <c r="J363">
        <f t="shared" si="20"/>
        <v>381</v>
      </c>
      <c r="K363" s="4">
        <f t="shared" si="21"/>
        <v>76.2</v>
      </c>
      <c r="L363">
        <f t="shared" si="22"/>
        <v>269</v>
      </c>
      <c r="M363" t="str">
        <f t="shared" si="23"/>
        <v>及格</v>
      </c>
    </row>
    <row r="364" hidden="1" spans="1:13">
      <c r="A364">
        <v>10363</v>
      </c>
      <c r="B364" t="s">
        <v>384</v>
      </c>
      <c r="C364" t="s">
        <v>17</v>
      </c>
      <c r="D364" t="s">
        <v>15</v>
      </c>
      <c r="E364">
        <v>93</v>
      </c>
      <c r="F364">
        <v>66.5</v>
      </c>
      <c r="G364">
        <v>67</v>
      </c>
      <c r="H364">
        <v>65</v>
      </c>
      <c r="I364">
        <v>79.5</v>
      </c>
      <c r="J364">
        <f t="shared" si="20"/>
        <v>371</v>
      </c>
      <c r="K364" s="4">
        <f t="shared" si="21"/>
        <v>74.2</v>
      </c>
      <c r="L364">
        <f t="shared" si="22"/>
        <v>330</v>
      </c>
      <c r="M364" t="str">
        <f t="shared" si="23"/>
        <v>及格</v>
      </c>
    </row>
    <row r="365" hidden="1" spans="1:13">
      <c r="A365">
        <v>10364</v>
      </c>
      <c r="B365" t="s">
        <v>385</v>
      </c>
      <c r="C365" t="s">
        <v>14</v>
      </c>
      <c r="D365" t="s">
        <v>37</v>
      </c>
      <c r="E365">
        <v>79</v>
      </c>
      <c r="F365">
        <v>68.5</v>
      </c>
      <c r="G365">
        <v>77</v>
      </c>
      <c r="H365">
        <v>75</v>
      </c>
      <c r="I365">
        <v>80</v>
      </c>
      <c r="J365">
        <f t="shared" si="20"/>
        <v>379.5</v>
      </c>
      <c r="K365" s="4">
        <f t="shared" si="21"/>
        <v>75.9</v>
      </c>
      <c r="L365">
        <f t="shared" si="22"/>
        <v>276</v>
      </c>
      <c r="M365" t="str">
        <f t="shared" si="23"/>
        <v>及格</v>
      </c>
    </row>
    <row r="366" hidden="1" spans="1:13">
      <c r="A366">
        <v>10365</v>
      </c>
      <c r="B366" t="s">
        <v>386</v>
      </c>
      <c r="C366" t="s">
        <v>14</v>
      </c>
      <c r="D366" t="s">
        <v>20</v>
      </c>
      <c r="E366">
        <v>78</v>
      </c>
      <c r="F366">
        <v>66</v>
      </c>
      <c r="G366">
        <v>91.5</v>
      </c>
      <c r="H366">
        <v>89.5</v>
      </c>
      <c r="I366">
        <v>90</v>
      </c>
      <c r="J366">
        <f t="shared" si="20"/>
        <v>415</v>
      </c>
      <c r="K366" s="4">
        <f t="shared" si="21"/>
        <v>83</v>
      </c>
      <c r="L366">
        <f t="shared" si="22"/>
        <v>68</v>
      </c>
      <c r="M366" t="str">
        <f t="shared" si="23"/>
        <v>及格</v>
      </c>
    </row>
    <row r="367" hidden="1" spans="1:13">
      <c r="A367">
        <v>10366</v>
      </c>
      <c r="B367" t="s">
        <v>387</v>
      </c>
      <c r="C367" t="s">
        <v>17</v>
      </c>
      <c r="D367" t="s">
        <v>18</v>
      </c>
      <c r="E367">
        <v>64.5</v>
      </c>
      <c r="F367">
        <v>62</v>
      </c>
      <c r="G367">
        <v>74.5</v>
      </c>
      <c r="H367">
        <v>72.5</v>
      </c>
      <c r="I367">
        <v>61.5</v>
      </c>
      <c r="J367">
        <f t="shared" si="20"/>
        <v>335</v>
      </c>
      <c r="K367" s="4">
        <f t="shared" si="21"/>
        <v>67</v>
      </c>
      <c r="L367">
        <f t="shared" si="22"/>
        <v>471</v>
      </c>
      <c r="M367" t="str">
        <f t="shared" si="23"/>
        <v>及格</v>
      </c>
    </row>
    <row r="368" hidden="1" spans="1:13">
      <c r="A368">
        <v>10367</v>
      </c>
      <c r="B368" t="s">
        <v>388</v>
      </c>
      <c r="C368" t="s">
        <v>17</v>
      </c>
      <c r="D368" t="s">
        <v>23</v>
      </c>
      <c r="E368">
        <v>72</v>
      </c>
      <c r="F368">
        <v>86.5</v>
      </c>
      <c r="G368">
        <v>85.5</v>
      </c>
      <c r="H368">
        <v>83.5</v>
      </c>
      <c r="I368">
        <v>80</v>
      </c>
      <c r="J368">
        <f t="shared" si="20"/>
        <v>407.5</v>
      </c>
      <c r="K368" s="4">
        <f t="shared" si="21"/>
        <v>81.5</v>
      </c>
      <c r="L368">
        <f t="shared" si="22"/>
        <v>127</v>
      </c>
      <c r="M368" t="str">
        <f t="shared" si="23"/>
        <v>及格</v>
      </c>
    </row>
    <row r="369" hidden="1" spans="1:13">
      <c r="A369">
        <v>10368</v>
      </c>
      <c r="B369" t="s">
        <v>389</v>
      </c>
      <c r="C369" t="s">
        <v>17</v>
      </c>
      <c r="D369" t="s">
        <v>23</v>
      </c>
      <c r="E369">
        <v>83</v>
      </c>
      <c r="F369">
        <v>86.5</v>
      </c>
      <c r="G369">
        <v>90.5</v>
      </c>
      <c r="H369">
        <v>88.5</v>
      </c>
      <c r="I369">
        <v>67</v>
      </c>
      <c r="J369">
        <f t="shared" si="20"/>
        <v>415.5</v>
      </c>
      <c r="K369" s="4">
        <f t="shared" si="21"/>
        <v>83.1</v>
      </c>
      <c r="L369">
        <f t="shared" si="22"/>
        <v>66</v>
      </c>
      <c r="M369" t="str">
        <f t="shared" si="23"/>
        <v>及格</v>
      </c>
    </row>
    <row r="370" hidden="1" spans="1:13">
      <c r="A370">
        <v>10369</v>
      </c>
      <c r="B370" t="s">
        <v>390</v>
      </c>
      <c r="C370" t="s">
        <v>14</v>
      </c>
      <c r="D370" t="s">
        <v>23</v>
      </c>
      <c r="E370">
        <v>79</v>
      </c>
      <c r="F370">
        <v>73</v>
      </c>
      <c r="G370">
        <v>93.5</v>
      </c>
      <c r="H370">
        <v>91.5</v>
      </c>
      <c r="I370">
        <v>64</v>
      </c>
      <c r="J370">
        <f t="shared" si="20"/>
        <v>401</v>
      </c>
      <c r="K370" s="4">
        <f t="shared" si="21"/>
        <v>80.2</v>
      </c>
      <c r="L370">
        <f t="shared" si="22"/>
        <v>174</v>
      </c>
      <c r="M370" t="str">
        <f t="shared" si="23"/>
        <v>及格</v>
      </c>
    </row>
    <row r="371" hidden="1" spans="1:13">
      <c r="A371">
        <v>10370</v>
      </c>
      <c r="B371" t="s">
        <v>391</v>
      </c>
      <c r="C371" t="s">
        <v>17</v>
      </c>
      <c r="D371" t="s">
        <v>30</v>
      </c>
      <c r="E371">
        <v>92</v>
      </c>
      <c r="F371">
        <v>77</v>
      </c>
      <c r="G371">
        <v>79</v>
      </c>
      <c r="H371">
        <v>90</v>
      </c>
      <c r="I371">
        <v>66</v>
      </c>
      <c r="J371">
        <f t="shared" si="20"/>
        <v>404</v>
      </c>
      <c r="K371" s="4">
        <f t="shared" si="21"/>
        <v>80.8</v>
      </c>
      <c r="L371">
        <f t="shared" si="22"/>
        <v>155</v>
      </c>
      <c r="M371" t="str">
        <f t="shared" si="23"/>
        <v>及格</v>
      </c>
    </row>
    <row r="372" hidden="1" spans="1:13">
      <c r="A372">
        <v>10371</v>
      </c>
      <c r="B372" t="s">
        <v>392</v>
      </c>
      <c r="C372" t="s">
        <v>14</v>
      </c>
      <c r="D372" t="s">
        <v>20</v>
      </c>
      <c r="E372">
        <v>80</v>
      </c>
      <c r="F372">
        <v>80.5</v>
      </c>
      <c r="G372">
        <v>76.5</v>
      </c>
      <c r="H372">
        <v>74.5</v>
      </c>
      <c r="I372">
        <v>73.5</v>
      </c>
      <c r="J372">
        <f t="shared" si="20"/>
        <v>385</v>
      </c>
      <c r="K372" s="4">
        <f t="shared" si="21"/>
        <v>77</v>
      </c>
      <c r="L372">
        <f t="shared" si="22"/>
        <v>241</v>
      </c>
      <c r="M372" t="str">
        <f t="shared" si="23"/>
        <v>及格</v>
      </c>
    </row>
    <row r="373" hidden="1" spans="1:13">
      <c r="A373">
        <v>10372</v>
      </c>
      <c r="B373" t="s">
        <v>393</v>
      </c>
      <c r="C373" t="s">
        <v>17</v>
      </c>
      <c r="D373" t="s">
        <v>37</v>
      </c>
      <c r="E373">
        <v>71.5</v>
      </c>
      <c r="F373">
        <v>63</v>
      </c>
      <c r="G373">
        <v>67</v>
      </c>
      <c r="H373">
        <v>65</v>
      </c>
      <c r="I373">
        <v>71.5</v>
      </c>
      <c r="J373">
        <f t="shared" si="20"/>
        <v>338</v>
      </c>
      <c r="K373" s="4">
        <f t="shared" si="21"/>
        <v>67.6</v>
      </c>
      <c r="L373">
        <f t="shared" si="22"/>
        <v>462</v>
      </c>
      <c r="M373" t="str">
        <f t="shared" si="23"/>
        <v>及格</v>
      </c>
    </row>
    <row r="374" hidden="1" spans="1:13">
      <c r="A374">
        <v>10373</v>
      </c>
      <c r="B374" t="s">
        <v>394</v>
      </c>
      <c r="C374" t="s">
        <v>17</v>
      </c>
      <c r="D374" t="s">
        <v>37</v>
      </c>
      <c r="E374">
        <v>84.5</v>
      </c>
      <c r="F374">
        <v>74.5</v>
      </c>
      <c r="G374">
        <v>73</v>
      </c>
      <c r="H374">
        <v>71</v>
      </c>
      <c r="I374">
        <v>75.5</v>
      </c>
      <c r="J374">
        <f t="shared" si="20"/>
        <v>378.5</v>
      </c>
      <c r="K374" s="4">
        <f t="shared" si="21"/>
        <v>75.7</v>
      </c>
      <c r="L374">
        <f t="shared" si="22"/>
        <v>287</v>
      </c>
      <c r="M374" t="str">
        <f t="shared" si="23"/>
        <v>及格</v>
      </c>
    </row>
    <row r="375" hidden="1" spans="1:13">
      <c r="A375">
        <v>10374</v>
      </c>
      <c r="B375" t="s">
        <v>395</v>
      </c>
      <c r="C375" t="s">
        <v>14</v>
      </c>
      <c r="D375" t="s">
        <v>15</v>
      </c>
      <c r="E375">
        <v>80.5</v>
      </c>
      <c r="F375">
        <v>87</v>
      </c>
      <c r="G375">
        <v>69.5</v>
      </c>
      <c r="H375">
        <v>67.5</v>
      </c>
      <c r="I375">
        <v>84</v>
      </c>
      <c r="J375">
        <f t="shared" si="20"/>
        <v>388.5</v>
      </c>
      <c r="K375" s="4">
        <f t="shared" si="21"/>
        <v>77.7</v>
      </c>
      <c r="L375">
        <f t="shared" si="22"/>
        <v>216</v>
      </c>
      <c r="M375" t="str">
        <f t="shared" si="23"/>
        <v>及格</v>
      </c>
    </row>
    <row r="376" hidden="1" spans="1:13">
      <c r="A376">
        <v>10375</v>
      </c>
      <c r="B376" t="s">
        <v>396</v>
      </c>
      <c r="C376" t="s">
        <v>14</v>
      </c>
      <c r="D376" t="s">
        <v>37</v>
      </c>
      <c r="E376">
        <v>74</v>
      </c>
      <c r="F376">
        <v>85.5</v>
      </c>
      <c r="G376">
        <v>74</v>
      </c>
      <c r="H376">
        <v>92</v>
      </c>
      <c r="I376">
        <v>85</v>
      </c>
      <c r="J376">
        <f t="shared" si="20"/>
        <v>410.5</v>
      </c>
      <c r="K376" s="4">
        <f t="shared" si="21"/>
        <v>82.1</v>
      </c>
      <c r="L376">
        <f t="shared" si="22"/>
        <v>96</v>
      </c>
      <c r="M376" t="str">
        <f t="shared" si="23"/>
        <v>及格</v>
      </c>
    </row>
    <row r="377" hidden="1" spans="1:13">
      <c r="A377">
        <v>10376</v>
      </c>
      <c r="B377" t="s">
        <v>397</v>
      </c>
      <c r="C377" t="s">
        <v>17</v>
      </c>
      <c r="D377" t="s">
        <v>23</v>
      </c>
      <c r="E377">
        <v>95</v>
      </c>
      <c r="F377">
        <v>90.5</v>
      </c>
      <c r="G377">
        <v>91</v>
      </c>
      <c r="H377">
        <v>93</v>
      </c>
      <c r="I377">
        <v>89</v>
      </c>
      <c r="J377">
        <f t="shared" si="20"/>
        <v>458.5</v>
      </c>
      <c r="K377" s="4">
        <f t="shared" si="21"/>
        <v>91.7</v>
      </c>
      <c r="L377">
        <f t="shared" si="22"/>
        <v>4</v>
      </c>
      <c r="M377" t="str">
        <f t="shared" si="23"/>
        <v>优秀</v>
      </c>
    </row>
    <row r="378" hidden="1" spans="1:13">
      <c r="A378">
        <v>10377</v>
      </c>
      <c r="B378" t="s">
        <v>398</v>
      </c>
      <c r="C378" t="s">
        <v>14</v>
      </c>
      <c r="D378" t="s">
        <v>30</v>
      </c>
      <c r="E378">
        <v>64</v>
      </c>
      <c r="F378">
        <v>61.5</v>
      </c>
      <c r="G378">
        <v>72.5</v>
      </c>
      <c r="H378">
        <v>65</v>
      </c>
      <c r="I378">
        <v>77</v>
      </c>
      <c r="J378">
        <f t="shared" si="20"/>
        <v>340</v>
      </c>
      <c r="K378" s="4">
        <f t="shared" si="21"/>
        <v>68</v>
      </c>
      <c r="L378">
        <f t="shared" si="22"/>
        <v>448</v>
      </c>
      <c r="M378" t="str">
        <f t="shared" si="23"/>
        <v>及格</v>
      </c>
    </row>
    <row r="379" hidden="1" spans="1:13">
      <c r="A379">
        <v>10378</v>
      </c>
      <c r="B379" t="s">
        <v>399</v>
      </c>
      <c r="C379" t="s">
        <v>17</v>
      </c>
      <c r="D379" t="s">
        <v>15</v>
      </c>
      <c r="E379">
        <v>81</v>
      </c>
      <c r="F379">
        <v>85</v>
      </c>
      <c r="G379">
        <v>96</v>
      </c>
      <c r="H379">
        <v>94</v>
      </c>
      <c r="I379">
        <v>97</v>
      </c>
      <c r="J379">
        <f t="shared" si="20"/>
        <v>453</v>
      </c>
      <c r="K379" s="4">
        <f t="shared" si="21"/>
        <v>90.6</v>
      </c>
      <c r="L379">
        <f t="shared" si="22"/>
        <v>15</v>
      </c>
      <c r="M379" t="str">
        <f t="shared" si="23"/>
        <v>优秀</v>
      </c>
    </row>
    <row r="380" hidden="1" spans="1:13">
      <c r="A380">
        <v>10379</v>
      </c>
      <c r="B380" t="s">
        <v>400</v>
      </c>
      <c r="C380" t="s">
        <v>17</v>
      </c>
      <c r="D380" t="s">
        <v>20</v>
      </c>
      <c r="E380">
        <v>96</v>
      </c>
      <c r="F380">
        <v>75</v>
      </c>
      <c r="G380">
        <v>77</v>
      </c>
      <c r="H380">
        <v>75</v>
      </c>
      <c r="I380">
        <v>87</v>
      </c>
      <c r="J380">
        <f t="shared" si="20"/>
        <v>410</v>
      </c>
      <c r="K380" s="4">
        <f t="shared" si="21"/>
        <v>82</v>
      </c>
      <c r="L380">
        <f t="shared" si="22"/>
        <v>99</v>
      </c>
      <c r="M380" t="str">
        <f t="shared" si="23"/>
        <v>及格</v>
      </c>
    </row>
    <row r="381" hidden="1" spans="1:13">
      <c r="A381">
        <v>10380</v>
      </c>
      <c r="B381" t="s">
        <v>401</v>
      </c>
      <c r="C381" t="s">
        <v>14</v>
      </c>
      <c r="D381" t="s">
        <v>23</v>
      </c>
      <c r="E381">
        <v>88.5</v>
      </c>
      <c r="F381">
        <v>73</v>
      </c>
      <c r="G381">
        <v>69</v>
      </c>
      <c r="H381">
        <v>67</v>
      </c>
      <c r="I381">
        <v>88.5</v>
      </c>
      <c r="J381">
        <f t="shared" si="20"/>
        <v>386</v>
      </c>
      <c r="K381" s="4">
        <f t="shared" si="21"/>
        <v>77.2</v>
      </c>
      <c r="L381">
        <f t="shared" si="22"/>
        <v>236</v>
      </c>
      <c r="M381" t="str">
        <f t="shared" si="23"/>
        <v>及格</v>
      </c>
    </row>
    <row r="382" hidden="1" spans="1:13">
      <c r="A382">
        <v>10381</v>
      </c>
      <c r="B382" t="s">
        <v>402</v>
      </c>
      <c r="C382" t="s">
        <v>17</v>
      </c>
      <c r="D382" t="s">
        <v>30</v>
      </c>
      <c r="E382">
        <v>66.5</v>
      </c>
      <c r="F382">
        <v>69.5</v>
      </c>
      <c r="G382">
        <v>77.5</v>
      </c>
      <c r="H382">
        <v>61</v>
      </c>
      <c r="I382">
        <v>62</v>
      </c>
      <c r="J382">
        <f t="shared" si="20"/>
        <v>336.5</v>
      </c>
      <c r="K382" s="4">
        <f t="shared" si="21"/>
        <v>67.3</v>
      </c>
      <c r="L382">
        <f t="shared" si="22"/>
        <v>465</v>
      </c>
      <c r="M382" t="str">
        <f t="shared" si="23"/>
        <v>及格</v>
      </c>
    </row>
    <row r="383" hidden="1" spans="1:13">
      <c r="A383">
        <v>10382</v>
      </c>
      <c r="B383" t="s">
        <v>403</v>
      </c>
      <c r="C383" t="s">
        <v>17</v>
      </c>
      <c r="D383" t="s">
        <v>15</v>
      </c>
      <c r="E383">
        <v>67.5</v>
      </c>
      <c r="F383">
        <v>62</v>
      </c>
      <c r="G383">
        <v>69.5</v>
      </c>
      <c r="H383">
        <v>67.5</v>
      </c>
      <c r="I383">
        <v>70</v>
      </c>
      <c r="J383">
        <f t="shared" si="20"/>
        <v>336.5</v>
      </c>
      <c r="K383" s="4">
        <f t="shared" si="21"/>
        <v>67.3</v>
      </c>
      <c r="L383">
        <f t="shared" si="22"/>
        <v>465</v>
      </c>
      <c r="M383" t="str">
        <f t="shared" si="23"/>
        <v>及格</v>
      </c>
    </row>
    <row r="384" hidden="1" spans="1:13">
      <c r="A384">
        <v>10383</v>
      </c>
      <c r="B384" t="s">
        <v>404</v>
      </c>
      <c r="C384" t="s">
        <v>14</v>
      </c>
      <c r="D384" t="s">
        <v>37</v>
      </c>
      <c r="E384">
        <v>75.5</v>
      </c>
      <c r="F384">
        <v>75</v>
      </c>
      <c r="G384">
        <v>86.5</v>
      </c>
      <c r="H384">
        <v>84.5</v>
      </c>
      <c r="I384">
        <v>84.5</v>
      </c>
      <c r="J384">
        <f t="shared" si="20"/>
        <v>406</v>
      </c>
      <c r="K384" s="4">
        <f t="shared" si="21"/>
        <v>81.2</v>
      </c>
      <c r="L384">
        <f t="shared" si="22"/>
        <v>138</v>
      </c>
      <c r="M384" t="str">
        <f t="shared" si="23"/>
        <v>及格</v>
      </c>
    </row>
    <row r="385" hidden="1" spans="1:13">
      <c r="A385">
        <v>10384</v>
      </c>
      <c r="B385" t="s">
        <v>405</v>
      </c>
      <c r="C385" t="s">
        <v>17</v>
      </c>
      <c r="D385" t="s">
        <v>23</v>
      </c>
      <c r="E385">
        <v>79.5</v>
      </c>
      <c r="F385">
        <v>51</v>
      </c>
      <c r="G385">
        <v>98</v>
      </c>
      <c r="H385">
        <v>96</v>
      </c>
      <c r="I385">
        <v>92</v>
      </c>
      <c r="J385">
        <f t="shared" si="20"/>
        <v>416.5</v>
      </c>
      <c r="K385" s="4">
        <f t="shared" si="21"/>
        <v>83.3</v>
      </c>
      <c r="L385">
        <f t="shared" si="22"/>
        <v>60</v>
      </c>
      <c r="M385" t="str">
        <f t="shared" si="23"/>
        <v>及格</v>
      </c>
    </row>
    <row r="386" hidden="1" spans="1:13">
      <c r="A386">
        <v>10385</v>
      </c>
      <c r="B386" t="s">
        <v>406</v>
      </c>
      <c r="C386" t="s">
        <v>14</v>
      </c>
      <c r="D386" t="s">
        <v>18</v>
      </c>
      <c r="E386">
        <v>66</v>
      </c>
      <c r="F386">
        <v>57</v>
      </c>
      <c r="G386">
        <v>85.5</v>
      </c>
      <c r="H386">
        <v>83.5</v>
      </c>
      <c r="I386">
        <v>84</v>
      </c>
      <c r="J386">
        <f t="shared" si="20"/>
        <v>376</v>
      </c>
      <c r="K386" s="4">
        <f t="shared" si="21"/>
        <v>75.2</v>
      </c>
      <c r="L386">
        <f t="shared" si="22"/>
        <v>303</v>
      </c>
      <c r="M386" t="str">
        <f t="shared" si="23"/>
        <v>及格</v>
      </c>
    </row>
    <row r="387" hidden="1" spans="1:13">
      <c r="A387">
        <v>10386</v>
      </c>
      <c r="B387" t="s">
        <v>407</v>
      </c>
      <c r="C387" t="s">
        <v>14</v>
      </c>
      <c r="D387" t="s">
        <v>30</v>
      </c>
      <c r="E387">
        <v>71</v>
      </c>
      <c r="F387">
        <v>70.5</v>
      </c>
      <c r="G387">
        <v>70</v>
      </c>
      <c r="H387">
        <v>68</v>
      </c>
      <c r="I387">
        <v>60</v>
      </c>
      <c r="J387">
        <f t="shared" ref="J387:J450" si="24">SUM(E387:I387)</f>
        <v>339.5</v>
      </c>
      <c r="K387" s="4">
        <f t="shared" ref="K387:K450" si="25">AVERAGE(E387:I387)</f>
        <v>67.9</v>
      </c>
      <c r="L387">
        <f t="shared" ref="L387:L450" si="26">RANK(K387,$K$2:$K$503)</f>
        <v>452</v>
      </c>
      <c r="M387" t="str">
        <f t="shared" ref="M387:M450" si="27">IF(K387&gt;=85,"优秀",IF(K387&gt;=60,"及格","不及格"))</f>
        <v>及格</v>
      </c>
    </row>
    <row r="388" hidden="1" spans="1:13">
      <c r="A388">
        <v>10387</v>
      </c>
      <c r="B388" t="s">
        <v>408</v>
      </c>
      <c r="C388" t="s">
        <v>14</v>
      </c>
      <c r="D388" t="s">
        <v>23</v>
      </c>
      <c r="E388">
        <v>72</v>
      </c>
      <c r="F388">
        <v>64.5</v>
      </c>
      <c r="G388">
        <v>69.5</v>
      </c>
      <c r="H388">
        <v>67.5</v>
      </c>
      <c r="I388">
        <v>60.5</v>
      </c>
      <c r="J388">
        <f t="shared" si="24"/>
        <v>334</v>
      </c>
      <c r="K388" s="4">
        <f t="shared" si="25"/>
        <v>66.8</v>
      </c>
      <c r="L388">
        <f t="shared" si="26"/>
        <v>477</v>
      </c>
      <c r="M388" t="str">
        <f t="shared" si="27"/>
        <v>及格</v>
      </c>
    </row>
    <row r="389" hidden="1" spans="1:13">
      <c r="A389">
        <v>10388</v>
      </c>
      <c r="B389" t="s">
        <v>409</v>
      </c>
      <c r="C389" t="s">
        <v>17</v>
      </c>
      <c r="D389" t="s">
        <v>20</v>
      </c>
      <c r="E389">
        <v>68</v>
      </c>
      <c r="F389">
        <v>85</v>
      </c>
      <c r="G389">
        <v>87.5</v>
      </c>
      <c r="H389">
        <v>85.5</v>
      </c>
      <c r="I389">
        <v>83</v>
      </c>
      <c r="J389">
        <f t="shared" si="24"/>
        <v>409</v>
      </c>
      <c r="K389" s="4">
        <f t="shared" si="25"/>
        <v>81.8</v>
      </c>
      <c r="L389">
        <f t="shared" si="26"/>
        <v>105</v>
      </c>
      <c r="M389" t="str">
        <f t="shared" si="27"/>
        <v>及格</v>
      </c>
    </row>
    <row r="390" hidden="1" spans="1:13">
      <c r="A390">
        <v>10389</v>
      </c>
      <c r="B390" t="s">
        <v>410</v>
      </c>
      <c r="C390" t="s">
        <v>14</v>
      </c>
      <c r="D390" t="s">
        <v>18</v>
      </c>
      <c r="E390">
        <v>86.5</v>
      </c>
      <c r="F390">
        <v>73.5</v>
      </c>
      <c r="G390">
        <v>53</v>
      </c>
      <c r="H390">
        <v>51</v>
      </c>
      <c r="I390">
        <v>66</v>
      </c>
      <c r="J390">
        <f t="shared" si="24"/>
        <v>330</v>
      </c>
      <c r="K390" s="4">
        <f t="shared" si="25"/>
        <v>66</v>
      </c>
      <c r="L390">
        <f t="shared" si="26"/>
        <v>484</v>
      </c>
      <c r="M390" t="str">
        <f t="shared" si="27"/>
        <v>及格</v>
      </c>
    </row>
    <row r="391" hidden="1" spans="1:13">
      <c r="A391">
        <v>10390</v>
      </c>
      <c r="B391" t="s">
        <v>411</v>
      </c>
      <c r="C391" t="s">
        <v>14</v>
      </c>
      <c r="D391" t="s">
        <v>15</v>
      </c>
      <c r="E391">
        <v>80.5</v>
      </c>
      <c r="F391">
        <v>66</v>
      </c>
      <c r="G391">
        <v>62.5</v>
      </c>
      <c r="H391">
        <v>60.5</v>
      </c>
      <c r="I391">
        <v>65</v>
      </c>
      <c r="J391">
        <f t="shared" si="24"/>
        <v>334.5</v>
      </c>
      <c r="K391" s="4">
        <f t="shared" si="25"/>
        <v>66.9</v>
      </c>
      <c r="L391">
        <f t="shared" si="26"/>
        <v>473</v>
      </c>
      <c r="M391" t="str">
        <f t="shared" si="27"/>
        <v>及格</v>
      </c>
    </row>
    <row r="392" hidden="1" spans="1:13">
      <c r="A392">
        <v>10391</v>
      </c>
      <c r="B392" t="s">
        <v>412</v>
      </c>
      <c r="C392" t="s">
        <v>14</v>
      </c>
      <c r="D392" t="s">
        <v>15</v>
      </c>
      <c r="E392">
        <v>74.5</v>
      </c>
      <c r="F392">
        <v>89.5</v>
      </c>
      <c r="G392">
        <v>67.5</v>
      </c>
      <c r="H392">
        <v>65.5</v>
      </c>
      <c r="I392">
        <v>79.5</v>
      </c>
      <c r="J392">
        <f t="shared" si="24"/>
        <v>376.5</v>
      </c>
      <c r="K392" s="4">
        <f t="shared" si="25"/>
        <v>75.3</v>
      </c>
      <c r="L392">
        <f t="shared" si="26"/>
        <v>300</v>
      </c>
      <c r="M392" t="str">
        <f t="shared" si="27"/>
        <v>及格</v>
      </c>
    </row>
    <row r="393" hidden="1" spans="1:13">
      <c r="A393">
        <v>10392</v>
      </c>
      <c r="B393" t="s">
        <v>413</v>
      </c>
      <c r="C393" t="s">
        <v>17</v>
      </c>
      <c r="D393" t="s">
        <v>15</v>
      </c>
      <c r="E393">
        <v>86</v>
      </c>
      <c r="F393">
        <v>82</v>
      </c>
      <c r="G393">
        <v>67</v>
      </c>
      <c r="H393">
        <v>65</v>
      </c>
      <c r="I393">
        <v>68</v>
      </c>
      <c r="J393">
        <f t="shared" si="24"/>
        <v>368</v>
      </c>
      <c r="K393" s="4">
        <f t="shared" si="25"/>
        <v>73.6</v>
      </c>
      <c r="L393">
        <f t="shared" si="26"/>
        <v>352</v>
      </c>
      <c r="M393" t="str">
        <f t="shared" si="27"/>
        <v>及格</v>
      </c>
    </row>
    <row r="394" hidden="1" spans="1:13">
      <c r="A394">
        <v>10393</v>
      </c>
      <c r="B394" t="s">
        <v>414</v>
      </c>
      <c r="C394" t="s">
        <v>14</v>
      </c>
      <c r="D394" t="s">
        <v>23</v>
      </c>
      <c r="E394">
        <v>68.5</v>
      </c>
      <c r="F394">
        <v>85</v>
      </c>
      <c r="G394">
        <v>79.5</v>
      </c>
      <c r="H394">
        <v>77.5</v>
      </c>
      <c r="I394">
        <v>68.5</v>
      </c>
      <c r="J394">
        <f t="shared" si="24"/>
        <v>379</v>
      </c>
      <c r="K394" s="4">
        <f t="shared" si="25"/>
        <v>75.8</v>
      </c>
      <c r="L394">
        <f t="shared" si="26"/>
        <v>282</v>
      </c>
      <c r="M394" t="str">
        <f t="shared" si="27"/>
        <v>及格</v>
      </c>
    </row>
    <row r="395" hidden="1" spans="1:13">
      <c r="A395">
        <v>10394</v>
      </c>
      <c r="B395" t="s">
        <v>415</v>
      </c>
      <c r="C395" t="s">
        <v>14</v>
      </c>
      <c r="D395" t="s">
        <v>30</v>
      </c>
      <c r="E395">
        <v>92</v>
      </c>
      <c r="F395">
        <v>88</v>
      </c>
      <c r="G395">
        <v>80.5</v>
      </c>
      <c r="H395">
        <v>78.5</v>
      </c>
      <c r="I395">
        <v>82</v>
      </c>
      <c r="J395">
        <f t="shared" si="24"/>
        <v>421</v>
      </c>
      <c r="K395" s="4">
        <f t="shared" si="25"/>
        <v>84.2</v>
      </c>
      <c r="L395">
        <f t="shared" si="26"/>
        <v>48</v>
      </c>
      <c r="M395" t="str">
        <f t="shared" si="27"/>
        <v>及格</v>
      </c>
    </row>
    <row r="396" hidden="1" spans="1:13">
      <c r="A396">
        <v>10395</v>
      </c>
      <c r="B396" t="s">
        <v>416</v>
      </c>
      <c r="C396" t="s">
        <v>17</v>
      </c>
      <c r="D396" t="s">
        <v>30</v>
      </c>
      <c r="E396">
        <v>90.5</v>
      </c>
      <c r="F396">
        <v>80.5</v>
      </c>
      <c r="G396">
        <v>82</v>
      </c>
      <c r="H396">
        <v>63</v>
      </c>
      <c r="I396">
        <v>85</v>
      </c>
      <c r="J396">
        <f t="shared" si="24"/>
        <v>401</v>
      </c>
      <c r="K396" s="4">
        <f t="shared" si="25"/>
        <v>80.2</v>
      </c>
      <c r="L396">
        <f t="shared" si="26"/>
        <v>174</v>
      </c>
      <c r="M396" t="str">
        <f t="shared" si="27"/>
        <v>及格</v>
      </c>
    </row>
    <row r="397" hidden="1" spans="1:13">
      <c r="A397">
        <v>10396</v>
      </c>
      <c r="B397" t="s">
        <v>417</v>
      </c>
      <c r="C397" t="s">
        <v>17</v>
      </c>
      <c r="D397" t="s">
        <v>30</v>
      </c>
      <c r="E397">
        <v>64</v>
      </c>
      <c r="F397">
        <v>61</v>
      </c>
      <c r="G397">
        <v>70</v>
      </c>
      <c r="H397">
        <v>68</v>
      </c>
      <c r="I397">
        <v>74.5</v>
      </c>
      <c r="J397">
        <f t="shared" si="24"/>
        <v>337.5</v>
      </c>
      <c r="K397" s="4">
        <f t="shared" si="25"/>
        <v>67.5</v>
      </c>
      <c r="L397">
        <f t="shared" si="26"/>
        <v>463</v>
      </c>
      <c r="M397" t="str">
        <f t="shared" si="27"/>
        <v>及格</v>
      </c>
    </row>
    <row r="398" hidden="1" spans="1:13">
      <c r="A398">
        <v>10397</v>
      </c>
      <c r="B398" t="s">
        <v>418</v>
      </c>
      <c r="C398" t="s">
        <v>14</v>
      </c>
      <c r="D398" t="s">
        <v>18</v>
      </c>
      <c r="E398">
        <v>65</v>
      </c>
      <c r="F398">
        <v>79.5</v>
      </c>
      <c r="G398">
        <v>84</v>
      </c>
      <c r="H398">
        <v>82</v>
      </c>
      <c r="I398">
        <v>71.5</v>
      </c>
      <c r="J398">
        <f t="shared" si="24"/>
        <v>382</v>
      </c>
      <c r="K398" s="4">
        <f t="shared" si="25"/>
        <v>76.4</v>
      </c>
      <c r="L398">
        <f t="shared" si="26"/>
        <v>263</v>
      </c>
      <c r="M398" t="str">
        <f t="shared" si="27"/>
        <v>及格</v>
      </c>
    </row>
    <row r="399" hidden="1" spans="1:13">
      <c r="A399">
        <v>10398</v>
      </c>
      <c r="B399" t="s">
        <v>419</v>
      </c>
      <c r="C399" t="s">
        <v>17</v>
      </c>
      <c r="D399" t="s">
        <v>23</v>
      </c>
      <c r="E399">
        <v>54.5</v>
      </c>
      <c r="F399">
        <v>62.5</v>
      </c>
      <c r="G399">
        <v>94</v>
      </c>
      <c r="H399">
        <v>92</v>
      </c>
      <c r="I399">
        <v>73</v>
      </c>
      <c r="J399">
        <f t="shared" si="24"/>
        <v>376</v>
      </c>
      <c r="K399" s="4">
        <f t="shared" si="25"/>
        <v>75.2</v>
      </c>
      <c r="L399">
        <f t="shared" si="26"/>
        <v>303</v>
      </c>
      <c r="M399" t="str">
        <f t="shared" si="27"/>
        <v>及格</v>
      </c>
    </row>
    <row r="400" hidden="1" spans="1:13">
      <c r="A400">
        <v>10399</v>
      </c>
      <c r="B400" t="s">
        <v>420</v>
      </c>
      <c r="C400" t="s">
        <v>17</v>
      </c>
      <c r="D400" t="s">
        <v>30</v>
      </c>
      <c r="E400">
        <v>55.5</v>
      </c>
      <c r="F400">
        <v>81.5</v>
      </c>
      <c r="G400">
        <v>94</v>
      </c>
      <c r="H400">
        <v>92</v>
      </c>
      <c r="I400">
        <v>83</v>
      </c>
      <c r="J400">
        <f t="shared" si="24"/>
        <v>406</v>
      </c>
      <c r="K400" s="4">
        <f t="shared" si="25"/>
        <v>81.2</v>
      </c>
      <c r="L400">
        <f t="shared" si="26"/>
        <v>138</v>
      </c>
      <c r="M400" t="str">
        <f t="shared" si="27"/>
        <v>及格</v>
      </c>
    </row>
    <row r="401" hidden="1" spans="1:13">
      <c r="A401">
        <v>10400</v>
      </c>
      <c r="B401" t="s">
        <v>421</v>
      </c>
      <c r="C401" t="s">
        <v>17</v>
      </c>
      <c r="D401" t="s">
        <v>30</v>
      </c>
      <c r="E401">
        <v>63.5</v>
      </c>
      <c r="F401">
        <v>53</v>
      </c>
      <c r="G401">
        <v>57</v>
      </c>
      <c r="H401">
        <v>62.5</v>
      </c>
      <c r="I401">
        <v>72.5</v>
      </c>
      <c r="J401">
        <f t="shared" si="24"/>
        <v>308.5</v>
      </c>
      <c r="K401" s="4">
        <f t="shared" si="25"/>
        <v>61.7</v>
      </c>
      <c r="L401">
        <f t="shared" si="26"/>
        <v>497</v>
      </c>
      <c r="M401" t="str">
        <f t="shared" si="27"/>
        <v>及格</v>
      </c>
    </row>
    <row r="402" hidden="1" spans="1:13">
      <c r="A402">
        <v>10401</v>
      </c>
      <c r="B402" t="s">
        <v>422</v>
      </c>
      <c r="C402" t="s">
        <v>14</v>
      </c>
      <c r="D402" t="s">
        <v>18</v>
      </c>
      <c r="E402">
        <v>79</v>
      </c>
      <c r="F402">
        <v>95.5</v>
      </c>
      <c r="G402">
        <v>74.5</v>
      </c>
      <c r="H402">
        <v>72.5</v>
      </c>
      <c r="I402">
        <v>69.5</v>
      </c>
      <c r="J402">
        <f t="shared" si="24"/>
        <v>391</v>
      </c>
      <c r="K402" s="4">
        <f t="shared" si="25"/>
        <v>78.2</v>
      </c>
      <c r="L402">
        <f t="shared" si="26"/>
        <v>203</v>
      </c>
      <c r="M402" t="str">
        <f t="shared" si="27"/>
        <v>及格</v>
      </c>
    </row>
    <row r="403" hidden="1" spans="1:13">
      <c r="A403">
        <v>10402</v>
      </c>
      <c r="B403" t="s">
        <v>423</v>
      </c>
      <c r="C403" t="s">
        <v>14</v>
      </c>
      <c r="D403" t="s">
        <v>20</v>
      </c>
      <c r="E403">
        <v>87</v>
      </c>
      <c r="F403">
        <v>63</v>
      </c>
      <c r="G403">
        <v>79</v>
      </c>
      <c r="H403">
        <v>77</v>
      </c>
      <c r="I403">
        <v>84</v>
      </c>
      <c r="J403">
        <f t="shared" si="24"/>
        <v>390</v>
      </c>
      <c r="K403" s="4">
        <f t="shared" si="25"/>
        <v>78</v>
      </c>
      <c r="L403">
        <f t="shared" si="26"/>
        <v>209</v>
      </c>
      <c r="M403" t="str">
        <f t="shared" si="27"/>
        <v>及格</v>
      </c>
    </row>
    <row r="404" hidden="1" spans="1:13">
      <c r="A404">
        <v>10403</v>
      </c>
      <c r="B404" t="s">
        <v>424</v>
      </c>
      <c r="C404" t="s">
        <v>14</v>
      </c>
      <c r="D404" t="s">
        <v>18</v>
      </c>
      <c r="E404">
        <v>93</v>
      </c>
      <c r="F404">
        <v>63</v>
      </c>
      <c r="G404">
        <v>76.5</v>
      </c>
      <c r="H404">
        <v>74.5</v>
      </c>
      <c r="I404">
        <v>67</v>
      </c>
      <c r="J404">
        <f t="shared" si="24"/>
        <v>374</v>
      </c>
      <c r="K404" s="4">
        <f t="shared" si="25"/>
        <v>74.8</v>
      </c>
      <c r="L404">
        <f t="shared" si="26"/>
        <v>316</v>
      </c>
      <c r="M404" t="str">
        <f t="shared" si="27"/>
        <v>及格</v>
      </c>
    </row>
    <row r="405" hidden="1" spans="1:13">
      <c r="A405">
        <v>10404</v>
      </c>
      <c r="B405" t="s">
        <v>425</v>
      </c>
      <c r="C405" t="s">
        <v>14</v>
      </c>
      <c r="D405" t="s">
        <v>23</v>
      </c>
      <c r="E405">
        <v>71.5</v>
      </c>
      <c r="F405">
        <v>75</v>
      </c>
      <c r="G405">
        <v>79</v>
      </c>
      <c r="H405">
        <v>77</v>
      </c>
      <c r="I405">
        <v>82</v>
      </c>
      <c r="J405">
        <f t="shared" si="24"/>
        <v>384.5</v>
      </c>
      <c r="K405" s="4">
        <f t="shared" si="25"/>
        <v>76.9</v>
      </c>
      <c r="L405">
        <f t="shared" si="26"/>
        <v>244</v>
      </c>
      <c r="M405" t="str">
        <f t="shared" si="27"/>
        <v>及格</v>
      </c>
    </row>
    <row r="406" hidden="1" spans="1:13">
      <c r="A406">
        <v>10405</v>
      </c>
      <c r="B406" t="s">
        <v>426</v>
      </c>
      <c r="C406" t="s">
        <v>17</v>
      </c>
      <c r="D406" t="s">
        <v>23</v>
      </c>
      <c r="E406">
        <v>76</v>
      </c>
      <c r="F406">
        <v>88.5</v>
      </c>
      <c r="G406">
        <v>91</v>
      </c>
      <c r="H406">
        <v>89</v>
      </c>
      <c r="I406">
        <v>74</v>
      </c>
      <c r="J406">
        <f t="shared" si="24"/>
        <v>418.5</v>
      </c>
      <c r="K406" s="4">
        <f t="shared" si="25"/>
        <v>83.7</v>
      </c>
      <c r="L406">
        <f t="shared" si="26"/>
        <v>54</v>
      </c>
      <c r="M406" t="str">
        <f t="shared" si="27"/>
        <v>及格</v>
      </c>
    </row>
    <row r="407" hidden="1" spans="1:13">
      <c r="A407">
        <v>10406</v>
      </c>
      <c r="B407" t="s">
        <v>427</v>
      </c>
      <c r="C407" t="s">
        <v>14</v>
      </c>
      <c r="D407" t="s">
        <v>20</v>
      </c>
      <c r="E407">
        <v>70</v>
      </c>
      <c r="F407">
        <v>58.5</v>
      </c>
      <c r="G407">
        <v>91</v>
      </c>
      <c r="H407">
        <v>89</v>
      </c>
      <c r="I407">
        <v>70</v>
      </c>
      <c r="J407">
        <f t="shared" si="24"/>
        <v>378.5</v>
      </c>
      <c r="K407" s="4">
        <f t="shared" si="25"/>
        <v>75.7</v>
      </c>
      <c r="L407">
        <f t="shared" si="26"/>
        <v>287</v>
      </c>
      <c r="M407" t="str">
        <f t="shared" si="27"/>
        <v>及格</v>
      </c>
    </row>
    <row r="408" spans="1:13">
      <c r="A408">
        <v>10407</v>
      </c>
      <c r="B408" t="s">
        <v>428</v>
      </c>
      <c r="C408" t="s">
        <v>17</v>
      </c>
      <c r="D408" t="s">
        <v>15</v>
      </c>
      <c r="E408">
        <v>81.5</v>
      </c>
      <c r="F408">
        <v>76.5</v>
      </c>
      <c r="G408">
        <v>90</v>
      </c>
      <c r="H408">
        <v>86</v>
      </c>
      <c r="I408">
        <v>88</v>
      </c>
      <c r="J408">
        <f t="shared" si="24"/>
        <v>422</v>
      </c>
      <c r="K408" s="4">
        <f t="shared" si="25"/>
        <v>84.4</v>
      </c>
      <c r="L408">
        <f t="shared" si="26"/>
        <v>45</v>
      </c>
      <c r="M408" t="str">
        <f t="shared" si="27"/>
        <v>及格</v>
      </c>
    </row>
    <row r="409" hidden="1" spans="1:13">
      <c r="A409">
        <v>10408</v>
      </c>
      <c r="B409" t="s">
        <v>429</v>
      </c>
      <c r="C409" t="s">
        <v>14</v>
      </c>
      <c r="D409" t="s">
        <v>37</v>
      </c>
      <c r="E409">
        <v>81</v>
      </c>
      <c r="F409">
        <v>67.5</v>
      </c>
      <c r="G409">
        <v>83.5</v>
      </c>
      <c r="H409">
        <v>81.5</v>
      </c>
      <c r="I409">
        <v>73.5</v>
      </c>
      <c r="J409">
        <f t="shared" si="24"/>
        <v>387</v>
      </c>
      <c r="K409" s="4">
        <f t="shared" si="25"/>
        <v>77.4</v>
      </c>
      <c r="L409">
        <f t="shared" si="26"/>
        <v>229</v>
      </c>
      <c r="M409" t="str">
        <f t="shared" si="27"/>
        <v>及格</v>
      </c>
    </row>
    <row r="410" hidden="1" spans="1:13">
      <c r="A410">
        <v>10409</v>
      </c>
      <c r="B410" t="s">
        <v>430</v>
      </c>
      <c r="C410" t="s">
        <v>17</v>
      </c>
      <c r="D410" t="s">
        <v>23</v>
      </c>
      <c r="E410">
        <v>75</v>
      </c>
      <c r="F410">
        <v>78.5</v>
      </c>
      <c r="G410">
        <v>70.5</v>
      </c>
      <c r="H410">
        <v>68.5</v>
      </c>
      <c r="I410">
        <v>82.5</v>
      </c>
      <c r="J410">
        <f t="shared" si="24"/>
        <v>375</v>
      </c>
      <c r="K410" s="4">
        <f t="shared" si="25"/>
        <v>75</v>
      </c>
      <c r="L410">
        <f t="shared" si="26"/>
        <v>312</v>
      </c>
      <c r="M410" t="str">
        <f t="shared" si="27"/>
        <v>及格</v>
      </c>
    </row>
    <row r="411" hidden="1" spans="1:13">
      <c r="A411">
        <v>10410</v>
      </c>
      <c r="B411" t="s">
        <v>431</v>
      </c>
      <c r="C411" t="s">
        <v>17</v>
      </c>
      <c r="D411" t="s">
        <v>37</v>
      </c>
      <c r="E411">
        <v>77</v>
      </c>
      <c r="F411">
        <v>70.5</v>
      </c>
      <c r="G411">
        <v>75.5</v>
      </c>
      <c r="H411">
        <v>73.5</v>
      </c>
      <c r="I411">
        <v>74.5</v>
      </c>
      <c r="J411">
        <f t="shared" si="24"/>
        <v>371</v>
      </c>
      <c r="K411" s="4">
        <f t="shared" si="25"/>
        <v>74.2</v>
      </c>
      <c r="L411">
        <f t="shared" si="26"/>
        <v>330</v>
      </c>
      <c r="M411" t="str">
        <f t="shared" si="27"/>
        <v>及格</v>
      </c>
    </row>
    <row r="412" hidden="1" spans="1:13">
      <c r="A412">
        <v>10411</v>
      </c>
      <c r="B412" t="s">
        <v>432</v>
      </c>
      <c r="C412" t="s">
        <v>14</v>
      </c>
      <c r="D412" t="s">
        <v>30</v>
      </c>
      <c r="E412">
        <v>71</v>
      </c>
      <c r="F412">
        <v>63</v>
      </c>
      <c r="G412">
        <v>68.5</v>
      </c>
      <c r="H412">
        <v>66.5</v>
      </c>
      <c r="I412">
        <v>71.5</v>
      </c>
      <c r="J412">
        <f t="shared" si="24"/>
        <v>340.5</v>
      </c>
      <c r="K412" s="4">
        <f t="shared" si="25"/>
        <v>68.1</v>
      </c>
      <c r="L412">
        <f t="shared" si="26"/>
        <v>440</v>
      </c>
      <c r="M412" t="str">
        <f t="shared" si="27"/>
        <v>及格</v>
      </c>
    </row>
    <row r="413" hidden="1" spans="1:13">
      <c r="A413">
        <v>10412</v>
      </c>
      <c r="B413" t="s">
        <v>433</v>
      </c>
      <c r="C413" t="s">
        <v>17</v>
      </c>
      <c r="D413" t="s">
        <v>30</v>
      </c>
      <c r="E413">
        <v>78</v>
      </c>
      <c r="F413">
        <v>76</v>
      </c>
      <c r="G413">
        <v>90</v>
      </c>
      <c r="H413">
        <v>77</v>
      </c>
      <c r="I413">
        <v>62.5</v>
      </c>
      <c r="J413">
        <f t="shared" si="24"/>
        <v>383.5</v>
      </c>
      <c r="K413" s="4">
        <f t="shared" si="25"/>
        <v>76.7</v>
      </c>
      <c r="L413">
        <f t="shared" si="26"/>
        <v>251</v>
      </c>
      <c r="M413" t="str">
        <f t="shared" si="27"/>
        <v>及格</v>
      </c>
    </row>
    <row r="414" hidden="1" spans="1:13">
      <c r="A414">
        <v>10413</v>
      </c>
      <c r="B414" t="s">
        <v>434</v>
      </c>
      <c r="C414" t="s">
        <v>14</v>
      </c>
      <c r="D414" t="s">
        <v>30</v>
      </c>
      <c r="E414">
        <v>90.5</v>
      </c>
      <c r="F414">
        <v>78</v>
      </c>
      <c r="G414">
        <v>74.5</v>
      </c>
      <c r="H414">
        <v>72.5</v>
      </c>
      <c r="I414">
        <v>86.5</v>
      </c>
      <c r="J414">
        <f t="shared" si="24"/>
        <v>402</v>
      </c>
      <c r="K414" s="4">
        <f t="shared" si="25"/>
        <v>80.4</v>
      </c>
      <c r="L414">
        <f t="shared" si="26"/>
        <v>166</v>
      </c>
      <c r="M414" t="str">
        <f t="shared" si="27"/>
        <v>及格</v>
      </c>
    </row>
    <row r="415" hidden="1" spans="1:13">
      <c r="A415">
        <v>10414</v>
      </c>
      <c r="B415" t="s">
        <v>435</v>
      </c>
      <c r="C415" t="s">
        <v>17</v>
      </c>
      <c r="D415" t="s">
        <v>30</v>
      </c>
      <c r="E415">
        <v>78</v>
      </c>
      <c r="F415">
        <v>82</v>
      </c>
      <c r="G415">
        <v>68.5</v>
      </c>
      <c r="H415">
        <v>66.5</v>
      </c>
      <c r="I415">
        <v>90</v>
      </c>
      <c r="J415">
        <f t="shared" si="24"/>
        <v>385</v>
      </c>
      <c r="K415" s="4">
        <f t="shared" si="25"/>
        <v>77</v>
      </c>
      <c r="L415">
        <f t="shared" si="26"/>
        <v>241</v>
      </c>
      <c r="M415" t="str">
        <f t="shared" si="27"/>
        <v>及格</v>
      </c>
    </row>
    <row r="416" hidden="1" spans="1:13">
      <c r="A416">
        <v>10415</v>
      </c>
      <c r="B416" t="s">
        <v>436</v>
      </c>
      <c r="C416" t="s">
        <v>14</v>
      </c>
      <c r="D416" t="s">
        <v>37</v>
      </c>
      <c r="E416">
        <v>73.5</v>
      </c>
      <c r="F416">
        <v>67.5</v>
      </c>
      <c r="G416">
        <v>88</v>
      </c>
      <c r="H416">
        <v>86</v>
      </c>
      <c r="I416">
        <v>62.5</v>
      </c>
      <c r="J416">
        <f t="shared" si="24"/>
        <v>377.5</v>
      </c>
      <c r="K416" s="4">
        <f t="shared" si="25"/>
        <v>75.5</v>
      </c>
      <c r="L416">
        <f t="shared" si="26"/>
        <v>293</v>
      </c>
      <c r="M416" t="str">
        <f t="shared" si="27"/>
        <v>及格</v>
      </c>
    </row>
    <row r="417" hidden="1" spans="1:13">
      <c r="A417">
        <v>10416</v>
      </c>
      <c r="B417" t="s">
        <v>437</v>
      </c>
      <c r="C417" t="s">
        <v>14</v>
      </c>
      <c r="D417" t="s">
        <v>23</v>
      </c>
      <c r="E417">
        <v>64</v>
      </c>
      <c r="F417">
        <v>91.5</v>
      </c>
      <c r="G417">
        <v>65.5</v>
      </c>
      <c r="H417">
        <v>63.5</v>
      </c>
      <c r="I417">
        <v>83</v>
      </c>
      <c r="J417">
        <f t="shared" si="24"/>
        <v>367.5</v>
      </c>
      <c r="K417" s="4">
        <f t="shared" si="25"/>
        <v>73.5</v>
      </c>
      <c r="L417">
        <f t="shared" si="26"/>
        <v>354</v>
      </c>
      <c r="M417" t="str">
        <f t="shared" si="27"/>
        <v>及格</v>
      </c>
    </row>
    <row r="418" hidden="1" spans="1:13">
      <c r="A418">
        <v>10417</v>
      </c>
      <c r="B418" t="s">
        <v>438</v>
      </c>
      <c r="C418" t="s">
        <v>14</v>
      </c>
      <c r="D418" t="s">
        <v>30</v>
      </c>
      <c r="E418">
        <v>71.5</v>
      </c>
      <c r="F418">
        <v>69</v>
      </c>
      <c r="G418">
        <v>68</v>
      </c>
      <c r="H418">
        <v>66</v>
      </c>
      <c r="I418">
        <v>69</v>
      </c>
      <c r="J418">
        <f t="shared" si="24"/>
        <v>343.5</v>
      </c>
      <c r="K418" s="4">
        <f t="shared" si="25"/>
        <v>68.7</v>
      </c>
      <c r="L418">
        <f t="shared" si="26"/>
        <v>417</v>
      </c>
      <c r="M418" t="str">
        <f t="shared" si="27"/>
        <v>及格</v>
      </c>
    </row>
    <row r="419" hidden="1" spans="1:13">
      <c r="A419">
        <v>10418</v>
      </c>
      <c r="B419" t="s">
        <v>439</v>
      </c>
      <c r="C419" t="s">
        <v>17</v>
      </c>
      <c r="D419" t="s">
        <v>18</v>
      </c>
      <c r="E419">
        <v>72.5</v>
      </c>
      <c r="F419">
        <v>66</v>
      </c>
      <c r="G419">
        <v>75</v>
      </c>
      <c r="H419">
        <v>73</v>
      </c>
      <c r="I419">
        <v>76</v>
      </c>
      <c r="J419">
        <f t="shared" si="24"/>
        <v>362.5</v>
      </c>
      <c r="K419" s="4">
        <f t="shared" si="25"/>
        <v>72.5</v>
      </c>
      <c r="L419">
        <f t="shared" si="26"/>
        <v>377</v>
      </c>
      <c r="M419" t="str">
        <f t="shared" si="27"/>
        <v>及格</v>
      </c>
    </row>
    <row r="420" hidden="1" spans="1:13">
      <c r="A420">
        <v>10419</v>
      </c>
      <c r="B420" t="s">
        <v>440</v>
      </c>
      <c r="C420" t="s">
        <v>14</v>
      </c>
      <c r="D420" t="s">
        <v>20</v>
      </c>
      <c r="E420">
        <v>93.5</v>
      </c>
      <c r="F420">
        <v>74</v>
      </c>
      <c r="G420">
        <v>78.5</v>
      </c>
      <c r="H420">
        <v>76.5</v>
      </c>
      <c r="I420">
        <v>84.5</v>
      </c>
      <c r="J420">
        <f t="shared" si="24"/>
        <v>407</v>
      </c>
      <c r="K420" s="4">
        <f t="shared" si="25"/>
        <v>81.4</v>
      </c>
      <c r="L420">
        <f t="shared" si="26"/>
        <v>129</v>
      </c>
      <c r="M420" t="str">
        <f t="shared" si="27"/>
        <v>及格</v>
      </c>
    </row>
    <row r="421" hidden="1" spans="1:13">
      <c r="A421">
        <v>10420</v>
      </c>
      <c r="B421" t="s">
        <v>441</v>
      </c>
      <c r="C421" t="s">
        <v>17</v>
      </c>
      <c r="D421" t="s">
        <v>18</v>
      </c>
      <c r="E421">
        <v>83.5</v>
      </c>
      <c r="F421">
        <v>58.5</v>
      </c>
      <c r="G421">
        <v>74.5</v>
      </c>
      <c r="H421">
        <v>72.5</v>
      </c>
      <c r="I421">
        <v>68.5</v>
      </c>
      <c r="J421">
        <f t="shared" si="24"/>
        <v>357.5</v>
      </c>
      <c r="K421" s="4">
        <f t="shared" si="25"/>
        <v>71.5</v>
      </c>
      <c r="L421">
        <f t="shared" si="26"/>
        <v>393</v>
      </c>
      <c r="M421" t="str">
        <f t="shared" si="27"/>
        <v>及格</v>
      </c>
    </row>
    <row r="422" hidden="1" spans="1:13">
      <c r="A422">
        <v>10421</v>
      </c>
      <c r="B422" t="s">
        <v>442</v>
      </c>
      <c r="C422" t="s">
        <v>17</v>
      </c>
      <c r="D422" t="s">
        <v>30</v>
      </c>
      <c r="E422">
        <v>78.5</v>
      </c>
      <c r="F422">
        <v>87</v>
      </c>
      <c r="G422">
        <v>79.5</v>
      </c>
      <c r="H422">
        <v>77.5</v>
      </c>
      <c r="I422">
        <v>86.5</v>
      </c>
      <c r="J422">
        <f t="shared" si="24"/>
        <v>409</v>
      </c>
      <c r="K422" s="4">
        <f t="shared" si="25"/>
        <v>81.8</v>
      </c>
      <c r="L422">
        <f t="shared" si="26"/>
        <v>105</v>
      </c>
      <c r="M422" t="str">
        <f t="shared" si="27"/>
        <v>及格</v>
      </c>
    </row>
    <row r="423" hidden="1" spans="1:13">
      <c r="A423">
        <v>10422</v>
      </c>
      <c r="B423" t="s">
        <v>443</v>
      </c>
      <c r="C423" t="s">
        <v>17</v>
      </c>
      <c r="D423" t="s">
        <v>30</v>
      </c>
      <c r="E423">
        <v>61</v>
      </c>
      <c r="F423">
        <v>77</v>
      </c>
      <c r="G423">
        <v>66.5</v>
      </c>
      <c r="H423">
        <v>64.5</v>
      </c>
      <c r="I423">
        <v>66.5</v>
      </c>
      <c r="J423">
        <f t="shared" si="24"/>
        <v>335.5</v>
      </c>
      <c r="K423" s="4">
        <f t="shared" si="25"/>
        <v>67.1</v>
      </c>
      <c r="L423">
        <f t="shared" si="26"/>
        <v>468</v>
      </c>
      <c r="M423" t="str">
        <f t="shared" si="27"/>
        <v>及格</v>
      </c>
    </row>
    <row r="424" hidden="1" spans="1:13">
      <c r="A424">
        <v>10423</v>
      </c>
      <c r="B424" t="s">
        <v>444</v>
      </c>
      <c r="C424" t="s">
        <v>14</v>
      </c>
      <c r="D424" t="s">
        <v>20</v>
      </c>
      <c r="E424">
        <v>80.5</v>
      </c>
      <c r="F424">
        <v>86</v>
      </c>
      <c r="G424">
        <v>63.5</v>
      </c>
      <c r="H424">
        <v>61.5</v>
      </c>
      <c r="I424">
        <v>79.5</v>
      </c>
      <c r="J424">
        <f t="shared" si="24"/>
        <v>371</v>
      </c>
      <c r="K424" s="4">
        <f t="shared" si="25"/>
        <v>74.2</v>
      </c>
      <c r="L424">
        <f t="shared" si="26"/>
        <v>330</v>
      </c>
      <c r="M424" t="str">
        <f t="shared" si="27"/>
        <v>及格</v>
      </c>
    </row>
    <row r="425" hidden="1" spans="1:13">
      <c r="A425">
        <v>10424</v>
      </c>
      <c r="B425" t="s">
        <v>445</v>
      </c>
      <c r="C425" t="s">
        <v>17</v>
      </c>
      <c r="D425" t="s">
        <v>23</v>
      </c>
      <c r="E425">
        <v>60.5</v>
      </c>
      <c r="F425">
        <v>86.5</v>
      </c>
      <c r="G425">
        <v>62.5</v>
      </c>
      <c r="H425">
        <v>60.5</v>
      </c>
      <c r="I425">
        <v>93</v>
      </c>
      <c r="J425">
        <f t="shared" si="24"/>
        <v>363</v>
      </c>
      <c r="K425" s="4">
        <f t="shared" si="25"/>
        <v>72.6</v>
      </c>
      <c r="L425">
        <f t="shared" si="26"/>
        <v>372</v>
      </c>
      <c r="M425" t="str">
        <f t="shared" si="27"/>
        <v>及格</v>
      </c>
    </row>
    <row r="426" hidden="1" spans="1:13">
      <c r="A426">
        <v>10425</v>
      </c>
      <c r="B426" t="s">
        <v>446</v>
      </c>
      <c r="C426" t="s">
        <v>17</v>
      </c>
      <c r="D426" t="s">
        <v>15</v>
      </c>
      <c r="E426">
        <v>74.5</v>
      </c>
      <c r="F426">
        <v>66.5</v>
      </c>
      <c r="G426">
        <v>71</v>
      </c>
      <c r="H426">
        <v>69</v>
      </c>
      <c r="I426">
        <v>87.5</v>
      </c>
      <c r="J426">
        <f t="shared" si="24"/>
        <v>368.5</v>
      </c>
      <c r="K426" s="4">
        <f t="shared" si="25"/>
        <v>73.7</v>
      </c>
      <c r="L426">
        <f t="shared" si="26"/>
        <v>351</v>
      </c>
      <c r="M426" t="str">
        <f t="shared" si="27"/>
        <v>及格</v>
      </c>
    </row>
    <row r="427" hidden="1" spans="1:13">
      <c r="A427">
        <v>10426</v>
      </c>
      <c r="B427" t="s">
        <v>447</v>
      </c>
      <c r="C427" t="s">
        <v>17</v>
      </c>
      <c r="D427" t="s">
        <v>15</v>
      </c>
      <c r="E427">
        <v>72.5</v>
      </c>
      <c r="F427">
        <v>73.5</v>
      </c>
      <c r="G427">
        <v>85.5</v>
      </c>
      <c r="H427">
        <v>83.5</v>
      </c>
      <c r="I427">
        <v>76</v>
      </c>
      <c r="J427">
        <f t="shared" si="24"/>
        <v>391</v>
      </c>
      <c r="K427" s="4">
        <f t="shared" si="25"/>
        <v>78.2</v>
      </c>
      <c r="L427">
        <f t="shared" si="26"/>
        <v>203</v>
      </c>
      <c r="M427" t="str">
        <f t="shared" si="27"/>
        <v>及格</v>
      </c>
    </row>
    <row r="428" hidden="1" spans="1:13">
      <c r="A428">
        <v>10427</v>
      </c>
      <c r="B428" t="s">
        <v>448</v>
      </c>
      <c r="C428" t="s">
        <v>14</v>
      </c>
      <c r="D428" t="s">
        <v>37</v>
      </c>
      <c r="E428">
        <v>74</v>
      </c>
      <c r="F428">
        <v>59</v>
      </c>
      <c r="G428">
        <v>65</v>
      </c>
      <c r="H428">
        <v>63</v>
      </c>
      <c r="I428">
        <v>56</v>
      </c>
      <c r="J428">
        <f t="shared" si="24"/>
        <v>317</v>
      </c>
      <c r="K428" s="4">
        <f t="shared" si="25"/>
        <v>63.4</v>
      </c>
      <c r="L428">
        <f t="shared" si="26"/>
        <v>494</v>
      </c>
      <c r="M428" t="str">
        <f t="shared" si="27"/>
        <v>及格</v>
      </c>
    </row>
    <row r="429" hidden="1" spans="1:13">
      <c r="A429">
        <v>10428</v>
      </c>
      <c r="B429" t="s">
        <v>449</v>
      </c>
      <c r="C429" t="s">
        <v>14</v>
      </c>
      <c r="D429" t="s">
        <v>18</v>
      </c>
      <c r="E429">
        <v>75.5</v>
      </c>
      <c r="F429">
        <v>64</v>
      </c>
      <c r="G429">
        <v>84</v>
      </c>
      <c r="H429">
        <v>82</v>
      </c>
      <c r="I429">
        <v>94</v>
      </c>
      <c r="J429">
        <f t="shared" si="24"/>
        <v>399.5</v>
      </c>
      <c r="K429" s="4">
        <f t="shared" si="25"/>
        <v>79.9</v>
      </c>
      <c r="L429">
        <f t="shared" si="26"/>
        <v>183</v>
      </c>
      <c r="M429" t="str">
        <f t="shared" si="27"/>
        <v>及格</v>
      </c>
    </row>
    <row r="430" hidden="1" spans="1:13">
      <c r="A430">
        <v>10429</v>
      </c>
      <c r="B430" t="s">
        <v>450</v>
      </c>
      <c r="C430" t="s">
        <v>17</v>
      </c>
      <c r="D430" t="s">
        <v>18</v>
      </c>
      <c r="E430">
        <v>73.5</v>
      </c>
      <c r="F430">
        <v>82.5</v>
      </c>
      <c r="G430">
        <v>91</v>
      </c>
      <c r="H430">
        <v>89</v>
      </c>
      <c r="I430">
        <v>94.5</v>
      </c>
      <c r="J430">
        <f t="shared" si="24"/>
        <v>430.5</v>
      </c>
      <c r="K430" s="4">
        <f t="shared" si="25"/>
        <v>86.1</v>
      </c>
      <c r="L430">
        <f t="shared" si="26"/>
        <v>32</v>
      </c>
      <c r="M430" t="str">
        <f t="shared" si="27"/>
        <v>优秀</v>
      </c>
    </row>
    <row r="431" hidden="1" spans="1:13">
      <c r="A431">
        <v>10430</v>
      </c>
      <c r="B431" t="s">
        <v>451</v>
      </c>
      <c r="C431" t="s">
        <v>14</v>
      </c>
      <c r="D431" t="s">
        <v>20</v>
      </c>
      <c r="E431">
        <v>83</v>
      </c>
      <c r="F431">
        <v>85</v>
      </c>
      <c r="G431">
        <v>64</v>
      </c>
      <c r="H431">
        <v>62</v>
      </c>
      <c r="I431">
        <v>82.5</v>
      </c>
      <c r="J431">
        <f t="shared" si="24"/>
        <v>376.5</v>
      </c>
      <c r="K431" s="4">
        <f t="shared" si="25"/>
        <v>75.3</v>
      </c>
      <c r="L431">
        <f t="shared" si="26"/>
        <v>300</v>
      </c>
      <c r="M431" t="str">
        <f t="shared" si="27"/>
        <v>及格</v>
      </c>
    </row>
    <row r="432" hidden="1" spans="1:13">
      <c r="A432">
        <v>10431</v>
      </c>
      <c r="B432" t="s">
        <v>452</v>
      </c>
      <c r="C432" t="s">
        <v>14</v>
      </c>
      <c r="D432" t="s">
        <v>15</v>
      </c>
      <c r="E432">
        <v>89.5</v>
      </c>
      <c r="F432">
        <v>67</v>
      </c>
      <c r="G432">
        <v>68</v>
      </c>
      <c r="H432">
        <v>66</v>
      </c>
      <c r="I432">
        <v>88.5</v>
      </c>
      <c r="J432">
        <f t="shared" si="24"/>
        <v>379</v>
      </c>
      <c r="K432" s="4">
        <f t="shared" si="25"/>
        <v>75.8</v>
      </c>
      <c r="L432">
        <f t="shared" si="26"/>
        <v>282</v>
      </c>
      <c r="M432" t="str">
        <f t="shared" si="27"/>
        <v>及格</v>
      </c>
    </row>
    <row r="433" hidden="1" spans="1:13">
      <c r="A433">
        <v>10432</v>
      </c>
      <c r="B433" t="s">
        <v>453</v>
      </c>
      <c r="C433" t="s">
        <v>14</v>
      </c>
      <c r="D433" t="s">
        <v>37</v>
      </c>
      <c r="E433">
        <v>87</v>
      </c>
      <c r="F433">
        <v>94</v>
      </c>
      <c r="G433">
        <v>92</v>
      </c>
      <c r="H433">
        <v>84.5</v>
      </c>
      <c r="I433">
        <v>93</v>
      </c>
      <c r="J433">
        <f t="shared" si="24"/>
        <v>450.5</v>
      </c>
      <c r="K433" s="4">
        <f t="shared" si="25"/>
        <v>90.1</v>
      </c>
      <c r="L433">
        <f t="shared" si="26"/>
        <v>22</v>
      </c>
      <c r="M433" t="str">
        <f t="shared" si="27"/>
        <v>优秀</v>
      </c>
    </row>
    <row r="434" hidden="1" spans="1:13">
      <c r="A434">
        <v>10433</v>
      </c>
      <c r="B434" t="s">
        <v>454</v>
      </c>
      <c r="C434" t="s">
        <v>17</v>
      </c>
      <c r="D434" t="s">
        <v>37</v>
      </c>
      <c r="E434">
        <v>72</v>
      </c>
      <c r="F434">
        <v>70.5</v>
      </c>
      <c r="G434">
        <v>59</v>
      </c>
      <c r="H434">
        <v>57</v>
      </c>
      <c r="I434">
        <v>77</v>
      </c>
      <c r="J434">
        <f t="shared" si="24"/>
        <v>335.5</v>
      </c>
      <c r="K434" s="4">
        <f t="shared" si="25"/>
        <v>67.1</v>
      </c>
      <c r="L434">
        <f t="shared" si="26"/>
        <v>468</v>
      </c>
      <c r="M434" t="str">
        <f t="shared" si="27"/>
        <v>及格</v>
      </c>
    </row>
    <row r="435" hidden="1" spans="1:13">
      <c r="A435">
        <v>10434</v>
      </c>
      <c r="B435" t="s">
        <v>455</v>
      </c>
      <c r="C435" t="s">
        <v>14</v>
      </c>
      <c r="D435" t="s">
        <v>20</v>
      </c>
      <c r="E435">
        <v>73.5</v>
      </c>
      <c r="F435">
        <v>73.5</v>
      </c>
      <c r="G435">
        <v>79.5</v>
      </c>
      <c r="H435">
        <v>77.5</v>
      </c>
      <c r="I435">
        <v>79</v>
      </c>
      <c r="J435">
        <f t="shared" si="24"/>
        <v>383</v>
      </c>
      <c r="K435" s="4">
        <f t="shared" si="25"/>
        <v>76.6</v>
      </c>
      <c r="L435">
        <f t="shared" si="26"/>
        <v>255</v>
      </c>
      <c r="M435" t="str">
        <f t="shared" si="27"/>
        <v>及格</v>
      </c>
    </row>
    <row r="436" hidden="1" spans="1:13">
      <c r="A436">
        <v>10435</v>
      </c>
      <c r="B436" t="s">
        <v>456</v>
      </c>
      <c r="C436" t="s">
        <v>14</v>
      </c>
      <c r="D436" t="s">
        <v>30</v>
      </c>
      <c r="E436">
        <v>88</v>
      </c>
      <c r="F436">
        <v>82</v>
      </c>
      <c r="G436">
        <v>71.5</v>
      </c>
      <c r="H436">
        <v>69.5</v>
      </c>
      <c r="I436">
        <v>91</v>
      </c>
      <c r="J436">
        <f t="shared" si="24"/>
        <v>402</v>
      </c>
      <c r="K436" s="4">
        <f t="shared" si="25"/>
        <v>80.4</v>
      </c>
      <c r="L436">
        <f t="shared" si="26"/>
        <v>166</v>
      </c>
      <c r="M436" t="str">
        <f t="shared" si="27"/>
        <v>及格</v>
      </c>
    </row>
    <row r="437" hidden="1" spans="1:13">
      <c r="A437">
        <v>10436</v>
      </c>
      <c r="B437" t="s">
        <v>457</v>
      </c>
      <c r="C437" t="s">
        <v>14</v>
      </c>
      <c r="D437" t="s">
        <v>37</v>
      </c>
      <c r="E437">
        <v>87</v>
      </c>
      <c r="F437">
        <v>66</v>
      </c>
      <c r="G437">
        <v>72</v>
      </c>
      <c r="H437">
        <v>70</v>
      </c>
      <c r="I437">
        <v>91</v>
      </c>
      <c r="J437">
        <f t="shared" si="24"/>
        <v>386</v>
      </c>
      <c r="K437" s="4">
        <f t="shared" si="25"/>
        <v>77.2</v>
      </c>
      <c r="L437">
        <f t="shared" si="26"/>
        <v>236</v>
      </c>
      <c r="M437" t="str">
        <f t="shared" si="27"/>
        <v>及格</v>
      </c>
    </row>
    <row r="438" hidden="1" spans="1:13">
      <c r="A438">
        <v>10437</v>
      </c>
      <c r="B438" t="s">
        <v>458</v>
      </c>
      <c r="C438" t="s">
        <v>14</v>
      </c>
      <c r="D438" t="s">
        <v>18</v>
      </c>
      <c r="E438">
        <v>79</v>
      </c>
      <c r="F438">
        <v>71</v>
      </c>
      <c r="G438">
        <v>93.5</v>
      </c>
      <c r="H438">
        <v>91.5</v>
      </c>
      <c r="I438">
        <v>64</v>
      </c>
      <c r="J438">
        <f t="shared" si="24"/>
        <v>399</v>
      </c>
      <c r="K438" s="4">
        <f t="shared" si="25"/>
        <v>79.8</v>
      </c>
      <c r="L438">
        <f t="shared" si="26"/>
        <v>185</v>
      </c>
      <c r="M438" t="str">
        <f t="shared" si="27"/>
        <v>及格</v>
      </c>
    </row>
    <row r="439" hidden="1" spans="1:13">
      <c r="A439">
        <v>10438</v>
      </c>
      <c r="B439" t="s">
        <v>459</v>
      </c>
      <c r="C439" t="s">
        <v>17</v>
      </c>
      <c r="D439" t="s">
        <v>37</v>
      </c>
      <c r="E439">
        <v>61.5</v>
      </c>
      <c r="F439">
        <v>69.5</v>
      </c>
      <c r="G439">
        <v>78.5</v>
      </c>
      <c r="H439">
        <v>76.5</v>
      </c>
      <c r="I439">
        <v>83</v>
      </c>
      <c r="J439">
        <f t="shared" si="24"/>
        <v>369</v>
      </c>
      <c r="K439" s="4">
        <f t="shared" si="25"/>
        <v>73.8</v>
      </c>
      <c r="L439">
        <f t="shared" si="26"/>
        <v>344</v>
      </c>
      <c r="M439" t="str">
        <f t="shared" si="27"/>
        <v>及格</v>
      </c>
    </row>
    <row r="440" hidden="1" spans="1:13">
      <c r="A440">
        <v>10439</v>
      </c>
      <c r="B440" t="s">
        <v>460</v>
      </c>
      <c r="C440" t="s">
        <v>14</v>
      </c>
      <c r="D440" t="s">
        <v>20</v>
      </c>
      <c r="E440">
        <v>66</v>
      </c>
      <c r="F440">
        <v>55.5</v>
      </c>
      <c r="G440">
        <v>64</v>
      </c>
      <c r="H440">
        <v>62</v>
      </c>
      <c r="I440">
        <v>78</v>
      </c>
      <c r="J440">
        <f t="shared" si="24"/>
        <v>325.5</v>
      </c>
      <c r="K440" s="4">
        <f t="shared" si="25"/>
        <v>65.1</v>
      </c>
      <c r="L440">
        <f t="shared" si="26"/>
        <v>486</v>
      </c>
      <c r="M440" t="str">
        <f t="shared" si="27"/>
        <v>及格</v>
      </c>
    </row>
    <row r="441" hidden="1" spans="1:13">
      <c r="A441">
        <v>10440</v>
      </c>
      <c r="B441" t="s">
        <v>461</v>
      </c>
      <c r="C441" t="s">
        <v>17</v>
      </c>
      <c r="D441" t="s">
        <v>37</v>
      </c>
      <c r="E441">
        <v>64</v>
      </c>
      <c r="F441">
        <v>91</v>
      </c>
      <c r="G441">
        <v>93.5</v>
      </c>
      <c r="H441">
        <v>91.5</v>
      </c>
      <c r="I441">
        <v>75.5</v>
      </c>
      <c r="J441">
        <f t="shared" si="24"/>
        <v>415.5</v>
      </c>
      <c r="K441" s="4">
        <f t="shared" si="25"/>
        <v>83.1</v>
      </c>
      <c r="L441">
        <f t="shared" si="26"/>
        <v>66</v>
      </c>
      <c r="M441" t="str">
        <f t="shared" si="27"/>
        <v>及格</v>
      </c>
    </row>
    <row r="442" spans="1:13">
      <c r="A442">
        <v>10441</v>
      </c>
      <c r="B442" t="s">
        <v>462</v>
      </c>
      <c r="C442" t="s">
        <v>17</v>
      </c>
      <c r="D442" t="s">
        <v>15</v>
      </c>
      <c r="E442">
        <v>96</v>
      </c>
      <c r="F442">
        <v>96</v>
      </c>
      <c r="G442">
        <v>73.5</v>
      </c>
      <c r="H442">
        <v>71.5</v>
      </c>
      <c r="I442">
        <v>79.5</v>
      </c>
      <c r="J442">
        <f t="shared" si="24"/>
        <v>416.5</v>
      </c>
      <c r="K442" s="4">
        <f t="shared" si="25"/>
        <v>83.3</v>
      </c>
      <c r="L442">
        <f t="shared" si="26"/>
        <v>60</v>
      </c>
      <c r="M442" t="str">
        <f t="shared" si="27"/>
        <v>及格</v>
      </c>
    </row>
    <row r="443" hidden="1" spans="1:13">
      <c r="A443">
        <v>10442</v>
      </c>
      <c r="B443" t="s">
        <v>463</v>
      </c>
      <c r="C443" t="s">
        <v>14</v>
      </c>
      <c r="D443" t="s">
        <v>37</v>
      </c>
      <c r="E443">
        <v>72</v>
      </c>
      <c r="F443">
        <v>91</v>
      </c>
      <c r="G443">
        <v>56</v>
      </c>
      <c r="H443">
        <v>54</v>
      </c>
      <c r="I443">
        <v>67</v>
      </c>
      <c r="J443">
        <f t="shared" si="24"/>
        <v>340</v>
      </c>
      <c r="K443" s="4">
        <f t="shared" si="25"/>
        <v>68</v>
      </c>
      <c r="L443">
        <f t="shared" si="26"/>
        <v>448</v>
      </c>
      <c r="M443" t="str">
        <f t="shared" si="27"/>
        <v>及格</v>
      </c>
    </row>
    <row r="444" hidden="1" spans="1:13">
      <c r="A444">
        <v>10443</v>
      </c>
      <c r="B444" t="s">
        <v>464</v>
      </c>
      <c r="C444" t="s">
        <v>17</v>
      </c>
      <c r="D444" t="s">
        <v>37</v>
      </c>
      <c r="E444">
        <v>90</v>
      </c>
      <c r="F444">
        <v>70.5</v>
      </c>
      <c r="G444">
        <v>84.5</v>
      </c>
      <c r="H444">
        <v>82.5</v>
      </c>
      <c r="I444">
        <v>75.5</v>
      </c>
      <c r="J444">
        <f t="shared" si="24"/>
        <v>403</v>
      </c>
      <c r="K444" s="4">
        <f t="shared" si="25"/>
        <v>80.6</v>
      </c>
      <c r="L444">
        <f t="shared" si="26"/>
        <v>161</v>
      </c>
      <c r="M444" t="str">
        <f t="shared" si="27"/>
        <v>及格</v>
      </c>
    </row>
    <row r="445" hidden="1" spans="1:13">
      <c r="A445">
        <v>10444</v>
      </c>
      <c r="B445" t="s">
        <v>465</v>
      </c>
      <c r="C445" t="s">
        <v>17</v>
      </c>
      <c r="D445" t="s">
        <v>15</v>
      </c>
      <c r="E445">
        <v>60.5</v>
      </c>
      <c r="F445">
        <v>62</v>
      </c>
      <c r="G445">
        <v>72.5</v>
      </c>
      <c r="H445">
        <v>70.5</v>
      </c>
      <c r="I445">
        <v>75</v>
      </c>
      <c r="J445">
        <f t="shared" si="24"/>
        <v>340.5</v>
      </c>
      <c r="K445" s="4">
        <f t="shared" si="25"/>
        <v>68.1</v>
      </c>
      <c r="L445">
        <f t="shared" si="26"/>
        <v>440</v>
      </c>
      <c r="M445" t="str">
        <f t="shared" si="27"/>
        <v>及格</v>
      </c>
    </row>
    <row r="446" hidden="1" spans="1:13">
      <c r="A446">
        <v>10445</v>
      </c>
      <c r="B446" t="s">
        <v>466</v>
      </c>
      <c r="C446" t="s">
        <v>17</v>
      </c>
      <c r="D446" t="s">
        <v>20</v>
      </c>
      <c r="E446">
        <v>70.5</v>
      </c>
      <c r="F446">
        <v>78</v>
      </c>
      <c r="G446">
        <v>78.5</v>
      </c>
      <c r="H446">
        <v>88</v>
      </c>
      <c r="I446">
        <v>90</v>
      </c>
      <c r="J446">
        <f t="shared" si="24"/>
        <v>405</v>
      </c>
      <c r="K446" s="4">
        <f t="shared" si="25"/>
        <v>81</v>
      </c>
      <c r="L446">
        <f t="shared" si="26"/>
        <v>148</v>
      </c>
      <c r="M446" t="str">
        <f t="shared" si="27"/>
        <v>及格</v>
      </c>
    </row>
    <row r="447" hidden="1" spans="1:13">
      <c r="A447">
        <v>10446</v>
      </c>
      <c r="B447" t="s">
        <v>467</v>
      </c>
      <c r="C447" t="s">
        <v>14</v>
      </c>
      <c r="D447" t="s">
        <v>37</v>
      </c>
      <c r="E447">
        <v>84.5</v>
      </c>
      <c r="F447">
        <v>76</v>
      </c>
      <c r="G447">
        <v>85</v>
      </c>
      <c r="H447">
        <v>78.5</v>
      </c>
      <c r="I447">
        <v>86</v>
      </c>
      <c r="J447">
        <f t="shared" si="24"/>
        <v>410</v>
      </c>
      <c r="K447" s="4">
        <f t="shared" si="25"/>
        <v>82</v>
      </c>
      <c r="L447">
        <f t="shared" si="26"/>
        <v>99</v>
      </c>
      <c r="M447" t="str">
        <f t="shared" si="27"/>
        <v>及格</v>
      </c>
    </row>
    <row r="448" hidden="1" spans="1:13">
      <c r="A448">
        <v>10447</v>
      </c>
      <c r="B448" t="s">
        <v>468</v>
      </c>
      <c r="C448" t="s">
        <v>14</v>
      </c>
      <c r="D448" t="s">
        <v>15</v>
      </c>
      <c r="E448">
        <v>74.5</v>
      </c>
      <c r="F448">
        <v>67</v>
      </c>
      <c r="G448">
        <v>69</v>
      </c>
      <c r="H448">
        <v>67</v>
      </c>
      <c r="I448">
        <v>62</v>
      </c>
      <c r="J448">
        <f t="shared" si="24"/>
        <v>339.5</v>
      </c>
      <c r="K448" s="4">
        <f t="shared" si="25"/>
        <v>67.9</v>
      </c>
      <c r="L448">
        <f t="shared" si="26"/>
        <v>452</v>
      </c>
      <c r="M448" t="str">
        <f t="shared" si="27"/>
        <v>及格</v>
      </c>
    </row>
    <row r="449" hidden="1" spans="1:13">
      <c r="A449">
        <v>10448</v>
      </c>
      <c r="B449" t="s">
        <v>469</v>
      </c>
      <c r="C449" t="s">
        <v>14</v>
      </c>
      <c r="D449" t="s">
        <v>18</v>
      </c>
      <c r="E449">
        <v>63</v>
      </c>
      <c r="F449">
        <v>66.5</v>
      </c>
      <c r="G449">
        <v>66</v>
      </c>
      <c r="H449">
        <v>64</v>
      </c>
      <c r="I449">
        <v>75</v>
      </c>
      <c r="J449">
        <f t="shared" si="24"/>
        <v>334.5</v>
      </c>
      <c r="K449" s="4">
        <f t="shared" si="25"/>
        <v>66.9</v>
      </c>
      <c r="L449">
        <f t="shared" si="26"/>
        <v>473</v>
      </c>
      <c r="M449" t="str">
        <f t="shared" si="27"/>
        <v>及格</v>
      </c>
    </row>
    <row r="450" hidden="1" spans="1:13">
      <c r="A450">
        <v>10449</v>
      </c>
      <c r="B450" t="s">
        <v>470</v>
      </c>
      <c r="C450" t="s">
        <v>17</v>
      </c>
      <c r="D450" t="s">
        <v>37</v>
      </c>
      <c r="E450">
        <v>67</v>
      </c>
      <c r="F450">
        <v>92</v>
      </c>
      <c r="G450">
        <v>91</v>
      </c>
      <c r="H450">
        <v>89</v>
      </c>
      <c r="I450">
        <v>76</v>
      </c>
      <c r="J450">
        <f t="shared" si="24"/>
        <v>415</v>
      </c>
      <c r="K450" s="4">
        <f t="shared" si="25"/>
        <v>83</v>
      </c>
      <c r="L450">
        <f t="shared" si="26"/>
        <v>68</v>
      </c>
      <c r="M450" t="str">
        <f t="shared" si="27"/>
        <v>及格</v>
      </c>
    </row>
    <row r="451" hidden="1" spans="1:13">
      <c r="A451">
        <v>10450</v>
      </c>
      <c r="B451" t="s">
        <v>471</v>
      </c>
      <c r="C451" t="s">
        <v>17</v>
      </c>
      <c r="D451" t="s">
        <v>15</v>
      </c>
      <c r="E451">
        <v>85</v>
      </c>
      <c r="F451">
        <v>71</v>
      </c>
      <c r="G451">
        <v>63</v>
      </c>
      <c r="H451">
        <v>61</v>
      </c>
      <c r="I451">
        <v>63</v>
      </c>
      <c r="J451">
        <f t="shared" ref="J451:J503" si="28">SUM(E451:I451)</f>
        <v>343</v>
      </c>
      <c r="K451" s="4">
        <f t="shared" ref="K451:K503" si="29">AVERAGE(E451:I451)</f>
        <v>68.6</v>
      </c>
      <c r="L451">
        <f t="shared" ref="L451:L503" si="30">RANK(K451,$K$2:$K$503)</f>
        <v>419</v>
      </c>
      <c r="M451" t="str">
        <f t="shared" ref="M451:M503" si="31">IF(K451&gt;=85,"优秀",IF(K451&gt;=60,"及格","不及格"))</f>
        <v>及格</v>
      </c>
    </row>
    <row r="452" hidden="1" spans="1:13">
      <c r="A452">
        <v>10451</v>
      </c>
      <c r="B452" t="s">
        <v>472</v>
      </c>
      <c r="C452" t="s">
        <v>17</v>
      </c>
      <c r="D452" t="s">
        <v>15</v>
      </c>
      <c r="E452">
        <v>63</v>
      </c>
      <c r="F452">
        <v>73.5</v>
      </c>
      <c r="G452">
        <v>65</v>
      </c>
      <c r="H452">
        <v>63</v>
      </c>
      <c r="I452">
        <v>76</v>
      </c>
      <c r="J452">
        <f t="shared" si="28"/>
        <v>340.5</v>
      </c>
      <c r="K452" s="4">
        <f t="shared" si="29"/>
        <v>68.1</v>
      </c>
      <c r="L452">
        <f t="shared" si="30"/>
        <v>440</v>
      </c>
      <c r="M452" t="str">
        <f t="shared" si="31"/>
        <v>及格</v>
      </c>
    </row>
    <row r="453" hidden="1" spans="1:13">
      <c r="A453">
        <v>10452</v>
      </c>
      <c r="B453" t="s">
        <v>473</v>
      </c>
      <c r="C453" t="s">
        <v>14</v>
      </c>
      <c r="D453" t="s">
        <v>30</v>
      </c>
      <c r="E453">
        <v>74</v>
      </c>
      <c r="F453">
        <v>76</v>
      </c>
      <c r="G453">
        <v>76</v>
      </c>
      <c r="H453">
        <v>80.5</v>
      </c>
      <c r="I453">
        <v>85.5</v>
      </c>
      <c r="J453">
        <f t="shared" si="28"/>
        <v>392</v>
      </c>
      <c r="K453" s="4">
        <f t="shared" si="29"/>
        <v>78.4</v>
      </c>
      <c r="L453">
        <f t="shared" si="30"/>
        <v>195</v>
      </c>
      <c r="M453" t="str">
        <f t="shared" si="31"/>
        <v>及格</v>
      </c>
    </row>
    <row r="454" hidden="1" spans="1:13">
      <c r="A454">
        <v>10453</v>
      </c>
      <c r="B454" t="s">
        <v>474</v>
      </c>
      <c r="C454" t="s">
        <v>17</v>
      </c>
      <c r="D454" t="s">
        <v>23</v>
      </c>
      <c r="E454">
        <v>97</v>
      </c>
      <c r="F454">
        <v>92</v>
      </c>
      <c r="G454">
        <v>87.5</v>
      </c>
      <c r="H454">
        <v>85.5</v>
      </c>
      <c r="I454">
        <v>88</v>
      </c>
      <c r="J454">
        <f t="shared" si="28"/>
        <v>450</v>
      </c>
      <c r="K454" s="4">
        <f t="shared" si="29"/>
        <v>90</v>
      </c>
      <c r="L454">
        <f t="shared" si="30"/>
        <v>24</v>
      </c>
      <c r="M454" t="str">
        <f t="shared" si="31"/>
        <v>优秀</v>
      </c>
    </row>
    <row r="455" hidden="1" spans="1:13">
      <c r="A455">
        <v>10454</v>
      </c>
      <c r="B455" t="s">
        <v>475</v>
      </c>
      <c r="C455" t="s">
        <v>17</v>
      </c>
      <c r="D455" t="s">
        <v>30</v>
      </c>
      <c r="E455">
        <v>63</v>
      </c>
      <c r="F455">
        <v>58.5</v>
      </c>
      <c r="G455">
        <v>52.5</v>
      </c>
      <c r="H455">
        <v>50.5</v>
      </c>
      <c r="I455">
        <v>62</v>
      </c>
      <c r="J455">
        <f t="shared" si="28"/>
        <v>286.5</v>
      </c>
      <c r="K455" s="4">
        <f t="shared" si="29"/>
        <v>57.3</v>
      </c>
      <c r="L455">
        <f t="shared" si="30"/>
        <v>502</v>
      </c>
      <c r="M455" t="str">
        <f t="shared" si="31"/>
        <v>不及格</v>
      </c>
    </row>
    <row r="456" hidden="1" spans="1:13">
      <c r="A456">
        <v>10455</v>
      </c>
      <c r="B456" t="s">
        <v>476</v>
      </c>
      <c r="C456" t="s">
        <v>14</v>
      </c>
      <c r="D456" t="s">
        <v>15</v>
      </c>
      <c r="E456">
        <v>90</v>
      </c>
      <c r="F456">
        <v>77.5</v>
      </c>
      <c r="G456">
        <v>70</v>
      </c>
      <c r="H456">
        <v>79</v>
      </c>
      <c r="I456">
        <v>92.5</v>
      </c>
      <c r="J456">
        <f t="shared" si="28"/>
        <v>409</v>
      </c>
      <c r="K456" s="4">
        <f t="shared" si="29"/>
        <v>81.8</v>
      </c>
      <c r="L456">
        <f t="shared" si="30"/>
        <v>105</v>
      </c>
      <c r="M456" t="str">
        <f t="shared" si="31"/>
        <v>及格</v>
      </c>
    </row>
    <row r="457" hidden="1" spans="1:13">
      <c r="A457">
        <v>10456</v>
      </c>
      <c r="B457" t="s">
        <v>477</v>
      </c>
      <c r="C457" t="s">
        <v>17</v>
      </c>
      <c r="D457" t="s">
        <v>20</v>
      </c>
      <c r="E457">
        <v>84.5</v>
      </c>
      <c r="F457">
        <v>73</v>
      </c>
      <c r="G457">
        <v>80</v>
      </c>
      <c r="H457">
        <v>78</v>
      </c>
      <c r="I457">
        <v>84</v>
      </c>
      <c r="J457">
        <f t="shared" si="28"/>
        <v>399.5</v>
      </c>
      <c r="K457" s="4">
        <f t="shared" si="29"/>
        <v>79.9</v>
      </c>
      <c r="L457">
        <f t="shared" si="30"/>
        <v>183</v>
      </c>
      <c r="M457" t="str">
        <f t="shared" si="31"/>
        <v>及格</v>
      </c>
    </row>
    <row r="458" hidden="1" spans="1:13">
      <c r="A458">
        <v>10457</v>
      </c>
      <c r="B458" t="s">
        <v>478</v>
      </c>
      <c r="C458" t="s">
        <v>14</v>
      </c>
      <c r="D458" t="s">
        <v>30</v>
      </c>
      <c r="E458">
        <v>81</v>
      </c>
      <c r="F458">
        <v>79</v>
      </c>
      <c r="G458">
        <v>63</v>
      </c>
      <c r="H458">
        <v>61</v>
      </c>
      <c r="I458">
        <v>70</v>
      </c>
      <c r="J458">
        <f t="shared" si="28"/>
        <v>354</v>
      </c>
      <c r="K458" s="4">
        <f t="shared" si="29"/>
        <v>70.8</v>
      </c>
      <c r="L458">
        <f t="shared" si="30"/>
        <v>403</v>
      </c>
      <c r="M458" t="str">
        <f t="shared" si="31"/>
        <v>及格</v>
      </c>
    </row>
    <row r="459" hidden="1" spans="1:13">
      <c r="A459">
        <v>10458</v>
      </c>
      <c r="B459" t="s">
        <v>479</v>
      </c>
      <c r="C459" t="s">
        <v>17</v>
      </c>
      <c r="D459" t="s">
        <v>30</v>
      </c>
      <c r="E459">
        <v>72.5</v>
      </c>
      <c r="F459">
        <v>75</v>
      </c>
      <c r="G459">
        <v>49.5</v>
      </c>
      <c r="H459">
        <v>47.5</v>
      </c>
      <c r="I459">
        <v>80</v>
      </c>
      <c r="J459">
        <f t="shared" si="28"/>
        <v>324.5</v>
      </c>
      <c r="K459" s="4">
        <f t="shared" si="29"/>
        <v>64.9</v>
      </c>
      <c r="L459">
        <f t="shared" si="30"/>
        <v>488</v>
      </c>
      <c r="M459" t="str">
        <f t="shared" si="31"/>
        <v>及格</v>
      </c>
    </row>
    <row r="460" hidden="1" spans="1:13">
      <c r="A460">
        <v>10459</v>
      </c>
      <c r="B460" t="s">
        <v>480</v>
      </c>
      <c r="C460" t="s">
        <v>14</v>
      </c>
      <c r="D460" t="s">
        <v>18</v>
      </c>
      <c r="E460">
        <v>90</v>
      </c>
      <c r="F460">
        <v>69.5</v>
      </c>
      <c r="G460">
        <v>76.5</v>
      </c>
      <c r="H460">
        <v>88</v>
      </c>
      <c r="I460">
        <v>82.5</v>
      </c>
      <c r="J460">
        <f t="shared" si="28"/>
        <v>406.5</v>
      </c>
      <c r="K460" s="4">
        <f t="shared" si="29"/>
        <v>81.3</v>
      </c>
      <c r="L460">
        <f t="shared" si="30"/>
        <v>133</v>
      </c>
      <c r="M460" t="str">
        <f t="shared" si="31"/>
        <v>及格</v>
      </c>
    </row>
    <row r="461" hidden="1" spans="1:13">
      <c r="A461">
        <v>10460</v>
      </c>
      <c r="B461" t="s">
        <v>481</v>
      </c>
      <c r="C461" t="s">
        <v>14</v>
      </c>
      <c r="D461" t="s">
        <v>20</v>
      </c>
      <c r="E461">
        <v>65</v>
      </c>
      <c r="F461">
        <v>63.5</v>
      </c>
      <c r="G461">
        <v>71</v>
      </c>
      <c r="H461">
        <v>69</v>
      </c>
      <c r="I461">
        <v>72.5</v>
      </c>
      <c r="J461">
        <f t="shared" si="28"/>
        <v>341</v>
      </c>
      <c r="K461" s="4">
        <f t="shared" si="29"/>
        <v>68.2</v>
      </c>
      <c r="L461">
        <f t="shared" si="30"/>
        <v>435</v>
      </c>
      <c r="M461" t="str">
        <f t="shared" si="31"/>
        <v>及格</v>
      </c>
    </row>
    <row r="462" hidden="1" spans="1:13">
      <c r="A462">
        <v>10461</v>
      </c>
      <c r="B462" t="s">
        <v>482</v>
      </c>
      <c r="C462" t="s">
        <v>17</v>
      </c>
      <c r="D462" t="s">
        <v>37</v>
      </c>
      <c r="E462">
        <v>96</v>
      </c>
      <c r="F462">
        <v>74.5</v>
      </c>
      <c r="G462">
        <v>87.5</v>
      </c>
      <c r="H462">
        <v>85.5</v>
      </c>
      <c r="I462">
        <v>73</v>
      </c>
      <c r="J462">
        <f t="shared" si="28"/>
        <v>416.5</v>
      </c>
      <c r="K462" s="4">
        <f t="shared" si="29"/>
        <v>83.3</v>
      </c>
      <c r="L462">
        <f t="shared" si="30"/>
        <v>60</v>
      </c>
      <c r="M462" t="str">
        <f t="shared" si="31"/>
        <v>及格</v>
      </c>
    </row>
    <row r="463" hidden="1" spans="1:13">
      <c r="A463">
        <v>10462</v>
      </c>
      <c r="B463" t="s">
        <v>483</v>
      </c>
      <c r="C463" t="s">
        <v>14</v>
      </c>
      <c r="D463" t="s">
        <v>18</v>
      </c>
      <c r="E463">
        <v>77</v>
      </c>
      <c r="F463">
        <v>88</v>
      </c>
      <c r="G463">
        <v>81.5</v>
      </c>
      <c r="H463">
        <v>79.5</v>
      </c>
      <c r="I463">
        <v>76.5</v>
      </c>
      <c r="J463">
        <f t="shared" si="28"/>
        <v>402.5</v>
      </c>
      <c r="K463" s="4">
        <f t="shared" si="29"/>
        <v>80.5</v>
      </c>
      <c r="L463">
        <f t="shared" si="30"/>
        <v>164</v>
      </c>
      <c r="M463" t="str">
        <f t="shared" si="31"/>
        <v>及格</v>
      </c>
    </row>
    <row r="464" hidden="1" spans="1:13">
      <c r="A464">
        <v>10463</v>
      </c>
      <c r="B464" t="s">
        <v>484</v>
      </c>
      <c r="C464" t="s">
        <v>17</v>
      </c>
      <c r="D464" t="s">
        <v>18</v>
      </c>
      <c r="E464">
        <v>85.5</v>
      </c>
      <c r="F464">
        <v>62.5</v>
      </c>
      <c r="G464">
        <v>71.5</v>
      </c>
      <c r="H464">
        <v>69.5</v>
      </c>
      <c r="I464">
        <v>83.5</v>
      </c>
      <c r="J464">
        <f t="shared" si="28"/>
        <v>372.5</v>
      </c>
      <c r="K464" s="4">
        <f t="shared" si="29"/>
        <v>74.5</v>
      </c>
      <c r="L464">
        <f t="shared" si="30"/>
        <v>321</v>
      </c>
      <c r="M464" t="str">
        <f t="shared" si="31"/>
        <v>及格</v>
      </c>
    </row>
    <row r="465" hidden="1" spans="1:13">
      <c r="A465">
        <v>10464</v>
      </c>
      <c r="B465" t="s">
        <v>485</v>
      </c>
      <c r="C465" t="s">
        <v>17</v>
      </c>
      <c r="D465" t="s">
        <v>15</v>
      </c>
      <c r="E465">
        <v>67</v>
      </c>
      <c r="F465">
        <v>74.5</v>
      </c>
      <c r="G465">
        <v>72</v>
      </c>
      <c r="H465">
        <v>70</v>
      </c>
      <c r="I465">
        <v>57</v>
      </c>
      <c r="J465">
        <f t="shared" si="28"/>
        <v>340.5</v>
      </c>
      <c r="K465" s="4">
        <f t="shared" si="29"/>
        <v>68.1</v>
      </c>
      <c r="L465">
        <f t="shared" si="30"/>
        <v>440</v>
      </c>
      <c r="M465" t="str">
        <f t="shared" si="31"/>
        <v>及格</v>
      </c>
    </row>
    <row r="466" hidden="1" spans="1:13">
      <c r="A466">
        <v>10465</v>
      </c>
      <c r="B466" t="s">
        <v>486</v>
      </c>
      <c r="C466" t="s">
        <v>14</v>
      </c>
      <c r="D466" t="s">
        <v>15</v>
      </c>
      <c r="E466">
        <v>79.5</v>
      </c>
      <c r="F466">
        <v>59</v>
      </c>
      <c r="G466">
        <v>94</v>
      </c>
      <c r="H466">
        <v>97.5</v>
      </c>
      <c r="I466">
        <v>91</v>
      </c>
      <c r="J466">
        <f t="shared" si="28"/>
        <v>421</v>
      </c>
      <c r="K466" s="4">
        <f t="shared" si="29"/>
        <v>84.2</v>
      </c>
      <c r="L466">
        <f t="shared" si="30"/>
        <v>48</v>
      </c>
      <c r="M466" t="str">
        <f t="shared" si="31"/>
        <v>及格</v>
      </c>
    </row>
    <row r="467" hidden="1" spans="1:13">
      <c r="A467">
        <v>10466</v>
      </c>
      <c r="B467" t="s">
        <v>487</v>
      </c>
      <c r="C467" t="s">
        <v>14</v>
      </c>
      <c r="D467" t="s">
        <v>23</v>
      </c>
      <c r="E467">
        <v>61</v>
      </c>
      <c r="F467">
        <v>65.5</v>
      </c>
      <c r="G467">
        <v>70</v>
      </c>
      <c r="H467">
        <v>68</v>
      </c>
      <c r="I467">
        <v>71</v>
      </c>
      <c r="J467">
        <f t="shared" si="28"/>
        <v>335.5</v>
      </c>
      <c r="K467" s="4">
        <f t="shared" si="29"/>
        <v>67.1</v>
      </c>
      <c r="L467">
        <f t="shared" si="30"/>
        <v>468</v>
      </c>
      <c r="M467" t="str">
        <f t="shared" si="31"/>
        <v>及格</v>
      </c>
    </row>
    <row r="468" hidden="1" spans="1:13">
      <c r="A468">
        <v>10467</v>
      </c>
      <c r="B468" t="s">
        <v>488</v>
      </c>
      <c r="C468" t="s">
        <v>17</v>
      </c>
      <c r="D468" t="s">
        <v>37</v>
      </c>
      <c r="E468">
        <v>57</v>
      </c>
      <c r="F468">
        <v>82</v>
      </c>
      <c r="G468">
        <v>67.5</v>
      </c>
      <c r="H468">
        <v>65.5</v>
      </c>
      <c r="I468">
        <v>78.5</v>
      </c>
      <c r="J468">
        <f t="shared" si="28"/>
        <v>350.5</v>
      </c>
      <c r="K468" s="4">
        <f t="shared" si="29"/>
        <v>70.1</v>
      </c>
      <c r="L468">
        <f t="shared" si="30"/>
        <v>409</v>
      </c>
      <c r="M468" t="str">
        <f t="shared" si="31"/>
        <v>及格</v>
      </c>
    </row>
    <row r="469" hidden="1" spans="1:13">
      <c r="A469">
        <v>10468</v>
      </c>
      <c r="B469" t="s">
        <v>489</v>
      </c>
      <c r="C469" t="s">
        <v>14</v>
      </c>
      <c r="D469" t="s">
        <v>18</v>
      </c>
      <c r="E469">
        <v>81</v>
      </c>
      <c r="F469">
        <v>81</v>
      </c>
      <c r="G469">
        <v>75</v>
      </c>
      <c r="H469">
        <v>90</v>
      </c>
      <c r="I469">
        <v>82.5</v>
      </c>
      <c r="J469">
        <f t="shared" si="28"/>
        <v>409.5</v>
      </c>
      <c r="K469" s="4">
        <f t="shared" si="29"/>
        <v>81.9</v>
      </c>
      <c r="L469">
        <f t="shared" si="30"/>
        <v>103</v>
      </c>
      <c r="M469" t="str">
        <f t="shared" si="31"/>
        <v>及格</v>
      </c>
    </row>
    <row r="470" hidden="1" spans="1:13">
      <c r="A470">
        <v>10469</v>
      </c>
      <c r="B470" t="s">
        <v>490</v>
      </c>
      <c r="C470" t="s">
        <v>17</v>
      </c>
      <c r="D470" t="s">
        <v>23</v>
      </c>
      <c r="E470">
        <v>79</v>
      </c>
      <c r="F470">
        <v>81.5</v>
      </c>
      <c r="G470">
        <v>79.5</v>
      </c>
      <c r="H470">
        <v>77.5</v>
      </c>
      <c r="I470">
        <v>67.5</v>
      </c>
      <c r="J470">
        <f t="shared" si="28"/>
        <v>385</v>
      </c>
      <c r="K470" s="4">
        <f t="shared" si="29"/>
        <v>77</v>
      </c>
      <c r="L470">
        <f t="shared" si="30"/>
        <v>241</v>
      </c>
      <c r="M470" t="str">
        <f t="shared" si="31"/>
        <v>及格</v>
      </c>
    </row>
    <row r="471" hidden="1" spans="1:13">
      <c r="A471">
        <v>10470</v>
      </c>
      <c r="B471" t="s">
        <v>491</v>
      </c>
      <c r="C471" t="s">
        <v>17</v>
      </c>
      <c r="D471" t="s">
        <v>18</v>
      </c>
      <c r="E471">
        <v>73.5</v>
      </c>
      <c r="F471">
        <v>62</v>
      </c>
      <c r="G471">
        <v>71.5</v>
      </c>
      <c r="H471">
        <v>69.5</v>
      </c>
      <c r="I471">
        <v>79.5</v>
      </c>
      <c r="J471">
        <f t="shared" si="28"/>
        <v>356</v>
      </c>
      <c r="K471" s="4">
        <f t="shared" si="29"/>
        <v>71.2</v>
      </c>
      <c r="L471">
        <f t="shared" si="30"/>
        <v>399</v>
      </c>
      <c r="M471" t="str">
        <f t="shared" si="31"/>
        <v>及格</v>
      </c>
    </row>
    <row r="472" hidden="1" spans="1:13">
      <c r="A472">
        <v>10471</v>
      </c>
      <c r="B472" t="s">
        <v>492</v>
      </c>
      <c r="C472" t="s">
        <v>17</v>
      </c>
      <c r="D472" t="s">
        <v>20</v>
      </c>
      <c r="E472">
        <v>72</v>
      </c>
      <c r="F472">
        <v>74.5</v>
      </c>
      <c r="G472">
        <v>65</v>
      </c>
      <c r="H472">
        <v>67</v>
      </c>
      <c r="I472">
        <v>62</v>
      </c>
      <c r="J472">
        <f t="shared" si="28"/>
        <v>340.5</v>
      </c>
      <c r="K472" s="4">
        <f t="shared" si="29"/>
        <v>68.1</v>
      </c>
      <c r="L472">
        <f t="shared" si="30"/>
        <v>440</v>
      </c>
      <c r="M472" t="str">
        <f t="shared" si="31"/>
        <v>及格</v>
      </c>
    </row>
    <row r="473" hidden="1" spans="1:13">
      <c r="A473">
        <v>10472</v>
      </c>
      <c r="B473" t="s">
        <v>493</v>
      </c>
      <c r="C473" t="s">
        <v>17</v>
      </c>
      <c r="D473" t="s">
        <v>37</v>
      </c>
      <c r="E473">
        <v>94.5</v>
      </c>
      <c r="F473">
        <v>81.5</v>
      </c>
      <c r="G473">
        <v>71.5</v>
      </c>
      <c r="H473">
        <v>69.5</v>
      </c>
      <c r="I473">
        <v>56</v>
      </c>
      <c r="J473">
        <f t="shared" si="28"/>
        <v>373</v>
      </c>
      <c r="K473" s="4">
        <f t="shared" si="29"/>
        <v>74.6</v>
      </c>
      <c r="L473">
        <f t="shared" si="30"/>
        <v>318</v>
      </c>
      <c r="M473" t="str">
        <f t="shared" si="31"/>
        <v>及格</v>
      </c>
    </row>
    <row r="474" hidden="1" spans="1:13">
      <c r="A474">
        <v>10473</v>
      </c>
      <c r="B474" t="s">
        <v>494</v>
      </c>
      <c r="C474" t="s">
        <v>14</v>
      </c>
      <c r="D474" t="s">
        <v>15</v>
      </c>
      <c r="E474">
        <v>90.5</v>
      </c>
      <c r="F474">
        <v>81</v>
      </c>
      <c r="G474">
        <v>80.5</v>
      </c>
      <c r="H474">
        <v>78.5</v>
      </c>
      <c r="I474">
        <v>82.5</v>
      </c>
      <c r="J474">
        <f t="shared" si="28"/>
        <v>413</v>
      </c>
      <c r="K474" s="4">
        <f t="shared" si="29"/>
        <v>82.6</v>
      </c>
      <c r="L474">
        <f t="shared" si="30"/>
        <v>76</v>
      </c>
      <c r="M474" t="str">
        <f t="shared" si="31"/>
        <v>及格</v>
      </c>
    </row>
    <row r="475" hidden="1" spans="1:13">
      <c r="A475">
        <v>10474</v>
      </c>
      <c r="B475" t="s">
        <v>495</v>
      </c>
      <c r="C475" t="s">
        <v>14</v>
      </c>
      <c r="D475" t="s">
        <v>20</v>
      </c>
      <c r="E475">
        <v>62</v>
      </c>
      <c r="F475">
        <v>60</v>
      </c>
      <c r="G475">
        <v>56</v>
      </c>
      <c r="H475">
        <v>54</v>
      </c>
      <c r="I475">
        <v>86.5</v>
      </c>
      <c r="J475">
        <f t="shared" si="28"/>
        <v>318.5</v>
      </c>
      <c r="K475" s="4">
        <f t="shared" si="29"/>
        <v>63.7</v>
      </c>
      <c r="L475">
        <f t="shared" si="30"/>
        <v>492</v>
      </c>
      <c r="M475" t="str">
        <f t="shared" si="31"/>
        <v>及格</v>
      </c>
    </row>
    <row r="476" hidden="1" spans="1:13">
      <c r="A476">
        <v>10475</v>
      </c>
      <c r="B476" t="s">
        <v>496</v>
      </c>
      <c r="C476" t="s">
        <v>17</v>
      </c>
      <c r="D476" t="s">
        <v>37</v>
      </c>
      <c r="E476">
        <v>61.5</v>
      </c>
      <c r="F476">
        <v>74.5</v>
      </c>
      <c r="G476">
        <v>72</v>
      </c>
      <c r="H476">
        <v>70</v>
      </c>
      <c r="I476">
        <v>87.5</v>
      </c>
      <c r="J476">
        <f t="shared" si="28"/>
        <v>365.5</v>
      </c>
      <c r="K476" s="4">
        <f t="shared" si="29"/>
        <v>73.1</v>
      </c>
      <c r="L476">
        <f t="shared" si="30"/>
        <v>361</v>
      </c>
      <c r="M476" t="str">
        <f t="shared" si="31"/>
        <v>及格</v>
      </c>
    </row>
    <row r="477" hidden="1" spans="1:13">
      <c r="A477">
        <v>10476</v>
      </c>
      <c r="B477" t="s">
        <v>497</v>
      </c>
      <c r="C477" t="s">
        <v>14</v>
      </c>
      <c r="D477" t="s">
        <v>20</v>
      </c>
      <c r="E477">
        <v>88</v>
      </c>
      <c r="F477">
        <v>96.5</v>
      </c>
      <c r="G477">
        <v>90</v>
      </c>
      <c r="H477">
        <v>79.5</v>
      </c>
      <c r="I477">
        <v>68.5</v>
      </c>
      <c r="J477">
        <f t="shared" si="28"/>
        <v>422.5</v>
      </c>
      <c r="K477" s="4">
        <f t="shared" si="29"/>
        <v>84.5</v>
      </c>
      <c r="L477">
        <f t="shared" si="30"/>
        <v>44</v>
      </c>
      <c r="M477" t="str">
        <f t="shared" si="31"/>
        <v>及格</v>
      </c>
    </row>
    <row r="478" hidden="1" spans="1:13">
      <c r="A478">
        <v>10477</v>
      </c>
      <c r="B478" t="s">
        <v>498</v>
      </c>
      <c r="C478" t="s">
        <v>17</v>
      </c>
      <c r="D478" t="s">
        <v>37</v>
      </c>
      <c r="E478">
        <v>90</v>
      </c>
      <c r="F478">
        <v>68</v>
      </c>
      <c r="G478">
        <v>88.5</v>
      </c>
      <c r="H478">
        <v>86.5</v>
      </c>
      <c r="I478">
        <v>84.5</v>
      </c>
      <c r="J478">
        <f t="shared" si="28"/>
        <v>417.5</v>
      </c>
      <c r="K478" s="4">
        <f t="shared" si="29"/>
        <v>83.5</v>
      </c>
      <c r="L478">
        <f t="shared" si="30"/>
        <v>58</v>
      </c>
      <c r="M478" t="str">
        <f t="shared" si="31"/>
        <v>及格</v>
      </c>
    </row>
    <row r="479" hidden="1" spans="1:13">
      <c r="A479">
        <v>10478</v>
      </c>
      <c r="B479" t="s">
        <v>499</v>
      </c>
      <c r="C479" t="s">
        <v>14</v>
      </c>
      <c r="D479" t="s">
        <v>30</v>
      </c>
      <c r="E479">
        <v>46.5</v>
      </c>
      <c r="F479">
        <v>75.5</v>
      </c>
      <c r="G479">
        <v>80.5</v>
      </c>
      <c r="H479">
        <v>78.5</v>
      </c>
      <c r="I479">
        <v>88</v>
      </c>
      <c r="J479">
        <f t="shared" si="28"/>
        <v>369</v>
      </c>
      <c r="K479" s="4">
        <f t="shared" si="29"/>
        <v>73.8</v>
      </c>
      <c r="L479">
        <f t="shared" si="30"/>
        <v>344</v>
      </c>
      <c r="M479" t="str">
        <f t="shared" si="31"/>
        <v>及格</v>
      </c>
    </row>
    <row r="480" hidden="1" spans="1:13">
      <c r="A480">
        <v>10479</v>
      </c>
      <c r="B480" t="s">
        <v>500</v>
      </c>
      <c r="C480" t="s">
        <v>17</v>
      </c>
      <c r="D480" t="s">
        <v>30</v>
      </c>
      <c r="E480">
        <v>72.5</v>
      </c>
      <c r="F480">
        <v>63</v>
      </c>
      <c r="G480">
        <v>76</v>
      </c>
      <c r="H480">
        <v>74</v>
      </c>
      <c r="I480">
        <v>89.5</v>
      </c>
      <c r="J480">
        <f t="shared" si="28"/>
        <v>375</v>
      </c>
      <c r="K480" s="4">
        <f t="shared" si="29"/>
        <v>75</v>
      </c>
      <c r="L480">
        <f t="shared" si="30"/>
        <v>312</v>
      </c>
      <c r="M480" t="str">
        <f t="shared" si="31"/>
        <v>及格</v>
      </c>
    </row>
    <row r="481" hidden="1" spans="1:13">
      <c r="A481">
        <v>10480</v>
      </c>
      <c r="B481" t="s">
        <v>501</v>
      </c>
      <c r="C481" t="s">
        <v>17</v>
      </c>
      <c r="D481" t="s">
        <v>20</v>
      </c>
      <c r="E481">
        <v>81</v>
      </c>
      <c r="F481">
        <v>74</v>
      </c>
      <c r="G481">
        <v>75</v>
      </c>
      <c r="H481">
        <v>90</v>
      </c>
      <c r="I481">
        <v>89.5</v>
      </c>
      <c r="J481">
        <f t="shared" si="28"/>
        <v>409.5</v>
      </c>
      <c r="K481" s="4">
        <f t="shared" si="29"/>
        <v>81.9</v>
      </c>
      <c r="L481">
        <f t="shared" si="30"/>
        <v>103</v>
      </c>
      <c r="M481" t="str">
        <f t="shared" si="31"/>
        <v>及格</v>
      </c>
    </row>
    <row r="482" hidden="1" spans="1:13">
      <c r="A482">
        <v>10481</v>
      </c>
      <c r="B482" t="s">
        <v>502</v>
      </c>
      <c r="C482" t="s">
        <v>17</v>
      </c>
      <c r="D482" t="s">
        <v>20</v>
      </c>
      <c r="E482">
        <v>95.5</v>
      </c>
      <c r="F482">
        <v>68.5</v>
      </c>
      <c r="G482">
        <v>77.5</v>
      </c>
      <c r="H482">
        <v>85</v>
      </c>
      <c r="I482">
        <v>81.5</v>
      </c>
      <c r="J482">
        <f t="shared" si="28"/>
        <v>408</v>
      </c>
      <c r="K482" s="4">
        <f t="shared" si="29"/>
        <v>81.6</v>
      </c>
      <c r="L482">
        <f t="shared" si="30"/>
        <v>119</v>
      </c>
      <c r="M482" t="str">
        <f t="shared" si="31"/>
        <v>及格</v>
      </c>
    </row>
    <row r="483" hidden="1" spans="1:13">
      <c r="A483">
        <v>10482</v>
      </c>
      <c r="B483" t="s">
        <v>503</v>
      </c>
      <c r="C483" t="s">
        <v>17</v>
      </c>
      <c r="D483" t="s">
        <v>30</v>
      </c>
      <c r="E483">
        <v>75</v>
      </c>
      <c r="F483">
        <v>85</v>
      </c>
      <c r="G483">
        <v>77.5</v>
      </c>
      <c r="H483">
        <v>75.5</v>
      </c>
      <c r="I483">
        <v>90</v>
      </c>
      <c r="J483">
        <f t="shared" si="28"/>
        <v>403</v>
      </c>
      <c r="K483" s="4">
        <f t="shared" si="29"/>
        <v>80.6</v>
      </c>
      <c r="L483">
        <f t="shared" si="30"/>
        <v>161</v>
      </c>
      <c r="M483" t="str">
        <f t="shared" si="31"/>
        <v>及格</v>
      </c>
    </row>
    <row r="484" hidden="1" spans="1:13">
      <c r="A484">
        <v>10483</v>
      </c>
      <c r="B484" t="s">
        <v>504</v>
      </c>
      <c r="C484" t="s">
        <v>14</v>
      </c>
      <c r="D484" t="s">
        <v>18</v>
      </c>
      <c r="E484">
        <v>68.5</v>
      </c>
      <c r="F484">
        <v>83.5</v>
      </c>
      <c r="G484">
        <v>72</v>
      </c>
      <c r="H484">
        <v>70</v>
      </c>
      <c r="I484">
        <v>77</v>
      </c>
      <c r="J484">
        <f t="shared" si="28"/>
        <v>371</v>
      </c>
      <c r="K484" s="4">
        <f t="shared" si="29"/>
        <v>74.2</v>
      </c>
      <c r="L484">
        <f t="shared" si="30"/>
        <v>330</v>
      </c>
      <c r="M484" t="str">
        <f t="shared" si="31"/>
        <v>及格</v>
      </c>
    </row>
    <row r="485" hidden="1" spans="1:13">
      <c r="A485">
        <v>10484</v>
      </c>
      <c r="B485" t="s">
        <v>505</v>
      </c>
      <c r="C485" t="s">
        <v>14</v>
      </c>
      <c r="D485" t="s">
        <v>30</v>
      </c>
      <c r="E485">
        <v>82</v>
      </c>
      <c r="F485">
        <v>90</v>
      </c>
      <c r="G485">
        <v>86.5</v>
      </c>
      <c r="H485">
        <v>84.5</v>
      </c>
      <c r="I485">
        <v>65</v>
      </c>
      <c r="J485">
        <f t="shared" si="28"/>
        <v>408</v>
      </c>
      <c r="K485" s="4">
        <f t="shared" si="29"/>
        <v>81.6</v>
      </c>
      <c r="L485">
        <f t="shared" si="30"/>
        <v>119</v>
      </c>
      <c r="M485" t="str">
        <f t="shared" si="31"/>
        <v>及格</v>
      </c>
    </row>
    <row r="486" hidden="1" spans="1:13">
      <c r="A486">
        <v>10485</v>
      </c>
      <c r="B486" t="s">
        <v>506</v>
      </c>
      <c r="C486" t="s">
        <v>17</v>
      </c>
      <c r="D486" t="s">
        <v>30</v>
      </c>
      <c r="E486">
        <v>82.5</v>
      </c>
      <c r="F486">
        <v>65.5</v>
      </c>
      <c r="G486">
        <v>73</v>
      </c>
      <c r="H486">
        <v>71</v>
      </c>
      <c r="I486">
        <v>92.5</v>
      </c>
      <c r="J486">
        <f t="shared" si="28"/>
        <v>384.5</v>
      </c>
      <c r="K486" s="4">
        <f t="shared" si="29"/>
        <v>76.9</v>
      </c>
      <c r="L486">
        <f t="shared" si="30"/>
        <v>244</v>
      </c>
      <c r="M486" t="str">
        <f t="shared" si="31"/>
        <v>及格</v>
      </c>
    </row>
    <row r="487" hidden="1" spans="1:13">
      <c r="A487">
        <v>10486</v>
      </c>
      <c r="B487" t="s">
        <v>507</v>
      </c>
      <c r="C487" t="s">
        <v>14</v>
      </c>
      <c r="D487" t="s">
        <v>23</v>
      </c>
      <c r="E487">
        <v>85.5</v>
      </c>
      <c r="F487">
        <v>62</v>
      </c>
      <c r="G487">
        <v>83</v>
      </c>
      <c r="H487">
        <v>81</v>
      </c>
      <c r="I487">
        <v>93.5</v>
      </c>
      <c r="J487">
        <f t="shared" si="28"/>
        <v>405</v>
      </c>
      <c r="K487" s="4">
        <f t="shared" si="29"/>
        <v>81</v>
      </c>
      <c r="L487">
        <f t="shared" si="30"/>
        <v>148</v>
      </c>
      <c r="M487" t="str">
        <f t="shared" si="31"/>
        <v>及格</v>
      </c>
    </row>
    <row r="488" hidden="1" spans="1:13">
      <c r="A488">
        <v>10487</v>
      </c>
      <c r="B488" t="s">
        <v>508</v>
      </c>
      <c r="C488" t="s">
        <v>14</v>
      </c>
      <c r="D488" t="s">
        <v>15</v>
      </c>
      <c r="E488">
        <v>97</v>
      </c>
      <c r="F488">
        <v>55.5</v>
      </c>
      <c r="G488">
        <v>84.5</v>
      </c>
      <c r="H488">
        <v>82.5</v>
      </c>
      <c r="I488">
        <v>92</v>
      </c>
      <c r="J488">
        <f t="shared" si="28"/>
        <v>411.5</v>
      </c>
      <c r="K488" s="4">
        <f t="shared" si="29"/>
        <v>82.3</v>
      </c>
      <c r="L488">
        <f t="shared" si="30"/>
        <v>84</v>
      </c>
      <c r="M488" t="str">
        <f t="shared" si="31"/>
        <v>及格</v>
      </c>
    </row>
    <row r="489" hidden="1" spans="1:13">
      <c r="A489">
        <v>10488</v>
      </c>
      <c r="B489" t="s">
        <v>509</v>
      </c>
      <c r="C489" t="s">
        <v>17</v>
      </c>
      <c r="D489" t="s">
        <v>15</v>
      </c>
      <c r="E489">
        <v>75.5</v>
      </c>
      <c r="F489">
        <v>57.5</v>
      </c>
      <c r="G489">
        <v>76</v>
      </c>
      <c r="H489">
        <v>60</v>
      </c>
      <c r="I489">
        <v>71</v>
      </c>
      <c r="J489">
        <f t="shared" si="28"/>
        <v>340</v>
      </c>
      <c r="K489" s="4">
        <f t="shared" si="29"/>
        <v>68</v>
      </c>
      <c r="L489">
        <f t="shared" si="30"/>
        <v>448</v>
      </c>
      <c r="M489" t="str">
        <f t="shared" si="31"/>
        <v>及格</v>
      </c>
    </row>
    <row r="490" hidden="1" spans="1:13">
      <c r="A490">
        <v>10489</v>
      </c>
      <c r="B490" t="s">
        <v>510</v>
      </c>
      <c r="C490" t="s">
        <v>14</v>
      </c>
      <c r="D490" t="s">
        <v>30</v>
      </c>
      <c r="E490">
        <v>92</v>
      </c>
      <c r="F490">
        <v>97</v>
      </c>
      <c r="G490">
        <v>70</v>
      </c>
      <c r="H490">
        <v>68</v>
      </c>
      <c r="I490">
        <v>86</v>
      </c>
      <c r="J490">
        <f t="shared" si="28"/>
        <v>413</v>
      </c>
      <c r="K490" s="4">
        <f t="shared" si="29"/>
        <v>82.6</v>
      </c>
      <c r="L490">
        <f t="shared" si="30"/>
        <v>76</v>
      </c>
      <c r="M490" t="str">
        <f t="shared" si="31"/>
        <v>及格</v>
      </c>
    </row>
    <row r="491" hidden="1" spans="1:13">
      <c r="A491">
        <v>10490</v>
      </c>
      <c r="B491" t="s">
        <v>511</v>
      </c>
      <c r="C491" t="s">
        <v>14</v>
      </c>
      <c r="D491" t="s">
        <v>37</v>
      </c>
      <c r="E491">
        <v>70</v>
      </c>
      <c r="F491">
        <v>67.5</v>
      </c>
      <c r="G491">
        <v>68.5</v>
      </c>
      <c r="H491">
        <v>66.5</v>
      </c>
      <c r="I491">
        <v>62</v>
      </c>
      <c r="J491">
        <f t="shared" si="28"/>
        <v>334.5</v>
      </c>
      <c r="K491" s="4">
        <f t="shared" si="29"/>
        <v>66.9</v>
      </c>
      <c r="L491">
        <f t="shared" si="30"/>
        <v>473</v>
      </c>
      <c r="M491" t="str">
        <f t="shared" si="31"/>
        <v>及格</v>
      </c>
    </row>
    <row r="492" hidden="1" spans="1:13">
      <c r="A492">
        <v>10491</v>
      </c>
      <c r="B492" t="s">
        <v>512</v>
      </c>
      <c r="C492" t="s">
        <v>17</v>
      </c>
      <c r="D492" t="s">
        <v>30</v>
      </c>
      <c r="E492">
        <v>87.5</v>
      </c>
      <c r="F492">
        <v>78</v>
      </c>
      <c r="G492">
        <v>79</v>
      </c>
      <c r="H492">
        <v>88</v>
      </c>
      <c r="I492">
        <v>76.5</v>
      </c>
      <c r="J492">
        <f t="shared" si="28"/>
        <v>409</v>
      </c>
      <c r="K492" s="4">
        <f t="shared" si="29"/>
        <v>81.8</v>
      </c>
      <c r="L492">
        <f t="shared" si="30"/>
        <v>105</v>
      </c>
      <c r="M492" t="str">
        <f t="shared" si="31"/>
        <v>及格</v>
      </c>
    </row>
    <row r="493" hidden="1" spans="1:13">
      <c r="A493">
        <v>10492</v>
      </c>
      <c r="B493" t="s">
        <v>513</v>
      </c>
      <c r="C493" t="s">
        <v>14</v>
      </c>
      <c r="D493" t="s">
        <v>18</v>
      </c>
      <c r="E493">
        <v>77</v>
      </c>
      <c r="F493">
        <v>80.5</v>
      </c>
      <c r="G493">
        <v>85</v>
      </c>
      <c r="H493">
        <v>76</v>
      </c>
      <c r="I493">
        <v>88</v>
      </c>
      <c r="J493">
        <f t="shared" si="28"/>
        <v>406.5</v>
      </c>
      <c r="K493" s="4">
        <f t="shared" si="29"/>
        <v>81.3</v>
      </c>
      <c r="L493">
        <f t="shared" si="30"/>
        <v>133</v>
      </c>
      <c r="M493" t="str">
        <f t="shared" si="31"/>
        <v>及格</v>
      </c>
    </row>
    <row r="494" hidden="1" spans="1:13">
      <c r="A494">
        <v>10493</v>
      </c>
      <c r="B494" t="s">
        <v>514</v>
      </c>
      <c r="C494" t="s">
        <v>14</v>
      </c>
      <c r="D494" t="s">
        <v>18</v>
      </c>
      <c r="E494">
        <v>72.5</v>
      </c>
      <c r="F494">
        <v>64</v>
      </c>
      <c r="G494">
        <v>69</v>
      </c>
      <c r="H494">
        <v>67</v>
      </c>
      <c r="I494">
        <v>68</v>
      </c>
      <c r="J494">
        <f t="shared" si="28"/>
        <v>340.5</v>
      </c>
      <c r="K494" s="4">
        <f t="shared" si="29"/>
        <v>68.1</v>
      </c>
      <c r="L494">
        <f t="shared" si="30"/>
        <v>440</v>
      </c>
      <c r="M494" t="str">
        <f t="shared" si="31"/>
        <v>及格</v>
      </c>
    </row>
    <row r="495" hidden="1" spans="1:13">
      <c r="A495">
        <v>10494</v>
      </c>
      <c r="B495" t="s">
        <v>515</v>
      </c>
      <c r="C495" t="s">
        <v>17</v>
      </c>
      <c r="D495" t="s">
        <v>30</v>
      </c>
      <c r="E495">
        <v>82</v>
      </c>
      <c r="F495">
        <v>70</v>
      </c>
      <c r="G495">
        <v>84</v>
      </c>
      <c r="H495">
        <v>82</v>
      </c>
      <c r="I495">
        <v>83</v>
      </c>
      <c r="J495">
        <f t="shared" si="28"/>
        <v>401</v>
      </c>
      <c r="K495" s="4">
        <f t="shared" si="29"/>
        <v>80.2</v>
      </c>
      <c r="L495">
        <f t="shared" si="30"/>
        <v>174</v>
      </c>
      <c r="M495" t="str">
        <f t="shared" si="31"/>
        <v>及格</v>
      </c>
    </row>
    <row r="496" hidden="1" spans="1:13">
      <c r="A496">
        <v>10495</v>
      </c>
      <c r="B496" t="s">
        <v>516</v>
      </c>
      <c r="C496" t="s">
        <v>14</v>
      </c>
      <c r="D496" t="s">
        <v>23</v>
      </c>
      <c r="E496">
        <v>88</v>
      </c>
      <c r="F496">
        <v>74</v>
      </c>
      <c r="G496">
        <v>67.5</v>
      </c>
      <c r="H496">
        <v>65.5</v>
      </c>
      <c r="I496">
        <v>66</v>
      </c>
      <c r="J496">
        <f t="shared" si="28"/>
        <v>361</v>
      </c>
      <c r="K496" s="4">
        <f t="shared" si="29"/>
        <v>72.2</v>
      </c>
      <c r="L496">
        <f t="shared" si="30"/>
        <v>382</v>
      </c>
      <c r="M496" t="str">
        <f t="shared" si="31"/>
        <v>及格</v>
      </c>
    </row>
    <row r="497" hidden="1" spans="1:13">
      <c r="A497">
        <v>10496</v>
      </c>
      <c r="B497" t="s">
        <v>517</v>
      </c>
      <c r="C497" t="s">
        <v>17</v>
      </c>
      <c r="D497" t="s">
        <v>15</v>
      </c>
      <c r="E497">
        <v>80.5</v>
      </c>
      <c r="F497">
        <v>86</v>
      </c>
      <c r="G497">
        <v>69</v>
      </c>
      <c r="H497">
        <v>67</v>
      </c>
      <c r="I497">
        <v>90</v>
      </c>
      <c r="J497">
        <f t="shared" si="28"/>
        <v>392.5</v>
      </c>
      <c r="K497" s="4">
        <f t="shared" si="29"/>
        <v>78.5</v>
      </c>
      <c r="L497">
        <f t="shared" si="30"/>
        <v>193</v>
      </c>
      <c r="M497" t="str">
        <f t="shared" si="31"/>
        <v>及格</v>
      </c>
    </row>
    <row r="498" hidden="1" spans="1:13">
      <c r="A498">
        <v>10497</v>
      </c>
      <c r="B498" t="s">
        <v>518</v>
      </c>
      <c r="C498" t="s">
        <v>17</v>
      </c>
      <c r="D498" t="s">
        <v>30</v>
      </c>
      <c r="E498">
        <v>64.5</v>
      </c>
      <c r="F498">
        <v>60</v>
      </c>
      <c r="G498">
        <v>87</v>
      </c>
      <c r="H498">
        <v>85</v>
      </c>
      <c r="I498">
        <v>71</v>
      </c>
      <c r="J498">
        <f t="shared" si="28"/>
        <v>367.5</v>
      </c>
      <c r="K498" s="4">
        <f t="shared" si="29"/>
        <v>73.5</v>
      </c>
      <c r="L498">
        <f t="shared" si="30"/>
        <v>354</v>
      </c>
      <c r="M498" t="str">
        <f t="shared" si="31"/>
        <v>及格</v>
      </c>
    </row>
    <row r="499" hidden="1" spans="1:13">
      <c r="A499">
        <v>10498</v>
      </c>
      <c r="B499" t="s">
        <v>519</v>
      </c>
      <c r="C499" t="s">
        <v>17</v>
      </c>
      <c r="D499" t="s">
        <v>23</v>
      </c>
      <c r="E499">
        <v>83.5</v>
      </c>
      <c r="F499">
        <v>76.5</v>
      </c>
      <c r="G499">
        <v>92.5</v>
      </c>
      <c r="H499">
        <v>90.5</v>
      </c>
      <c r="I499">
        <v>62.5</v>
      </c>
      <c r="J499">
        <f t="shared" si="28"/>
        <v>405.5</v>
      </c>
      <c r="K499" s="4">
        <f t="shared" si="29"/>
        <v>81.1</v>
      </c>
      <c r="L499">
        <f t="shared" si="30"/>
        <v>145</v>
      </c>
      <c r="M499" t="str">
        <f t="shared" si="31"/>
        <v>及格</v>
      </c>
    </row>
    <row r="500" hidden="1" spans="1:13">
      <c r="A500">
        <v>10499</v>
      </c>
      <c r="B500" t="s">
        <v>520</v>
      </c>
      <c r="C500" t="s">
        <v>14</v>
      </c>
      <c r="D500" t="s">
        <v>37</v>
      </c>
      <c r="E500">
        <v>64.5</v>
      </c>
      <c r="F500">
        <v>74.5</v>
      </c>
      <c r="G500">
        <v>68</v>
      </c>
      <c r="H500">
        <v>66</v>
      </c>
      <c r="I500">
        <v>88</v>
      </c>
      <c r="J500">
        <f t="shared" si="28"/>
        <v>361</v>
      </c>
      <c r="K500" s="4">
        <f t="shared" si="29"/>
        <v>72.2</v>
      </c>
      <c r="L500">
        <f t="shared" si="30"/>
        <v>382</v>
      </c>
      <c r="M500" t="str">
        <f t="shared" si="31"/>
        <v>及格</v>
      </c>
    </row>
    <row r="501" hidden="1" spans="1:13">
      <c r="A501">
        <v>10500</v>
      </c>
      <c r="B501" t="s">
        <v>521</v>
      </c>
      <c r="C501" t="s">
        <v>17</v>
      </c>
      <c r="D501" t="s">
        <v>37</v>
      </c>
      <c r="E501">
        <v>61</v>
      </c>
      <c r="F501">
        <v>65</v>
      </c>
      <c r="G501">
        <v>80.5</v>
      </c>
      <c r="H501">
        <v>88</v>
      </c>
      <c r="I501">
        <v>92.5</v>
      </c>
      <c r="J501">
        <f t="shared" si="28"/>
        <v>387</v>
      </c>
      <c r="K501" s="4">
        <f t="shared" si="29"/>
        <v>77.4</v>
      </c>
      <c r="L501">
        <f t="shared" si="30"/>
        <v>229</v>
      </c>
      <c r="M501" t="str">
        <f t="shared" si="31"/>
        <v>及格</v>
      </c>
    </row>
    <row r="502" hidden="1" spans="1:13">
      <c r="A502">
        <v>10501</v>
      </c>
      <c r="B502" t="s">
        <v>522</v>
      </c>
      <c r="C502" t="s">
        <v>17</v>
      </c>
      <c r="D502" t="s">
        <v>15</v>
      </c>
      <c r="E502">
        <v>95</v>
      </c>
      <c r="F502">
        <v>87</v>
      </c>
      <c r="G502">
        <v>85</v>
      </c>
      <c r="H502">
        <v>92</v>
      </c>
      <c r="I502">
        <v>93.5</v>
      </c>
      <c r="J502">
        <f t="shared" si="28"/>
        <v>452.5</v>
      </c>
      <c r="K502" s="4">
        <f t="shared" si="29"/>
        <v>90.5</v>
      </c>
      <c r="L502">
        <f t="shared" si="30"/>
        <v>19</v>
      </c>
      <c r="M502" t="str">
        <f t="shared" si="31"/>
        <v>优秀</v>
      </c>
    </row>
    <row r="503" hidden="1" spans="1:13">
      <c r="A503">
        <v>10502</v>
      </c>
      <c r="B503" t="s">
        <v>523</v>
      </c>
      <c r="C503" t="s">
        <v>17</v>
      </c>
      <c r="D503" t="s">
        <v>30</v>
      </c>
      <c r="E503">
        <v>80</v>
      </c>
      <c r="F503">
        <v>86</v>
      </c>
      <c r="G503">
        <v>84</v>
      </c>
      <c r="H503">
        <v>78.5</v>
      </c>
      <c r="I503">
        <v>75</v>
      </c>
      <c r="J503">
        <f t="shared" si="28"/>
        <v>403.5</v>
      </c>
      <c r="K503" s="4">
        <f t="shared" si="29"/>
        <v>80.7</v>
      </c>
      <c r="L503">
        <f t="shared" si="30"/>
        <v>157</v>
      </c>
      <c r="M503" t="str">
        <f t="shared" si="31"/>
        <v>及格</v>
      </c>
    </row>
    <row r="505" spans="1:2">
      <c r="A505" t="s">
        <v>524</v>
      </c>
      <c r="B505" t="s">
        <v>3</v>
      </c>
    </row>
    <row r="506" spans="1:8">
      <c r="A506" t="s">
        <v>2</v>
      </c>
      <c r="B506" t="s">
        <v>18</v>
      </c>
      <c r="C506" t="s">
        <v>15</v>
      </c>
      <c r="D506" t="s">
        <v>30</v>
      </c>
      <c r="E506" t="s">
        <v>23</v>
      </c>
      <c r="F506" t="s">
        <v>37</v>
      </c>
      <c r="G506" t="s">
        <v>20</v>
      </c>
      <c r="H506" t="s">
        <v>525</v>
      </c>
    </row>
    <row r="507" spans="1:8">
      <c r="A507" t="s">
        <v>17</v>
      </c>
      <c r="B507">
        <v>28</v>
      </c>
      <c r="C507">
        <v>45</v>
      </c>
      <c r="D507">
        <v>47</v>
      </c>
      <c r="E507">
        <v>49</v>
      </c>
      <c r="F507">
        <v>46</v>
      </c>
      <c r="G507">
        <v>50</v>
      </c>
      <c r="H507">
        <v>265</v>
      </c>
    </row>
    <row r="508" spans="1:8">
      <c r="A508" t="s">
        <v>14</v>
      </c>
      <c r="B508">
        <v>42</v>
      </c>
      <c r="C508">
        <v>41</v>
      </c>
      <c r="D508">
        <v>38</v>
      </c>
      <c r="E508">
        <v>39</v>
      </c>
      <c r="F508">
        <v>35</v>
      </c>
      <c r="G508">
        <v>42</v>
      </c>
      <c r="H508">
        <v>237</v>
      </c>
    </row>
    <row r="509" spans="1:8">
      <c r="A509" t="s">
        <v>525</v>
      </c>
      <c r="B509">
        <v>70</v>
      </c>
      <c r="C509">
        <v>86</v>
      </c>
      <c r="D509">
        <v>85</v>
      </c>
      <c r="E509">
        <v>88</v>
      </c>
      <c r="F509">
        <v>81</v>
      </c>
      <c r="G509">
        <v>92</v>
      </c>
      <c r="H509">
        <v>502</v>
      </c>
    </row>
    <row r="512" spans="2:2">
      <c r="B512" t="s">
        <v>3</v>
      </c>
    </row>
    <row r="513" spans="2:8">
      <c r="B513" t="s">
        <v>18</v>
      </c>
      <c r="C513" t="s">
        <v>15</v>
      </c>
      <c r="D513" t="s">
        <v>30</v>
      </c>
      <c r="E513" t="s">
        <v>23</v>
      </c>
      <c r="F513" t="s">
        <v>37</v>
      </c>
      <c r="G513" t="s">
        <v>20</v>
      </c>
      <c r="H513" t="s">
        <v>525</v>
      </c>
    </row>
    <row r="514" spans="1:8">
      <c r="A514" t="s">
        <v>526</v>
      </c>
      <c r="B514">
        <v>77.95</v>
      </c>
      <c r="C514">
        <v>76.1569767441861</v>
      </c>
      <c r="D514">
        <v>77.3235294117647</v>
      </c>
      <c r="E514">
        <v>77.8977272727273</v>
      </c>
      <c r="F514">
        <v>77.320987654321</v>
      </c>
      <c r="G514">
        <v>77.0978260869565</v>
      </c>
      <c r="H514">
        <v>77.2699203187251</v>
      </c>
    </row>
  </sheetData>
  <autoFilter ref="A1:M503">
    <filterColumn colId="2">
      <customFilters>
        <customFilter operator="equal" val="男"/>
      </customFilters>
    </filterColumn>
    <filterColumn colId="3">
      <customFilters>
        <customFilter operator="equal" val="二班"/>
      </customFilters>
    </filterColumn>
    <filterColumn colId="10">
      <customFilters and="1">
        <customFilter operator="greaterThanOrEqual" val="80"/>
        <customFilter operator="lessThanOrEqual" val="90"/>
      </customFilters>
    </filterColumn>
    <extLst/>
  </autoFilter>
  <mergeCells count="1">
    <mergeCell ref="O4:P4"/>
  </mergeCells>
  <pageMargins left="0.75" right="0.75" top="1" bottom="1" header="0.5" footer="0.5"/>
  <headerFooter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3"/>
  <sheetViews>
    <sheetView workbookViewId="0">
      <selection activeCell="A1" sqref="A1"/>
    </sheetView>
  </sheetViews>
  <sheetFormatPr defaultColWidth="9" defaultRowHeight="14"/>
  <cols>
    <col min="1" max="1" width="6.37272727272727" customWidth="1"/>
    <col min="2" max="2" width="7" customWidth="1"/>
    <col min="3" max="4" width="5.12727272727273" customWidth="1"/>
    <col min="5" max="6" width="8.87272727272727" customWidth="1"/>
    <col min="7" max="7" width="7" customWidth="1"/>
    <col min="8" max="8" width="10.8727272727273" customWidth="1"/>
    <col min="9" max="9" width="12.8727272727273" customWidth="1"/>
    <col min="10" max="10" width="8" customWidth="1"/>
    <col min="11" max="11" width="8.8727272727272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10002</v>
      </c>
      <c r="B2" s="1" t="s">
        <v>16</v>
      </c>
      <c r="C2" s="1" t="s">
        <v>17</v>
      </c>
      <c r="D2" s="1" t="s">
        <v>18</v>
      </c>
      <c r="E2" s="1">
        <v>87</v>
      </c>
      <c r="F2" s="1">
        <v>90</v>
      </c>
      <c r="G2" s="1">
        <v>97</v>
      </c>
      <c r="H2" s="1">
        <v>69.5</v>
      </c>
      <c r="I2" s="1">
        <v>88.5</v>
      </c>
      <c r="J2" s="1">
        <f t="shared" ref="J2:J65" si="0">SUM(E2:I2)</f>
        <v>432</v>
      </c>
      <c r="K2" s="3">
        <f t="shared" ref="K2:K65" si="1">AVERAGE(E2:I2)</f>
        <v>86.4</v>
      </c>
    </row>
    <row r="3" spans="1:11">
      <c r="A3" s="1">
        <v>10016</v>
      </c>
      <c r="B3" s="1" t="s">
        <v>39</v>
      </c>
      <c r="C3" s="1" t="s">
        <v>17</v>
      </c>
      <c r="D3" s="1" t="s">
        <v>18</v>
      </c>
      <c r="E3" s="1">
        <v>89</v>
      </c>
      <c r="F3" s="1">
        <v>72</v>
      </c>
      <c r="G3" s="1">
        <v>79</v>
      </c>
      <c r="H3" s="1">
        <v>87</v>
      </c>
      <c r="I3" s="1">
        <v>97</v>
      </c>
      <c r="J3" s="1">
        <f t="shared" si="0"/>
        <v>424</v>
      </c>
      <c r="K3" s="3">
        <f t="shared" si="1"/>
        <v>84.8</v>
      </c>
    </row>
    <row r="4" spans="1:11">
      <c r="A4" s="1">
        <v>10023</v>
      </c>
      <c r="B4" s="1" t="s">
        <v>46</v>
      </c>
      <c r="C4" s="1" t="s">
        <v>17</v>
      </c>
      <c r="D4" s="1" t="s">
        <v>18</v>
      </c>
      <c r="E4" s="1">
        <v>72.5</v>
      </c>
      <c r="F4" s="1">
        <v>74.5</v>
      </c>
      <c r="G4" s="1">
        <v>72.5</v>
      </c>
      <c r="H4" s="1">
        <v>70.5</v>
      </c>
      <c r="I4" s="1">
        <v>67</v>
      </c>
      <c r="J4" s="1">
        <f t="shared" si="0"/>
        <v>357</v>
      </c>
      <c r="K4" s="3">
        <f t="shared" si="1"/>
        <v>71.4</v>
      </c>
    </row>
    <row r="5" spans="1:11">
      <c r="A5" s="1">
        <v>10040</v>
      </c>
      <c r="B5" s="1" t="s">
        <v>63</v>
      </c>
      <c r="C5" s="1" t="s">
        <v>14</v>
      </c>
      <c r="D5" s="1" t="s">
        <v>18</v>
      </c>
      <c r="E5" s="1">
        <v>85.5</v>
      </c>
      <c r="F5" s="1">
        <v>66</v>
      </c>
      <c r="G5" s="1">
        <v>74</v>
      </c>
      <c r="H5" s="1">
        <v>72</v>
      </c>
      <c r="I5" s="1">
        <v>65.5</v>
      </c>
      <c r="J5" s="1">
        <f t="shared" si="0"/>
        <v>363</v>
      </c>
      <c r="K5" s="3">
        <f t="shared" si="1"/>
        <v>72.6</v>
      </c>
    </row>
    <row r="6" spans="1:11">
      <c r="A6" s="1">
        <v>10042</v>
      </c>
      <c r="B6" s="1" t="s">
        <v>65</v>
      </c>
      <c r="C6" s="1" t="s">
        <v>14</v>
      </c>
      <c r="D6" s="1" t="s">
        <v>18</v>
      </c>
      <c r="E6" s="1">
        <v>79.5</v>
      </c>
      <c r="F6" s="1">
        <v>81.5</v>
      </c>
      <c r="G6" s="1">
        <v>71.5</v>
      </c>
      <c r="H6" s="1">
        <v>69.5</v>
      </c>
      <c r="I6" s="1">
        <v>62</v>
      </c>
      <c r="J6" s="1">
        <f t="shared" si="0"/>
        <v>364</v>
      </c>
      <c r="K6" s="3">
        <f t="shared" si="1"/>
        <v>72.8</v>
      </c>
    </row>
    <row r="7" spans="1:11">
      <c r="A7" s="1">
        <v>10048</v>
      </c>
      <c r="B7" s="1" t="s">
        <v>71</v>
      </c>
      <c r="C7" s="1" t="s">
        <v>14</v>
      </c>
      <c r="D7" s="1" t="s">
        <v>18</v>
      </c>
      <c r="E7" s="1">
        <v>65.5</v>
      </c>
      <c r="F7" s="1">
        <v>74</v>
      </c>
      <c r="G7" s="1">
        <v>69</v>
      </c>
      <c r="H7" s="1">
        <v>67</v>
      </c>
      <c r="I7" s="1">
        <v>70</v>
      </c>
      <c r="J7" s="1">
        <f t="shared" si="0"/>
        <v>345.5</v>
      </c>
      <c r="K7" s="3">
        <f t="shared" si="1"/>
        <v>69.1</v>
      </c>
    </row>
    <row r="8" spans="1:11">
      <c r="A8" s="1">
        <v>10050</v>
      </c>
      <c r="B8" s="1" t="s">
        <v>73</v>
      </c>
      <c r="C8" s="1" t="s">
        <v>17</v>
      </c>
      <c r="D8" s="1" t="s">
        <v>18</v>
      </c>
      <c r="E8" s="1">
        <v>78</v>
      </c>
      <c r="F8" s="1">
        <v>74</v>
      </c>
      <c r="G8" s="1">
        <v>78</v>
      </c>
      <c r="H8" s="1">
        <v>76</v>
      </c>
      <c r="I8" s="1">
        <v>74</v>
      </c>
      <c r="J8" s="1">
        <f t="shared" si="0"/>
        <v>380</v>
      </c>
      <c r="K8" s="3">
        <f t="shared" si="1"/>
        <v>76</v>
      </c>
    </row>
    <row r="9" spans="1:11">
      <c r="A9" s="1">
        <v>10051</v>
      </c>
      <c r="B9" s="1" t="s">
        <v>74</v>
      </c>
      <c r="C9" s="1" t="s">
        <v>14</v>
      </c>
      <c r="D9" s="1" t="s">
        <v>18</v>
      </c>
      <c r="E9" s="1">
        <v>91</v>
      </c>
      <c r="F9" s="1">
        <v>86</v>
      </c>
      <c r="G9" s="1">
        <v>73</v>
      </c>
      <c r="H9" s="1">
        <v>71</v>
      </c>
      <c r="I9" s="1">
        <v>67.5</v>
      </c>
      <c r="J9" s="1">
        <f t="shared" si="0"/>
        <v>388.5</v>
      </c>
      <c r="K9" s="3">
        <f t="shared" si="1"/>
        <v>77.7</v>
      </c>
    </row>
    <row r="10" spans="1:11">
      <c r="A10" s="1">
        <v>10059</v>
      </c>
      <c r="B10" s="1" t="s">
        <v>82</v>
      </c>
      <c r="C10" s="1" t="s">
        <v>17</v>
      </c>
      <c r="D10" s="1" t="s">
        <v>18</v>
      </c>
      <c r="E10" s="1">
        <v>62</v>
      </c>
      <c r="F10" s="1">
        <v>75</v>
      </c>
      <c r="G10" s="1">
        <v>84.5</v>
      </c>
      <c r="H10" s="1">
        <v>82.5</v>
      </c>
      <c r="I10" s="1">
        <v>67.5</v>
      </c>
      <c r="J10" s="1">
        <f t="shared" si="0"/>
        <v>371.5</v>
      </c>
      <c r="K10" s="3">
        <f t="shared" si="1"/>
        <v>74.3</v>
      </c>
    </row>
    <row r="11" spans="1:11">
      <c r="A11" s="1">
        <v>10065</v>
      </c>
      <c r="B11" s="1" t="s">
        <v>88</v>
      </c>
      <c r="C11" s="1" t="s">
        <v>17</v>
      </c>
      <c r="D11" s="1" t="s">
        <v>18</v>
      </c>
      <c r="E11" s="1">
        <v>82.5</v>
      </c>
      <c r="F11" s="1">
        <v>80</v>
      </c>
      <c r="G11" s="1">
        <v>92.5</v>
      </c>
      <c r="H11" s="1">
        <v>90.5</v>
      </c>
      <c r="I11" s="1">
        <v>73.5</v>
      </c>
      <c r="J11" s="1">
        <f t="shared" si="0"/>
        <v>419</v>
      </c>
      <c r="K11" s="3">
        <f t="shared" si="1"/>
        <v>83.8</v>
      </c>
    </row>
    <row r="12" spans="1:11">
      <c r="A12" s="1">
        <v>10068</v>
      </c>
      <c r="B12" s="1" t="s">
        <v>91</v>
      </c>
      <c r="C12" s="1" t="s">
        <v>14</v>
      </c>
      <c r="D12" s="1" t="s">
        <v>18</v>
      </c>
      <c r="E12" s="1">
        <v>75.5</v>
      </c>
      <c r="F12" s="1">
        <v>65.5</v>
      </c>
      <c r="G12" s="1">
        <v>73.5</v>
      </c>
      <c r="H12" s="1">
        <v>71.5</v>
      </c>
      <c r="I12" s="1">
        <v>71.5</v>
      </c>
      <c r="J12" s="1">
        <f t="shared" si="0"/>
        <v>357.5</v>
      </c>
      <c r="K12" s="3">
        <f t="shared" si="1"/>
        <v>71.5</v>
      </c>
    </row>
    <row r="13" spans="1:11">
      <c r="A13" s="1">
        <v>10083</v>
      </c>
      <c r="B13" s="1" t="s">
        <v>106</v>
      </c>
      <c r="C13" s="1" t="s">
        <v>17</v>
      </c>
      <c r="D13" s="1" t="s">
        <v>18</v>
      </c>
      <c r="E13" s="1">
        <v>83</v>
      </c>
      <c r="F13" s="1">
        <v>80</v>
      </c>
      <c r="G13" s="1">
        <v>72.5</v>
      </c>
      <c r="H13" s="1">
        <v>82</v>
      </c>
      <c r="I13" s="1">
        <v>93.5</v>
      </c>
      <c r="J13" s="1">
        <f t="shared" si="0"/>
        <v>411</v>
      </c>
      <c r="K13" s="3">
        <f t="shared" si="1"/>
        <v>82.2</v>
      </c>
    </row>
    <row r="14" spans="1:11">
      <c r="A14" s="1">
        <v>10092</v>
      </c>
      <c r="B14" s="1" t="s">
        <v>115</v>
      </c>
      <c r="C14" s="1" t="s">
        <v>14</v>
      </c>
      <c r="D14" s="1" t="s">
        <v>18</v>
      </c>
      <c r="E14" s="1">
        <v>91</v>
      </c>
      <c r="F14" s="1">
        <v>83.5</v>
      </c>
      <c r="G14" s="1">
        <v>82.5</v>
      </c>
      <c r="H14" s="1">
        <v>80.5</v>
      </c>
      <c r="I14" s="1">
        <v>84</v>
      </c>
      <c r="J14" s="1">
        <f t="shared" si="0"/>
        <v>421.5</v>
      </c>
      <c r="K14" s="3">
        <f t="shared" si="1"/>
        <v>84.3</v>
      </c>
    </row>
    <row r="15" spans="1:11">
      <c r="A15" s="1">
        <v>10097</v>
      </c>
      <c r="B15" s="1" t="s">
        <v>120</v>
      </c>
      <c r="C15" s="1" t="s">
        <v>14</v>
      </c>
      <c r="D15" s="1" t="s">
        <v>18</v>
      </c>
      <c r="E15" s="1">
        <v>75.5</v>
      </c>
      <c r="F15" s="1">
        <v>74</v>
      </c>
      <c r="G15" s="1">
        <v>76</v>
      </c>
      <c r="H15" s="1">
        <v>74</v>
      </c>
      <c r="I15" s="1">
        <v>73.5</v>
      </c>
      <c r="J15" s="1">
        <f t="shared" si="0"/>
        <v>373</v>
      </c>
      <c r="K15" s="3">
        <f t="shared" si="1"/>
        <v>74.6</v>
      </c>
    </row>
    <row r="16" spans="1:11">
      <c r="A16" s="1">
        <v>10104</v>
      </c>
      <c r="B16" s="1" t="s">
        <v>127</v>
      </c>
      <c r="C16" s="1" t="s">
        <v>17</v>
      </c>
      <c r="D16" s="1" t="s">
        <v>18</v>
      </c>
      <c r="E16" s="1">
        <v>88</v>
      </c>
      <c r="F16" s="1">
        <v>77.5</v>
      </c>
      <c r="G16" s="1">
        <v>77.5</v>
      </c>
      <c r="H16" s="1">
        <v>75.5</v>
      </c>
      <c r="I16" s="1">
        <v>61</v>
      </c>
      <c r="J16" s="1">
        <f t="shared" si="0"/>
        <v>379.5</v>
      </c>
      <c r="K16" s="3">
        <f t="shared" si="1"/>
        <v>75.9</v>
      </c>
    </row>
    <row r="17" spans="1:11">
      <c r="A17" s="1">
        <v>10109</v>
      </c>
      <c r="B17" s="1" t="s">
        <v>132</v>
      </c>
      <c r="C17" s="1" t="s">
        <v>14</v>
      </c>
      <c r="D17" s="1" t="s">
        <v>18</v>
      </c>
      <c r="E17" s="1">
        <v>74.5</v>
      </c>
      <c r="F17" s="1">
        <v>71.5</v>
      </c>
      <c r="G17" s="1">
        <v>82.5</v>
      </c>
      <c r="H17" s="1">
        <v>80.5</v>
      </c>
      <c r="I17" s="1">
        <v>83</v>
      </c>
      <c r="J17" s="1">
        <f t="shared" si="0"/>
        <v>392</v>
      </c>
      <c r="K17" s="3">
        <f t="shared" si="1"/>
        <v>78.4</v>
      </c>
    </row>
    <row r="18" spans="1:11">
      <c r="A18" s="1">
        <v>10128</v>
      </c>
      <c r="B18" s="1" t="s">
        <v>151</v>
      </c>
      <c r="C18" s="1" t="s">
        <v>14</v>
      </c>
      <c r="D18" s="1" t="s">
        <v>18</v>
      </c>
      <c r="E18" s="1">
        <v>82</v>
      </c>
      <c r="F18" s="1">
        <v>80.5</v>
      </c>
      <c r="G18" s="1">
        <v>77.5</v>
      </c>
      <c r="H18" s="1">
        <v>75.5</v>
      </c>
      <c r="I18" s="1">
        <v>64</v>
      </c>
      <c r="J18" s="1">
        <f t="shared" si="0"/>
        <v>379.5</v>
      </c>
      <c r="K18" s="3">
        <f t="shared" si="1"/>
        <v>75.9</v>
      </c>
    </row>
    <row r="19" spans="1:11">
      <c r="A19" s="1">
        <v>10140</v>
      </c>
      <c r="B19" s="1" t="s">
        <v>163</v>
      </c>
      <c r="C19" s="1" t="s">
        <v>17</v>
      </c>
      <c r="D19" s="1" t="s">
        <v>18</v>
      </c>
      <c r="E19" s="1">
        <v>59.5</v>
      </c>
      <c r="F19" s="1">
        <v>78.5</v>
      </c>
      <c r="G19" s="1">
        <v>79.5</v>
      </c>
      <c r="H19" s="1">
        <v>77.5</v>
      </c>
      <c r="I19" s="1">
        <v>68</v>
      </c>
      <c r="J19" s="1">
        <f t="shared" si="0"/>
        <v>363</v>
      </c>
      <c r="K19" s="3">
        <f t="shared" si="1"/>
        <v>72.6</v>
      </c>
    </row>
    <row r="20" spans="1:11">
      <c r="A20" s="1">
        <v>10142</v>
      </c>
      <c r="B20" s="1" t="s">
        <v>165</v>
      </c>
      <c r="C20" s="1" t="s">
        <v>14</v>
      </c>
      <c r="D20" s="1" t="s">
        <v>18</v>
      </c>
      <c r="E20" s="1">
        <v>72.5</v>
      </c>
      <c r="F20" s="1">
        <v>91.5</v>
      </c>
      <c r="G20" s="1">
        <v>72</v>
      </c>
      <c r="H20" s="1">
        <v>70</v>
      </c>
      <c r="I20" s="1">
        <v>82</v>
      </c>
      <c r="J20" s="1">
        <f t="shared" si="0"/>
        <v>388</v>
      </c>
      <c r="K20" s="3">
        <f t="shared" si="1"/>
        <v>77.6</v>
      </c>
    </row>
    <row r="21" spans="1:11">
      <c r="A21" s="1">
        <v>10145</v>
      </c>
      <c r="B21" s="1" t="s">
        <v>168</v>
      </c>
      <c r="C21" s="1" t="s">
        <v>17</v>
      </c>
      <c r="D21" s="1" t="s">
        <v>18</v>
      </c>
      <c r="E21" s="1">
        <v>77.5</v>
      </c>
      <c r="F21" s="1">
        <v>79.5</v>
      </c>
      <c r="G21" s="1">
        <v>71.5</v>
      </c>
      <c r="H21" s="1">
        <v>69.5</v>
      </c>
      <c r="I21" s="1">
        <v>84.5</v>
      </c>
      <c r="J21" s="1">
        <f t="shared" si="0"/>
        <v>382.5</v>
      </c>
      <c r="K21" s="3">
        <f t="shared" si="1"/>
        <v>76.5</v>
      </c>
    </row>
    <row r="22" spans="1:11">
      <c r="A22" s="1">
        <v>10151</v>
      </c>
      <c r="B22" s="1" t="s">
        <v>174</v>
      </c>
      <c r="C22" s="1" t="s">
        <v>14</v>
      </c>
      <c r="D22" s="1" t="s">
        <v>18</v>
      </c>
      <c r="E22" s="1">
        <v>82.5</v>
      </c>
      <c r="F22" s="1">
        <v>68.5</v>
      </c>
      <c r="G22" s="1">
        <v>82</v>
      </c>
      <c r="H22" s="1">
        <v>80</v>
      </c>
      <c r="I22" s="1">
        <v>79</v>
      </c>
      <c r="J22" s="1">
        <f t="shared" si="0"/>
        <v>392</v>
      </c>
      <c r="K22" s="3">
        <f t="shared" si="1"/>
        <v>78.4</v>
      </c>
    </row>
    <row r="23" spans="1:11">
      <c r="A23" s="1">
        <v>10156</v>
      </c>
      <c r="B23" s="1" t="s">
        <v>179</v>
      </c>
      <c r="C23" s="1" t="s">
        <v>17</v>
      </c>
      <c r="D23" s="1" t="s">
        <v>18</v>
      </c>
      <c r="E23" s="1">
        <v>76.5</v>
      </c>
      <c r="F23" s="1">
        <v>85</v>
      </c>
      <c r="G23" s="1">
        <v>88.5</v>
      </c>
      <c r="H23" s="1">
        <v>72</v>
      </c>
      <c r="I23" s="1">
        <v>86</v>
      </c>
      <c r="J23" s="1">
        <f t="shared" si="0"/>
        <v>408</v>
      </c>
      <c r="K23" s="3">
        <f t="shared" si="1"/>
        <v>81.6</v>
      </c>
    </row>
    <row r="24" spans="1:11">
      <c r="A24" s="1">
        <v>10170</v>
      </c>
      <c r="B24" s="1" t="s">
        <v>193</v>
      </c>
      <c r="C24" s="1" t="s">
        <v>14</v>
      </c>
      <c r="D24" s="1" t="s">
        <v>18</v>
      </c>
      <c r="E24" s="1">
        <v>69.5</v>
      </c>
      <c r="F24" s="1">
        <v>75</v>
      </c>
      <c r="G24" s="1">
        <v>81.5</v>
      </c>
      <c r="H24" s="1">
        <v>79.5</v>
      </c>
      <c r="I24" s="1">
        <v>71.5</v>
      </c>
      <c r="J24" s="1">
        <f t="shared" si="0"/>
        <v>377</v>
      </c>
      <c r="K24" s="3">
        <f t="shared" si="1"/>
        <v>75.4</v>
      </c>
    </row>
    <row r="25" spans="1:11">
      <c r="A25" s="1">
        <v>10175</v>
      </c>
      <c r="B25" s="1" t="s">
        <v>198</v>
      </c>
      <c r="C25" s="1" t="s">
        <v>17</v>
      </c>
      <c r="D25" s="1" t="s">
        <v>18</v>
      </c>
      <c r="E25" s="1">
        <v>79</v>
      </c>
      <c r="F25" s="1">
        <v>84.5</v>
      </c>
      <c r="G25" s="1">
        <v>72</v>
      </c>
      <c r="H25" s="1">
        <v>70</v>
      </c>
      <c r="I25" s="1">
        <v>87.5</v>
      </c>
      <c r="J25" s="1">
        <f t="shared" si="0"/>
        <v>393</v>
      </c>
      <c r="K25" s="3">
        <f t="shared" si="1"/>
        <v>78.6</v>
      </c>
    </row>
    <row r="26" spans="1:11">
      <c r="A26" s="1">
        <v>10192</v>
      </c>
      <c r="B26" s="1" t="s">
        <v>215</v>
      </c>
      <c r="C26" s="1" t="s">
        <v>14</v>
      </c>
      <c r="D26" s="1" t="s">
        <v>18</v>
      </c>
      <c r="E26" s="1">
        <v>72.5</v>
      </c>
      <c r="F26" s="1">
        <v>74.5</v>
      </c>
      <c r="G26" s="1">
        <v>71.5</v>
      </c>
      <c r="H26" s="1">
        <v>69.5</v>
      </c>
      <c r="I26" s="1">
        <v>81</v>
      </c>
      <c r="J26" s="1">
        <f t="shared" si="0"/>
        <v>369</v>
      </c>
      <c r="K26" s="3">
        <f t="shared" si="1"/>
        <v>73.8</v>
      </c>
    </row>
    <row r="27" spans="1:11">
      <c r="A27" s="1">
        <v>10205</v>
      </c>
      <c r="B27" s="1" t="s">
        <v>228</v>
      </c>
      <c r="C27" s="1" t="s">
        <v>14</v>
      </c>
      <c r="D27" s="1" t="s">
        <v>18</v>
      </c>
      <c r="E27" s="1">
        <v>86.5</v>
      </c>
      <c r="F27" s="1">
        <v>79</v>
      </c>
      <c r="G27" s="1">
        <v>82</v>
      </c>
      <c r="H27" s="1">
        <v>75</v>
      </c>
      <c r="I27" s="1">
        <v>82</v>
      </c>
      <c r="J27" s="1">
        <f t="shared" si="0"/>
        <v>404.5</v>
      </c>
      <c r="K27" s="3">
        <f t="shared" si="1"/>
        <v>80.9</v>
      </c>
    </row>
    <row r="28" spans="1:11">
      <c r="A28" s="1">
        <v>10206</v>
      </c>
      <c r="B28" s="1" t="s">
        <v>229</v>
      </c>
      <c r="C28" s="1" t="s">
        <v>14</v>
      </c>
      <c r="D28" s="1" t="s">
        <v>18</v>
      </c>
      <c r="E28" s="1">
        <v>78</v>
      </c>
      <c r="F28" s="1">
        <v>83</v>
      </c>
      <c r="G28" s="1">
        <v>53</v>
      </c>
      <c r="H28" s="1">
        <v>51</v>
      </c>
      <c r="I28" s="1">
        <v>86.5</v>
      </c>
      <c r="J28" s="1">
        <f t="shared" si="0"/>
        <v>351.5</v>
      </c>
      <c r="K28" s="3">
        <f t="shared" si="1"/>
        <v>70.3</v>
      </c>
    </row>
    <row r="29" spans="1:11">
      <c r="A29" s="1">
        <v>10214</v>
      </c>
      <c r="B29" s="1" t="s">
        <v>237</v>
      </c>
      <c r="C29" s="1" t="s">
        <v>14</v>
      </c>
      <c r="D29" s="1" t="s">
        <v>18</v>
      </c>
      <c r="E29" s="1">
        <v>86</v>
      </c>
      <c r="F29" s="1">
        <v>82.5</v>
      </c>
      <c r="G29" s="1">
        <v>80</v>
      </c>
      <c r="H29" s="1">
        <v>72</v>
      </c>
      <c r="I29" s="1">
        <v>83</v>
      </c>
      <c r="J29" s="1">
        <f t="shared" si="0"/>
        <v>403.5</v>
      </c>
      <c r="K29" s="3">
        <f t="shared" si="1"/>
        <v>80.7</v>
      </c>
    </row>
    <row r="30" spans="1:11">
      <c r="A30" s="1">
        <v>10216</v>
      </c>
      <c r="B30" s="1" t="s">
        <v>239</v>
      </c>
      <c r="C30" s="1" t="s">
        <v>14</v>
      </c>
      <c r="D30" s="1" t="s">
        <v>18</v>
      </c>
      <c r="E30" s="1">
        <v>73.5</v>
      </c>
      <c r="F30" s="1">
        <v>86</v>
      </c>
      <c r="G30" s="1">
        <v>88</v>
      </c>
      <c r="H30" s="1">
        <v>90</v>
      </c>
      <c r="I30" s="1">
        <v>75.5</v>
      </c>
      <c r="J30" s="1">
        <f t="shared" si="0"/>
        <v>413</v>
      </c>
      <c r="K30" s="3">
        <f t="shared" si="1"/>
        <v>82.6</v>
      </c>
    </row>
    <row r="31" spans="1:11">
      <c r="A31" s="1">
        <v>10222</v>
      </c>
      <c r="B31" s="1" t="s">
        <v>245</v>
      </c>
      <c r="C31" s="1" t="s">
        <v>17</v>
      </c>
      <c r="D31" s="1" t="s">
        <v>18</v>
      </c>
      <c r="E31" s="1">
        <v>90</v>
      </c>
      <c r="F31" s="1">
        <v>58</v>
      </c>
      <c r="G31" s="1">
        <v>84.5</v>
      </c>
      <c r="H31" s="1">
        <v>82.5</v>
      </c>
      <c r="I31" s="1">
        <v>96</v>
      </c>
      <c r="J31" s="1">
        <f t="shared" si="0"/>
        <v>411</v>
      </c>
      <c r="K31" s="3">
        <f t="shared" si="1"/>
        <v>82.2</v>
      </c>
    </row>
    <row r="32" spans="1:11">
      <c r="A32" s="1">
        <v>10249</v>
      </c>
      <c r="B32" s="1" t="s">
        <v>272</v>
      </c>
      <c r="C32" s="1" t="s">
        <v>14</v>
      </c>
      <c r="D32" s="1" t="s">
        <v>18</v>
      </c>
      <c r="E32" s="1">
        <v>90</v>
      </c>
      <c r="F32" s="1">
        <v>83.5</v>
      </c>
      <c r="G32" s="1">
        <v>94</v>
      </c>
      <c r="H32" s="1">
        <v>92</v>
      </c>
      <c r="I32" s="1">
        <v>95</v>
      </c>
      <c r="J32" s="1">
        <f t="shared" si="0"/>
        <v>454.5</v>
      </c>
      <c r="K32" s="3">
        <f t="shared" si="1"/>
        <v>90.9</v>
      </c>
    </row>
    <row r="33" spans="1:11">
      <c r="A33" s="1">
        <v>10252</v>
      </c>
      <c r="B33" s="1" t="s">
        <v>274</v>
      </c>
      <c r="C33" s="1" t="s">
        <v>17</v>
      </c>
      <c r="D33" s="1" t="s">
        <v>18</v>
      </c>
      <c r="E33" s="1">
        <v>73.5</v>
      </c>
      <c r="F33" s="1">
        <v>68</v>
      </c>
      <c r="G33" s="1">
        <v>68.5</v>
      </c>
      <c r="H33" s="1">
        <v>66.5</v>
      </c>
      <c r="I33" s="1">
        <v>65</v>
      </c>
      <c r="J33" s="1">
        <f t="shared" si="0"/>
        <v>341.5</v>
      </c>
      <c r="K33" s="3">
        <f t="shared" si="1"/>
        <v>68.3</v>
      </c>
    </row>
    <row r="34" spans="1:11">
      <c r="A34" s="1">
        <v>10266</v>
      </c>
      <c r="B34" s="1" t="s">
        <v>287</v>
      </c>
      <c r="C34" s="1" t="s">
        <v>14</v>
      </c>
      <c r="D34" s="1" t="s">
        <v>18</v>
      </c>
      <c r="E34" s="1">
        <v>84</v>
      </c>
      <c r="F34" s="1">
        <v>83</v>
      </c>
      <c r="G34" s="1">
        <v>82</v>
      </c>
      <c r="H34" s="1">
        <v>73</v>
      </c>
      <c r="I34" s="1">
        <v>86</v>
      </c>
      <c r="J34" s="1">
        <f t="shared" si="0"/>
        <v>408</v>
      </c>
      <c r="K34" s="3">
        <f t="shared" si="1"/>
        <v>81.6</v>
      </c>
    </row>
    <row r="35" spans="1:11">
      <c r="A35" s="1">
        <v>10269</v>
      </c>
      <c r="B35" s="1" t="s">
        <v>290</v>
      </c>
      <c r="C35" s="1" t="s">
        <v>14</v>
      </c>
      <c r="D35" s="1" t="s">
        <v>18</v>
      </c>
      <c r="E35" s="1">
        <v>67</v>
      </c>
      <c r="F35" s="1">
        <v>72</v>
      </c>
      <c r="G35" s="1">
        <v>83</v>
      </c>
      <c r="H35" s="1">
        <v>81</v>
      </c>
      <c r="I35" s="1">
        <v>51</v>
      </c>
      <c r="J35" s="1">
        <f t="shared" si="0"/>
        <v>354</v>
      </c>
      <c r="K35" s="3">
        <f t="shared" si="1"/>
        <v>70.8</v>
      </c>
    </row>
    <row r="36" spans="1:11">
      <c r="A36" s="1">
        <v>10270</v>
      </c>
      <c r="B36" s="1" t="s">
        <v>291</v>
      </c>
      <c r="C36" s="1" t="s">
        <v>17</v>
      </c>
      <c r="D36" s="1" t="s">
        <v>18</v>
      </c>
      <c r="E36" s="1">
        <v>71</v>
      </c>
      <c r="F36" s="1">
        <v>79</v>
      </c>
      <c r="G36" s="1">
        <v>93</v>
      </c>
      <c r="H36" s="1">
        <v>91</v>
      </c>
      <c r="I36" s="1">
        <v>82.5</v>
      </c>
      <c r="J36" s="1">
        <f t="shared" si="0"/>
        <v>416.5</v>
      </c>
      <c r="K36" s="3">
        <f t="shared" si="1"/>
        <v>83.3</v>
      </c>
    </row>
    <row r="37" spans="1:11">
      <c r="A37" s="1">
        <v>10275</v>
      </c>
      <c r="B37" s="1" t="s">
        <v>296</v>
      </c>
      <c r="C37" s="1" t="s">
        <v>14</v>
      </c>
      <c r="D37" s="1" t="s">
        <v>18</v>
      </c>
      <c r="E37" s="1">
        <v>73</v>
      </c>
      <c r="F37" s="1">
        <v>74.5</v>
      </c>
      <c r="G37" s="1">
        <v>81.5</v>
      </c>
      <c r="H37" s="1">
        <v>79.5</v>
      </c>
      <c r="I37" s="1">
        <v>75.5</v>
      </c>
      <c r="J37" s="1">
        <f t="shared" si="0"/>
        <v>384</v>
      </c>
      <c r="K37" s="3">
        <f t="shared" si="1"/>
        <v>76.8</v>
      </c>
    </row>
    <row r="38" spans="1:11">
      <c r="A38" s="1">
        <v>10290</v>
      </c>
      <c r="B38" s="1" t="s">
        <v>311</v>
      </c>
      <c r="C38" s="1" t="s">
        <v>17</v>
      </c>
      <c r="D38" s="1" t="s">
        <v>18</v>
      </c>
      <c r="E38" s="1">
        <v>90</v>
      </c>
      <c r="F38" s="1">
        <v>68</v>
      </c>
      <c r="G38" s="1">
        <v>97.5</v>
      </c>
      <c r="H38" s="1">
        <v>95.5</v>
      </c>
      <c r="I38" s="1">
        <v>81</v>
      </c>
      <c r="J38" s="1">
        <f t="shared" si="0"/>
        <v>432</v>
      </c>
      <c r="K38" s="3">
        <f t="shared" si="1"/>
        <v>86.4</v>
      </c>
    </row>
    <row r="39" spans="1:11">
      <c r="A39" s="1">
        <v>10291</v>
      </c>
      <c r="B39" s="1" t="s">
        <v>312</v>
      </c>
      <c r="C39" s="1" t="s">
        <v>17</v>
      </c>
      <c r="D39" s="1" t="s">
        <v>18</v>
      </c>
      <c r="E39" s="1">
        <v>78</v>
      </c>
      <c r="F39" s="1">
        <v>79.5</v>
      </c>
      <c r="G39" s="1">
        <v>76.5</v>
      </c>
      <c r="H39" s="1">
        <v>74.5</v>
      </c>
      <c r="I39" s="1">
        <v>75</v>
      </c>
      <c r="J39" s="1">
        <f t="shared" si="0"/>
        <v>383.5</v>
      </c>
      <c r="K39" s="3">
        <f t="shared" si="1"/>
        <v>76.7</v>
      </c>
    </row>
    <row r="40" spans="1:11">
      <c r="A40" s="1">
        <v>10294</v>
      </c>
      <c r="B40" s="1" t="s">
        <v>315</v>
      </c>
      <c r="C40" s="1" t="s">
        <v>14</v>
      </c>
      <c r="D40" s="1" t="s">
        <v>18</v>
      </c>
      <c r="E40" s="1">
        <v>75</v>
      </c>
      <c r="F40" s="1">
        <v>98</v>
      </c>
      <c r="G40" s="1">
        <v>57</v>
      </c>
      <c r="H40" s="1">
        <v>55</v>
      </c>
      <c r="I40" s="1">
        <v>87</v>
      </c>
      <c r="J40" s="1">
        <f t="shared" si="0"/>
        <v>372</v>
      </c>
      <c r="K40" s="3">
        <f t="shared" si="1"/>
        <v>74.4</v>
      </c>
    </row>
    <row r="41" spans="1:11">
      <c r="A41" s="1">
        <v>10295</v>
      </c>
      <c r="B41" s="1" t="s">
        <v>316</v>
      </c>
      <c r="C41" s="1" t="s">
        <v>17</v>
      </c>
      <c r="D41" s="1" t="s">
        <v>18</v>
      </c>
      <c r="E41" s="1">
        <v>69</v>
      </c>
      <c r="F41" s="1">
        <v>82</v>
      </c>
      <c r="G41" s="1">
        <v>70</v>
      </c>
      <c r="H41" s="1">
        <v>68</v>
      </c>
      <c r="I41" s="1">
        <v>87.5</v>
      </c>
      <c r="J41" s="1">
        <f t="shared" si="0"/>
        <v>376.5</v>
      </c>
      <c r="K41" s="3">
        <f t="shared" si="1"/>
        <v>75.3</v>
      </c>
    </row>
    <row r="42" spans="1:11">
      <c r="A42" s="1">
        <v>10298</v>
      </c>
      <c r="B42" s="1" t="s">
        <v>319</v>
      </c>
      <c r="C42" s="1" t="s">
        <v>14</v>
      </c>
      <c r="D42" s="1" t="s">
        <v>18</v>
      </c>
      <c r="E42" s="1">
        <v>78</v>
      </c>
      <c r="F42" s="1">
        <v>76.5</v>
      </c>
      <c r="G42" s="1">
        <v>92</v>
      </c>
      <c r="H42" s="1">
        <v>78</v>
      </c>
      <c r="I42" s="1">
        <v>69</v>
      </c>
      <c r="J42" s="1">
        <f t="shared" si="0"/>
        <v>393.5</v>
      </c>
      <c r="K42" s="3">
        <f t="shared" si="1"/>
        <v>78.7</v>
      </c>
    </row>
    <row r="43" spans="1:11">
      <c r="A43" s="1">
        <v>10299</v>
      </c>
      <c r="B43" s="1" t="s">
        <v>320</v>
      </c>
      <c r="C43" s="1" t="s">
        <v>14</v>
      </c>
      <c r="D43" s="1" t="s">
        <v>18</v>
      </c>
      <c r="E43" s="1">
        <v>68.5</v>
      </c>
      <c r="F43" s="1">
        <v>73.5</v>
      </c>
      <c r="G43" s="1">
        <v>60</v>
      </c>
      <c r="H43" s="1">
        <v>58</v>
      </c>
      <c r="I43" s="1">
        <v>72</v>
      </c>
      <c r="J43" s="1">
        <f t="shared" si="0"/>
        <v>332</v>
      </c>
      <c r="K43" s="3">
        <f t="shared" si="1"/>
        <v>66.4</v>
      </c>
    </row>
    <row r="44" spans="1:11">
      <c r="A44" s="1">
        <v>10312</v>
      </c>
      <c r="B44" s="1" t="s">
        <v>333</v>
      </c>
      <c r="C44" s="1" t="s">
        <v>17</v>
      </c>
      <c r="D44" s="1" t="s">
        <v>18</v>
      </c>
      <c r="E44" s="1">
        <v>91</v>
      </c>
      <c r="F44" s="1">
        <v>94</v>
      </c>
      <c r="G44" s="1">
        <v>74.5</v>
      </c>
      <c r="H44" s="1">
        <v>72.5</v>
      </c>
      <c r="I44" s="1">
        <v>89</v>
      </c>
      <c r="J44" s="1">
        <f t="shared" si="0"/>
        <v>421</v>
      </c>
      <c r="K44" s="3">
        <f t="shared" si="1"/>
        <v>84.2</v>
      </c>
    </row>
    <row r="45" spans="1:11">
      <c r="A45" s="1">
        <v>10314</v>
      </c>
      <c r="B45" s="1" t="s">
        <v>335</v>
      </c>
      <c r="C45" s="1" t="s">
        <v>14</v>
      </c>
      <c r="D45" s="1" t="s">
        <v>18</v>
      </c>
      <c r="E45" s="1">
        <v>77.5</v>
      </c>
      <c r="F45" s="1">
        <v>85</v>
      </c>
      <c r="G45" s="1">
        <v>87.5</v>
      </c>
      <c r="H45" s="1">
        <v>85.5</v>
      </c>
      <c r="I45" s="1">
        <v>75.5</v>
      </c>
      <c r="J45" s="1">
        <f t="shared" si="0"/>
        <v>411</v>
      </c>
      <c r="K45" s="3">
        <f t="shared" si="1"/>
        <v>82.2</v>
      </c>
    </row>
    <row r="46" spans="1:11">
      <c r="A46" s="1">
        <v>10326</v>
      </c>
      <c r="B46" s="1" t="s">
        <v>347</v>
      </c>
      <c r="C46" s="1" t="s">
        <v>17</v>
      </c>
      <c r="D46" s="1" t="s">
        <v>18</v>
      </c>
      <c r="E46" s="1">
        <v>66</v>
      </c>
      <c r="F46" s="1">
        <v>95</v>
      </c>
      <c r="G46" s="1">
        <v>62.5</v>
      </c>
      <c r="H46" s="1">
        <v>60.5</v>
      </c>
      <c r="I46" s="1">
        <v>86</v>
      </c>
      <c r="J46" s="1">
        <f t="shared" si="0"/>
        <v>370</v>
      </c>
      <c r="K46" s="3">
        <f t="shared" si="1"/>
        <v>74</v>
      </c>
    </row>
    <row r="47" spans="1:11">
      <c r="A47" s="1">
        <v>10327</v>
      </c>
      <c r="B47" s="1" t="s">
        <v>348</v>
      </c>
      <c r="C47" s="1" t="s">
        <v>14</v>
      </c>
      <c r="D47" s="1" t="s">
        <v>18</v>
      </c>
      <c r="E47" s="1">
        <v>85</v>
      </c>
      <c r="F47" s="1">
        <v>77</v>
      </c>
      <c r="G47" s="1">
        <v>84.5</v>
      </c>
      <c r="H47" s="1">
        <v>82.5</v>
      </c>
      <c r="I47" s="1">
        <v>77.5</v>
      </c>
      <c r="J47" s="1">
        <f t="shared" si="0"/>
        <v>406.5</v>
      </c>
      <c r="K47" s="3">
        <f t="shared" si="1"/>
        <v>81.3</v>
      </c>
    </row>
    <row r="48" spans="1:11">
      <c r="A48" s="1">
        <v>10329</v>
      </c>
      <c r="B48" s="1" t="s">
        <v>350</v>
      </c>
      <c r="C48" s="1" t="s">
        <v>17</v>
      </c>
      <c r="D48" s="1" t="s">
        <v>18</v>
      </c>
      <c r="E48" s="1">
        <v>61</v>
      </c>
      <c r="F48" s="1">
        <v>63</v>
      </c>
      <c r="G48" s="1">
        <v>74</v>
      </c>
      <c r="H48" s="1">
        <v>72</v>
      </c>
      <c r="I48" s="1">
        <v>72</v>
      </c>
      <c r="J48" s="1">
        <f t="shared" si="0"/>
        <v>342</v>
      </c>
      <c r="K48" s="3">
        <f t="shared" si="1"/>
        <v>68.4</v>
      </c>
    </row>
    <row r="49" spans="1:11">
      <c r="A49" s="1">
        <v>10346</v>
      </c>
      <c r="B49" s="1" t="s">
        <v>367</v>
      </c>
      <c r="C49" s="1" t="s">
        <v>17</v>
      </c>
      <c r="D49" s="1" t="s">
        <v>18</v>
      </c>
      <c r="E49" s="1">
        <v>69</v>
      </c>
      <c r="F49" s="1">
        <v>72.5</v>
      </c>
      <c r="G49" s="1">
        <v>83.5</v>
      </c>
      <c r="H49" s="1">
        <v>81.5</v>
      </c>
      <c r="I49" s="1">
        <v>73.5</v>
      </c>
      <c r="J49" s="1">
        <f t="shared" si="0"/>
        <v>380</v>
      </c>
      <c r="K49" s="3">
        <f t="shared" si="1"/>
        <v>76</v>
      </c>
    </row>
    <row r="50" spans="1:11">
      <c r="A50" s="1">
        <v>10349</v>
      </c>
      <c r="B50" s="1" t="s">
        <v>370</v>
      </c>
      <c r="C50" s="1" t="s">
        <v>14</v>
      </c>
      <c r="D50" s="1" t="s">
        <v>18</v>
      </c>
      <c r="E50" s="1">
        <v>66</v>
      </c>
      <c r="F50" s="1">
        <v>90.5</v>
      </c>
      <c r="G50" s="1">
        <v>77</v>
      </c>
      <c r="H50" s="1">
        <v>75</v>
      </c>
      <c r="I50" s="1">
        <v>74</v>
      </c>
      <c r="J50" s="1">
        <f t="shared" si="0"/>
        <v>382.5</v>
      </c>
      <c r="K50" s="3">
        <f t="shared" si="1"/>
        <v>76.5</v>
      </c>
    </row>
    <row r="51" spans="1:11">
      <c r="A51" s="1">
        <v>10358</v>
      </c>
      <c r="B51" s="1" t="s">
        <v>379</v>
      </c>
      <c r="C51" s="1" t="s">
        <v>14</v>
      </c>
      <c r="D51" s="1" t="s">
        <v>18</v>
      </c>
      <c r="E51" s="1">
        <v>76</v>
      </c>
      <c r="F51" s="1">
        <v>84</v>
      </c>
      <c r="G51" s="1">
        <v>85</v>
      </c>
      <c r="H51" s="1">
        <v>83</v>
      </c>
      <c r="I51" s="1">
        <v>79.5</v>
      </c>
      <c r="J51" s="1">
        <f t="shared" si="0"/>
        <v>407.5</v>
      </c>
      <c r="K51" s="3">
        <f t="shared" si="1"/>
        <v>81.5</v>
      </c>
    </row>
    <row r="52" spans="1:11">
      <c r="A52" s="1">
        <v>10366</v>
      </c>
      <c r="B52" s="1" t="s">
        <v>387</v>
      </c>
      <c r="C52" s="1" t="s">
        <v>17</v>
      </c>
      <c r="D52" s="1" t="s">
        <v>18</v>
      </c>
      <c r="E52" s="1">
        <v>64.5</v>
      </c>
      <c r="F52" s="1">
        <v>62</v>
      </c>
      <c r="G52" s="1">
        <v>74.5</v>
      </c>
      <c r="H52" s="1">
        <v>72.5</v>
      </c>
      <c r="I52" s="1">
        <v>61.5</v>
      </c>
      <c r="J52" s="1">
        <f t="shared" si="0"/>
        <v>335</v>
      </c>
      <c r="K52" s="3">
        <f t="shared" si="1"/>
        <v>67</v>
      </c>
    </row>
    <row r="53" spans="1:11">
      <c r="A53" s="1">
        <v>10385</v>
      </c>
      <c r="B53" s="1" t="s">
        <v>406</v>
      </c>
      <c r="C53" s="1" t="s">
        <v>14</v>
      </c>
      <c r="D53" s="1" t="s">
        <v>18</v>
      </c>
      <c r="E53" s="1">
        <v>66</v>
      </c>
      <c r="F53" s="1">
        <v>57</v>
      </c>
      <c r="G53" s="1">
        <v>85.5</v>
      </c>
      <c r="H53" s="1">
        <v>83.5</v>
      </c>
      <c r="I53" s="1">
        <v>84</v>
      </c>
      <c r="J53" s="1">
        <f t="shared" si="0"/>
        <v>376</v>
      </c>
      <c r="K53" s="3">
        <f t="shared" si="1"/>
        <v>75.2</v>
      </c>
    </row>
    <row r="54" spans="1:11">
      <c r="A54" s="1">
        <v>10389</v>
      </c>
      <c r="B54" s="1" t="s">
        <v>410</v>
      </c>
      <c r="C54" s="1" t="s">
        <v>14</v>
      </c>
      <c r="D54" s="1" t="s">
        <v>18</v>
      </c>
      <c r="E54" s="1">
        <v>86.5</v>
      </c>
      <c r="F54" s="1">
        <v>73.5</v>
      </c>
      <c r="G54" s="1">
        <v>53</v>
      </c>
      <c r="H54" s="1">
        <v>51</v>
      </c>
      <c r="I54" s="1">
        <v>66</v>
      </c>
      <c r="J54" s="1">
        <f t="shared" si="0"/>
        <v>330</v>
      </c>
      <c r="K54" s="3">
        <f t="shared" si="1"/>
        <v>66</v>
      </c>
    </row>
    <row r="55" spans="1:11">
      <c r="A55" s="1">
        <v>10397</v>
      </c>
      <c r="B55" s="1" t="s">
        <v>418</v>
      </c>
      <c r="C55" s="1" t="s">
        <v>14</v>
      </c>
      <c r="D55" s="1" t="s">
        <v>18</v>
      </c>
      <c r="E55" s="1">
        <v>65</v>
      </c>
      <c r="F55" s="1">
        <v>79.5</v>
      </c>
      <c r="G55" s="1">
        <v>84</v>
      </c>
      <c r="H55" s="1">
        <v>82</v>
      </c>
      <c r="I55" s="1">
        <v>71.5</v>
      </c>
      <c r="J55" s="1">
        <f t="shared" si="0"/>
        <v>382</v>
      </c>
      <c r="K55" s="3">
        <f t="shared" si="1"/>
        <v>76.4</v>
      </c>
    </row>
    <row r="56" spans="1:11">
      <c r="A56" s="1">
        <v>10401</v>
      </c>
      <c r="B56" s="1" t="s">
        <v>422</v>
      </c>
      <c r="C56" s="1" t="s">
        <v>14</v>
      </c>
      <c r="D56" s="1" t="s">
        <v>18</v>
      </c>
      <c r="E56" s="1">
        <v>79</v>
      </c>
      <c r="F56" s="1">
        <v>95.5</v>
      </c>
      <c r="G56" s="1">
        <v>74.5</v>
      </c>
      <c r="H56" s="1">
        <v>72.5</v>
      </c>
      <c r="I56" s="1">
        <v>69.5</v>
      </c>
      <c r="J56" s="1">
        <f t="shared" si="0"/>
        <v>391</v>
      </c>
      <c r="K56" s="3">
        <f t="shared" si="1"/>
        <v>78.2</v>
      </c>
    </row>
    <row r="57" spans="1:11">
      <c r="A57" s="1">
        <v>10403</v>
      </c>
      <c r="B57" s="1" t="s">
        <v>424</v>
      </c>
      <c r="C57" s="1" t="s">
        <v>14</v>
      </c>
      <c r="D57" s="1" t="s">
        <v>18</v>
      </c>
      <c r="E57" s="1">
        <v>93</v>
      </c>
      <c r="F57" s="1">
        <v>63</v>
      </c>
      <c r="G57" s="1">
        <v>76.5</v>
      </c>
      <c r="H57" s="1">
        <v>74.5</v>
      </c>
      <c r="I57" s="1">
        <v>67</v>
      </c>
      <c r="J57" s="1">
        <f t="shared" si="0"/>
        <v>374</v>
      </c>
      <c r="K57" s="3">
        <f t="shared" si="1"/>
        <v>74.8</v>
      </c>
    </row>
    <row r="58" spans="1:11">
      <c r="A58" s="1">
        <v>10418</v>
      </c>
      <c r="B58" s="1" t="s">
        <v>439</v>
      </c>
      <c r="C58" s="1" t="s">
        <v>17</v>
      </c>
      <c r="D58" s="1" t="s">
        <v>18</v>
      </c>
      <c r="E58" s="1">
        <v>72.5</v>
      </c>
      <c r="F58" s="1">
        <v>66</v>
      </c>
      <c r="G58" s="1">
        <v>75</v>
      </c>
      <c r="H58" s="1">
        <v>73</v>
      </c>
      <c r="I58" s="1">
        <v>76</v>
      </c>
      <c r="J58" s="1">
        <f t="shared" si="0"/>
        <v>362.5</v>
      </c>
      <c r="K58" s="3">
        <f t="shared" si="1"/>
        <v>72.5</v>
      </c>
    </row>
    <row r="59" spans="1:11">
      <c r="A59" s="1">
        <v>10420</v>
      </c>
      <c r="B59" s="1" t="s">
        <v>441</v>
      </c>
      <c r="C59" s="1" t="s">
        <v>17</v>
      </c>
      <c r="D59" s="1" t="s">
        <v>18</v>
      </c>
      <c r="E59" s="1">
        <v>83.5</v>
      </c>
      <c r="F59" s="1">
        <v>58.5</v>
      </c>
      <c r="G59" s="1">
        <v>74.5</v>
      </c>
      <c r="H59" s="1">
        <v>72.5</v>
      </c>
      <c r="I59" s="1">
        <v>68.5</v>
      </c>
      <c r="J59" s="1">
        <f t="shared" si="0"/>
        <v>357.5</v>
      </c>
      <c r="K59" s="3">
        <f t="shared" si="1"/>
        <v>71.5</v>
      </c>
    </row>
    <row r="60" spans="1:11">
      <c r="A60" s="1">
        <v>10428</v>
      </c>
      <c r="B60" s="1" t="s">
        <v>449</v>
      </c>
      <c r="C60" s="1" t="s">
        <v>14</v>
      </c>
      <c r="D60" s="1" t="s">
        <v>18</v>
      </c>
      <c r="E60" s="1">
        <v>75.5</v>
      </c>
      <c r="F60" s="1">
        <v>64</v>
      </c>
      <c r="G60" s="1">
        <v>84</v>
      </c>
      <c r="H60" s="1">
        <v>82</v>
      </c>
      <c r="I60" s="1">
        <v>94</v>
      </c>
      <c r="J60" s="1">
        <f t="shared" si="0"/>
        <v>399.5</v>
      </c>
      <c r="K60" s="3">
        <f t="shared" si="1"/>
        <v>79.9</v>
      </c>
    </row>
    <row r="61" spans="1:11">
      <c r="A61" s="1">
        <v>10429</v>
      </c>
      <c r="B61" s="1" t="s">
        <v>450</v>
      </c>
      <c r="C61" s="1" t="s">
        <v>17</v>
      </c>
      <c r="D61" s="1" t="s">
        <v>18</v>
      </c>
      <c r="E61" s="1">
        <v>73.5</v>
      </c>
      <c r="F61" s="1">
        <v>82.5</v>
      </c>
      <c r="G61" s="1">
        <v>91</v>
      </c>
      <c r="H61" s="1">
        <v>89</v>
      </c>
      <c r="I61" s="1">
        <v>94.5</v>
      </c>
      <c r="J61" s="1">
        <f t="shared" si="0"/>
        <v>430.5</v>
      </c>
      <c r="K61" s="3">
        <f t="shared" si="1"/>
        <v>86.1</v>
      </c>
    </row>
    <row r="62" spans="1:11">
      <c r="A62" s="1">
        <v>10437</v>
      </c>
      <c r="B62" s="1" t="s">
        <v>458</v>
      </c>
      <c r="C62" s="1" t="s">
        <v>14</v>
      </c>
      <c r="D62" s="1" t="s">
        <v>18</v>
      </c>
      <c r="E62" s="1">
        <v>79</v>
      </c>
      <c r="F62" s="1">
        <v>71</v>
      </c>
      <c r="G62" s="1">
        <v>93.5</v>
      </c>
      <c r="H62" s="1">
        <v>91.5</v>
      </c>
      <c r="I62" s="1">
        <v>64</v>
      </c>
      <c r="J62" s="1">
        <f t="shared" si="0"/>
        <v>399</v>
      </c>
      <c r="K62" s="3">
        <f t="shared" si="1"/>
        <v>79.8</v>
      </c>
    </row>
    <row r="63" spans="1:11">
      <c r="A63" s="1">
        <v>10448</v>
      </c>
      <c r="B63" s="1" t="s">
        <v>469</v>
      </c>
      <c r="C63" s="1" t="s">
        <v>14</v>
      </c>
      <c r="D63" s="1" t="s">
        <v>18</v>
      </c>
      <c r="E63" s="1">
        <v>63</v>
      </c>
      <c r="F63" s="1">
        <v>66.5</v>
      </c>
      <c r="G63" s="1">
        <v>66</v>
      </c>
      <c r="H63" s="1">
        <v>64</v>
      </c>
      <c r="I63" s="1">
        <v>75</v>
      </c>
      <c r="J63" s="1">
        <f t="shared" si="0"/>
        <v>334.5</v>
      </c>
      <c r="K63" s="3">
        <f t="shared" si="1"/>
        <v>66.9</v>
      </c>
    </row>
    <row r="64" spans="1:11">
      <c r="A64" s="1">
        <v>10459</v>
      </c>
      <c r="B64" s="1" t="s">
        <v>480</v>
      </c>
      <c r="C64" s="1" t="s">
        <v>14</v>
      </c>
      <c r="D64" s="1" t="s">
        <v>18</v>
      </c>
      <c r="E64" s="1">
        <v>90</v>
      </c>
      <c r="F64" s="1">
        <v>69.5</v>
      </c>
      <c r="G64" s="1">
        <v>76.5</v>
      </c>
      <c r="H64" s="1">
        <v>88</v>
      </c>
      <c r="I64" s="1">
        <v>82.5</v>
      </c>
      <c r="J64" s="1">
        <f t="shared" si="0"/>
        <v>406.5</v>
      </c>
      <c r="K64" s="3">
        <f t="shared" si="1"/>
        <v>81.3</v>
      </c>
    </row>
    <row r="65" spans="1:11">
      <c r="A65" s="1">
        <v>10462</v>
      </c>
      <c r="B65" s="1" t="s">
        <v>483</v>
      </c>
      <c r="C65" s="1" t="s">
        <v>14</v>
      </c>
      <c r="D65" s="1" t="s">
        <v>18</v>
      </c>
      <c r="E65" s="1">
        <v>77</v>
      </c>
      <c r="F65" s="1">
        <v>88</v>
      </c>
      <c r="G65" s="1">
        <v>81.5</v>
      </c>
      <c r="H65" s="1">
        <v>79.5</v>
      </c>
      <c r="I65" s="1">
        <v>76.5</v>
      </c>
      <c r="J65" s="1">
        <f t="shared" si="0"/>
        <v>402.5</v>
      </c>
      <c r="K65" s="3">
        <f t="shared" si="1"/>
        <v>80.5</v>
      </c>
    </row>
    <row r="66" spans="1:11">
      <c r="A66" s="1">
        <v>10463</v>
      </c>
      <c r="B66" s="1" t="s">
        <v>484</v>
      </c>
      <c r="C66" s="1" t="s">
        <v>17</v>
      </c>
      <c r="D66" s="1" t="s">
        <v>18</v>
      </c>
      <c r="E66" s="1">
        <v>85.5</v>
      </c>
      <c r="F66" s="1">
        <v>62.5</v>
      </c>
      <c r="G66" s="1">
        <v>71.5</v>
      </c>
      <c r="H66" s="1">
        <v>69.5</v>
      </c>
      <c r="I66" s="1">
        <v>83.5</v>
      </c>
      <c r="J66" s="1">
        <f t="shared" ref="J66:J129" si="2">SUM(E66:I66)</f>
        <v>372.5</v>
      </c>
      <c r="K66" s="3">
        <f t="shared" ref="K66:K129" si="3">AVERAGE(E66:I66)</f>
        <v>74.5</v>
      </c>
    </row>
    <row r="67" spans="1:11">
      <c r="A67" s="1">
        <v>10468</v>
      </c>
      <c r="B67" s="1" t="s">
        <v>489</v>
      </c>
      <c r="C67" s="1" t="s">
        <v>14</v>
      </c>
      <c r="D67" s="1" t="s">
        <v>18</v>
      </c>
      <c r="E67" s="1">
        <v>81</v>
      </c>
      <c r="F67" s="1">
        <v>81</v>
      </c>
      <c r="G67" s="1">
        <v>75</v>
      </c>
      <c r="H67" s="1">
        <v>90</v>
      </c>
      <c r="I67" s="1">
        <v>82.5</v>
      </c>
      <c r="J67" s="1">
        <f t="shared" si="2"/>
        <v>409.5</v>
      </c>
      <c r="K67" s="3">
        <f t="shared" si="3"/>
        <v>81.9</v>
      </c>
    </row>
    <row r="68" spans="1:11">
      <c r="A68" s="1">
        <v>10470</v>
      </c>
      <c r="B68" s="1" t="s">
        <v>491</v>
      </c>
      <c r="C68" s="1" t="s">
        <v>17</v>
      </c>
      <c r="D68" s="1" t="s">
        <v>18</v>
      </c>
      <c r="E68" s="1">
        <v>73.5</v>
      </c>
      <c r="F68" s="1">
        <v>62</v>
      </c>
      <c r="G68" s="1">
        <v>71.5</v>
      </c>
      <c r="H68" s="1">
        <v>69.5</v>
      </c>
      <c r="I68" s="1">
        <v>79.5</v>
      </c>
      <c r="J68" s="1">
        <f t="shared" si="2"/>
        <v>356</v>
      </c>
      <c r="K68" s="3">
        <f t="shared" si="3"/>
        <v>71.2</v>
      </c>
    </row>
    <row r="69" spans="1:11">
      <c r="A69" s="1">
        <v>10483</v>
      </c>
      <c r="B69" s="1" t="s">
        <v>504</v>
      </c>
      <c r="C69" s="1" t="s">
        <v>14</v>
      </c>
      <c r="D69" s="1" t="s">
        <v>18</v>
      </c>
      <c r="E69" s="1">
        <v>68.5</v>
      </c>
      <c r="F69" s="1">
        <v>83.5</v>
      </c>
      <c r="G69" s="1">
        <v>72</v>
      </c>
      <c r="H69" s="1">
        <v>70</v>
      </c>
      <c r="I69" s="1">
        <v>77</v>
      </c>
      <c r="J69" s="1">
        <f t="shared" si="2"/>
        <v>371</v>
      </c>
      <c r="K69" s="3">
        <f t="shared" si="3"/>
        <v>74.2</v>
      </c>
    </row>
    <row r="70" spans="1:11">
      <c r="A70" s="1">
        <v>10492</v>
      </c>
      <c r="B70" s="1" t="s">
        <v>513</v>
      </c>
      <c r="C70" s="1" t="s">
        <v>14</v>
      </c>
      <c r="D70" s="1" t="s">
        <v>18</v>
      </c>
      <c r="E70" s="1">
        <v>77</v>
      </c>
      <c r="F70" s="1">
        <v>80.5</v>
      </c>
      <c r="G70" s="1">
        <v>85</v>
      </c>
      <c r="H70" s="1">
        <v>76</v>
      </c>
      <c r="I70" s="1">
        <v>88</v>
      </c>
      <c r="J70" s="1">
        <f t="shared" si="2"/>
        <v>406.5</v>
      </c>
      <c r="K70" s="3">
        <f t="shared" si="3"/>
        <v>81.3</v>
      </c>
    </row>
    <row r="71" spans="1:11">
      <c r="A71" s="1">
        <v>10493</v>
      </c>
      <c r="B71" s="1" t="s">
        <v>514</v>
      </c>
      <c r="C71" s="1" t="s">
        <v>14</v>
      </c>
      <c r="D71" s="1" t="s">
        <v>18</v>
      </c>
      <c r="E71" s="1">
        <v>72.5</v>
      </c>
      <c r="F71" s="1">
        <v>64</v>
      </c>
      <c r="G71" s="1">
        <v>69</v>
      </c>
      <c r="H71" s="1">
        <v>67</v>
      </c>
      <c r="I71" s="1">
        <v>68</v>
      </c>
      <c r="J71" s="1">
        <f t="shared" si="2"/>
        <v>340.5</v>
      </c>
      <c r="K71" s="3">
        <f t="shared" si="3"/>
        <v>68.1</v>
      </c>
    </row>
    <row r="72" spans="1:11">
      <c r="A72" s="1">
        <v>10001</v>
      </c>
      <c r="B72" s="1" t="s">
        <v>13</v>
      </c>
      <c r="C72" s="1" t="s">
        <v>14</v>
      </c>
      <c r="D72" s="1" t="s">
        <v>15</v>
      </c>
      <c r="E72" s="1">
        <v>91</v>
      </c>
      <c r="F72" s="1">
        <v>98</v>
      </c>
      <c r="G72" s="1">
        <v>94</v>
      </c>
      <c r="H72" s="1">
        <v>92</v>
      </c>
      <c r="I72" s="1">
        <v>82</v>
      </c>
      <c r="J72" s="1">
        <f t="shared" si="2"/>
        <v>457</v>
      </c>
      <c r="K72" s="3">
        <f t="shared" si="3"/>
        <v>91.4</v>
      </c>
    </row>
    <row r="73" spans="1:11">
      <c r="A73" s="1">
        <v>10005</v>
      </c>
      <c r="B73" s="1" t="s">
        <v>25</v>
      </c>
      <c r="C73" s="1" t="s">
        <v>14</v>
      </c>
      <c r="D73" s="1" t="s">
        <v>15</v>
      </c>
      <c r="E73" s="1">
        <v>73.5</v>
      </c>
      <c r="F73" s="1">
        <v>78</v>
      </c>
      <c r="G73" s="1">
        <v>73</v>
      </c>
      <c r="H73" s="1">
        <v>71</v>
      </c>
      <c r="I73" s="1">
        <v>77.5</v>
      </c>
      <c r="J73" s="1">
        <f t="shared" si="2"/>
        <v>373</v>
      </c>
      <c r="K73" s="3">
        <f t="shared" si="3"/>
        <v>74.6</v>
      </c>
    </row>
    <row r="74" spans="1:11">
      <c r="A74" s="1">
        <v>10006</v>
      </c>
      <c r="B74" s="1" t="s">
        <v>27</v>
      </c>
      <c r="C74" s="1" t="s">
        <v>17</v>
      </c>
      <c r="D74" s="1" t="s">
        <v>15</v>
      </c>
      <c r="E74" s="1">
        <v>78</v>
      </c>
      <c r="F74" s="1">
        <v>86.5</v>
      </c>
      <c r="G74" s="1">
        <v>67</v>
      </c>
      <c r="H74" s="1">
        <v>65</v>
      </c>
      <c r="I74" s="1">
        <v>68</v>
      </c>
      <c r="J74" s="1">
        <f t="shared" si="2"/>
        <v>364.5</v>
      </c>
      <c r="K74" s="3">
        <f t="shared" si="3"/>
        <v>72.9</v>
      </c>
    </row>
    <row r="75" spans="1:11">
      <c r="A75" s="1">
        <v>10010</v>
      </c>
      <c r="B75" s="1" t="s">
        <v>32</v>
      </c>
      <c r="C75" s="1" t="s">
        <v>14</v>
      </c>
      <c r="D75" s="1" t="s">
        <v>15</v>
      </c>
      <c r="E75" s="1">
        <v>77</v>
      </c>
      <c r="F75" s="1">
        <v>90</v>
      </c>
      <c r="G75" s="1">
        <v>74.5</v>
      </c>
      <c r="H75" s="1">
        <v>72.5</v>
      </c>
      <c r="I75" s="1">
        <v>77.5</v>
      </c>
      <c r="J75" s="1">
        <f t="shared" si="2"/>
        <v>391.5</v>
      </c>
      <c r="K75" s="3">
        <f t="shared" si="3"/>
        <v>78.3</v>
      </c>
    </row>
    <row r="76" spans="1:11">
      <c r="A76" s="1">
        <v>10015</v>
      </c>
      <c r="B76" s="1" t="s">
        <v>38</v>
      </c>
      <c r="C76" s="1" t="s">
        <v>14</v>
      </c>
      <c r="D76" s="1" t="s">
        <v>15</v>
      </c>
      <c r="E76" s="1">
        <v>82.5</v>
      </c>
      <c r="F76" s="1">
        <v>72</v>
      </c>
      <c r="G76" s="1">
        <v>67.5</v>
      </c>
      <c r="H76" s="1">
        <v>65.5</v>
      </c>
      <c r="I76" s="1">
        <v>77.5</v>
      </c>
      <c r="J76" s="1">
        <f t="shared" si="2"/>
        <v>365</v>
      </c>
      <c r="K76" s="3">
        <f t="shared" si="3"/>
        <v>73</v>
      </c>
    </row>
    <row r="77" spans="1:11">
      <c r="A77" s="1">
        <v>10022</v>
      </c>
      <c r="B77" s="1" t="s">
        <v>45</v>
      </c>
      <c r="C77" s="1" t="s">
        <v>17</v>
      </c>
      <c r="D77" s="1" t="s">
        <v>15</v>
      </c>
      <c r="E77" s="1">
        <v>78.5</v>
      </c>
      <c r="F77" s="1">
        <v>73</v>
      </c>
      <c r="G77" s="1">
        <v>83</v>
      </c>
      <c r="H77" s="1">
        <v>81</v>
      </c>
      <c r="I77" s="1">
        <v>73</v>
      </c>
      <c r="J77" s="1">
        <f t="shared" si="2"/>
        <v>388.5</v>
      </c>
      <c r="K77" s="3">
        <f t="shared" si="3"/>
        <v>77.7</v>
      </c>
    </row>
    <row r="78" spans="1:11">
      <c r="A78" s="1">
        <v>10027</v>
      </c>
      <c r="B78" s="1" t="s">
        <v>50</v>
      </c>
      <c r="C78" s="1" t="s">
        <v>17</v>
      </c>
      <c r="D78" s="1" t="s">
        <v>15</v>
      </c>
      <c r="E78" s="1">
        <v>63.5</v>
      </c>
      <c r="F78" s="1">
        <v>77.5</v>
      </c>
      <c r="G78" s="1">
        <v>84.5</v>
      </c>
      <c r="H78" s="1">
        <v>82.5</v>
      </c>
      <c r="I78" s="1">
        <v>80</v>
      </c>
      <c r="J78" s="1">
        <f t="shared" si="2"/>
        <v>388</v>
      </c>
      <c r="K78" s="3">
        <f t="shared" si="3"/>
        <v>77.6</v>
      </c>
    </row>
    <row r="79" spans="1:11">
      <c r="A79" s="1">
        <v>10029</v>
      </c>
      <c r="B79" s="1" t="s">
        <v>52</v>
      </c>
      <c r="C79" s="1" t="s">
        <v>17</v>
      </c>
      <c r="D79" s="1" t="s">
        <v>15</v>
      </c>
      <c r="E79" s="1">
        <v>52.5</v>
      </c>
      <c r="F79" s="1">
        <v>50</v>
      </c>
      <c r="G79" s="1">
        <v>64</v>
      </c>
      <c r="H79" s="1">
        <v>62</v>
      </c>
      <c r="I79" s="1">
        <v>60</v>
      </c>
      <c r="J79" s="1">
        <f t="shared" si="2"/>
        <v>288.5</v>
      </c>
      <c r="K79" s="3">
        <f t="shared" si="3"/>
        <v>57.7</v>
      </c>
    </row>
    <row r="80" spans="1:11">
      <c r="A80" s="1">
        <v>10036</v>
      </c>
      <c r="B80" s="1" t="s">
        <v>59</v>
      </c>
      <c r="C80" s="1" t="s">
        <v>17</v>
      </c>
      <c r="D80" s="1" t="s">
        <v>15</v>
      </c>
      <c r="E80" s="1">
        <v>93</v>
      </c>
      <c r="F80" s="1">
        <v>82</v>
      </c>
      <c r="G80" s="1">
        <v>97</v>
      </c>
      <c r="H80" s="1">
        <v>97</v>
      </c>
      <c r="I80" s="1">
        <v>92</v>
      </c>
      <c r="J80" s="1">
        <f t="shared" si="2"/>
        <v>461</v>
      </c>
      <c r="K80" s="3">
        <f t="shared" si="3"/>
        <v>92.2</v>
      </c>
    </row>
    <row r="81" spans="1:11">
      <c r="A81" s="1">
        <v>10041</v>
      </c>
      <c r="B81" s="1" t="s">
        <v>64</v>
      </c>
      <c r="C81" s="1" t="s">
        <v>14</v>
      </c>
      <c r="D81" s="1" t="s">
        <v>15</v>
      </c>
      <c r="E81" s="1">
        <v>73.5</v>
      </c>
      <c r="F81" s="1">
        <v>69</v>
      </c>
      <c r="G81" s="1">
        <v>88.5</v>
      </c>
      <c r="H81" s="1">
        <v>86.5</v>
      </c>
      <c r="I81" s="1">
        <v>74</v>
      </c>
      <c r="J81" s="1">
        <f t="shared" si="2"/>
        <v>391.5</v>
      </c>
      <c r="K81" s="3">
        <f t="shared" si="3"/>
        <v>78.3</v>
      </c>
    </row>
    <row r="82" spans="1:11">
      <c r="A82" s="1">
        <v>10053</v>
      </c>
      <c r="B82" s="1" t="s">
        <v>76</v>
      </c>
      <c r="C82" s="1" t="s">
        <v>17</v>
      </c>
      <c r="D82" s="1" t="s">
        <v>15</v>
      </c>
      <c r="E82" s="1">
        <v>76</v>
      </c>
      <c r="F82" s="1">
        <v>71.5</v>
      </c>
      <c r="G82" s="1">
        <v>76</v>
      </c>
      <c r="H82" s="1">
        <v>74</v>
      </c>
      <c r="I82" s="1">
        <v>72</v>
      </c>
      <c r="J82" s="1">
        <f t="shared" si="2"/>
        <v>369.5</v>
      </c>
      <c r="K82" s="3">
        <f t="shared" si="3"/>
        <v>73.9</v>
      </c>
    </row>
    <row r="83" spans="1:11">
      <c r="A83" s="1">
        <v>10057</v>
      </c>
      <c r="B83" s="1" t="s">
        <v>80</v>
      </c>
      <c r="C83" s="1" t="s">
        <v>14</v>
      </c>
      <c r="D83" s="1" t="s">
        <v>15</v>
      </c>
      <c r="E83" s="1">
        <v>92.5</v>
      </c>
      <c r="F83" s="1">
        <v>82</v>
      </c>
      <c r="G83" s="1">
        <v>75</v>
      </c>
      <c r="H83" s="1">
        <v>73</v>
      </c>
      <c r="I83" s="1">
        <v>82</v>
      </c>
      <c r="J83" s="1">
        <f t="shared" si="2"/>
        <v>404.5</v>
      </c>
      <c r="K83" s="3">
        <f t="shared" si="3"/>
        <v>80.9</v>
      </c>
    </row>
    <row r="84" spans="1:11">
      <c r="A84" s="1">
        <v>10058</v>
      </c>
      <c r="B84" s="1" t="s">
        <v>81</v>
      </c>
      <c r="C84" s="1" t="s">
        <v>17</v>
      </c>
      <c r="D84" s="1" t="s">
        <v>15</v>
      </c>
      <c r="E84" s="1">
        <v>93.5</v>
      </c>
      <c r="F84" s="1">
        <v>83</v>
      </c>
      <c r="G84" s="1">
        <v>73.5</v>
      </c>
      <c r="H84" s="1">
        <v>71.5</v>
      </c>
      <c r="I84" s="1">
        <v>91</v>
      </c>
      <c r="J84" s="1">
        <f t="shared" si="2"/>
        <v>412.5</v>
      </c>
      <c r="K84" s="3">
        <f t="shared" si="3"/>
        <v>82.5</v>
      </c>
    </row>
    <row r="85" spans="1:11">
      <c r="A85" s="1">
        <v>10061</v>
      </c>
      <c r="B85" s="1" t="s">
        <v>84</v>
      </c>
      <c r="C85" s="1" t="s">
        <v>14</v>
      </c>
      <c r="D85" s="1" t="s">
        <v>15</v>
      </c>
      <c r="E85" s="1">
        <v>79.5</v>
      </c>
      <c r="F85" s="1">
        <v>73</v>
      </c>
      <c r="G85" s="1">
        <v>79.5</v>
      </c>
      <c r="H85" s="1">
        <v>77.5</v>
      </c>
      <c r="I85" s="1">
        <v>70.5</v>
      </c>
      <c r="J85" s="1">
        <f t="shared" si="2"/>
        <v>380</v>
      </c>
      <c r="K85" s="3">
        <f t="shared" si="3"/>
        <v>76</v>
      </c>
    </row>
    <row r="86" spans="1:11">
      <c r="A86" s="1">
        <v>10063</v>
      </c>
      <c r="B86" s="1" t="s">
        <v>86</v>
      </c>
      <c r="C86" s="1" t="s">
        <v>14</v>
      </c>
      <c r="D86" s="1" t="s">
        <v>15</v>
      </c>
      <c r="E86" s="1">
        <v>64</v>
      </c>
      <c r="F86" s="1">
        <v>70.5</v>
      </c>
      <c r="G86" s="1">
        <v>62</v>
      </c>
      <c r="H86" s="1">
        <v>85</v>
      </c>
      <c r="I86" s="1">
        <v>60</v>
      </c>
      <c r="J86" s="1">
        <f t="shared" si="2"/>
        <v>341.5</v>
      </c>
      <c r="K86" s="3">
        <f t="shared" si="3"/>
        <v>68.3</v>
      </c>
    </row>
    <row r="87" spans="1:11">
      <c r="A87" s="1">
        <v>10071</v>
      </c>
      <c r="B87" s="1" t="s">
        <v>94</v>
      </c>
      <c r="C87" s="1" t="s">
        <v>17</v>
      </c>
      <c r="D87" s="1" t="s">
        <v>15</v>
      </c>
      <c r="E87" s="1">
        <v>56</v>
      </c>
      <c r="F87" s="1">
        <v>60.5</v>
      </c>
      <c r="G87" s="1">
        <v>54</v>
      </c>
      <c r="H87" s="1">
        <v>79</v>
      </c>
      <c r="I87" s="1">
        <v>76.5</v>
      </c>
      <c r="J87" s="1">
        <f t="shared" si="2"/>
        <v>326</v>
      </c>
      <c r="K87" s="3">
        <f t="shared" si="3"/>
        <v>65.2</v>
      </c>
    </row>
    <row r="88" spans="1:11">
      <c r="A88" s="1">
        <v>10079</v>
      </c>
      <c r="B88" s="1" t="s">
        <v>102</v>
      </c>
      <c r="C88" s="1" t="s">
        <v>17</v>
      </c>
      <c r="D88" s="1" t="s">
        <v>15</v>
      </c>
      <c r="E88" s="1">
        <v>74</v>
      </c>
      <c r="F88" s="1">
        <v>85</v>
      </c>
      <c r="G88" s="1">
        <v>73</v>
      </c>
      <c r="H88" s="1">
        <v>71</v>
      </c>
      <c r="I88" s="1">
        <v>88</v>
      </c>
      <c r="J88" s="1">
        <f t="shared" si="2"/>
        <v>391</v>
      </c>
      <c r="K88" s="3">
        <f t="shared" si="3"/>
        <v>78.2</v>
      </c>
    </row>
    <row r="89" spans="1:11">
      <c r="A89" s="1">
        <v>10084</v>
      </c>
      <c r="B89" s="1" t="s">
        <v>107</v>
      </c>
      <c r="C89" s="1" t="s">
        <v>17</v>
      </c>
      <c r="D89" s="1" t="s">
        <v>15</v>
      </c>
      <c r="E89" s="1">
        <v>58.5</v>
      </c>
      <c r="F89" s="1">
        <v>82</v>
      </c>
      <c r="G89" s="1">
        <v>70</v>
      </c>
      <c r="H89" s="1">
        <v>60</v>
      </c>
      <c r="I89" s="1">
        <v>64.5</v>
      </c>
      <c r="J89" s="1">
        <f t="shared" si="2"/>
        <v>335</v>
      </c>
      <c r="K89" s="3">
        <f t="shared" si="3"/>
        <v>67</v>
      </c>
    </row>
    <row r="90" spans="1:11">
      <c r="A90" s="1">
        <v>10088</v>
      </c>
      <c r="B90" s="1" t="s">
        <v>111</v>
      </c>
      <c r="C90" s="1" t="s">
        <v>14</v>
      </c>
      <c r="D90" s="1" t="s">
        <v>15</v>
      </c>
      <c r="E90" s="1">
        <v>81.5</v>
      </c>
      <c r="F90" s="1">
        <v>76.5</v>
      </c>
      <c r="G90" s="1">
        <v>72</v>
      </c>
      <c r="H90" s="1">
        <v>70</v>
      </c>
      <c r="I90" s="1">
        <v>82.5</v>
      </c>
      <c r="J90" s="1">
        <f t="shared" si="2"/>
        <v>382.5</v>
      </c>
      <c r="K90" s="3">
        <f t="shared" si="3"/>
        <v>76.5</v>
      </c>
    </row>
    <row r="91" spans="1:11">
      <c r="A91" s="1">
        <v>10089</v>
      </c>
      <c r="B91" s="1" t="s">
        <v>112</v>
      </c>
      <c r="C91" s="1" t="s">
        <v>17</v>
      </c>
      <c r="D91" s="1" t="s">
        <v>15</v>
      </c>
      <c r="E91" s="1">
        <v>80</v>
      </c>
      <c r="F91" s="1">
        <v>85</v>
      </c>
      <c r="G91" s="1">
        <v>97</v>
      </c>
      <c r="H91" s="1">
        <v>98</v>
      </c>
      <c r="I91" s="1">
        <v>95</v>
      </c>
      <c r="J91" s="1">
        <f t="shared" si="2"/>
        <v>455</v>
      </c>
      <c r="K91" s="3">
        <f t="shared" si="3"/>
        <v>91</v>
      </c>
    </row>
    <row r="92" spans="1:11">
      <c r="A92" s="1">
        <v>10094</v>
      </c>
      <c r="B92" s="1" t="s">
        <v>117</v>
      </c>
      <c r="C92" s="1" t="s">
        <v>17</v>
      </c>
      <c r="D92" s="1" t="s">
        <v>15</v>
      </c>
      <c r="E92" s="1">
        <v>74.5</v>
      </c>
      <c r="F92" s="1">
        <v>80.5</v>
      </c>
      <c r="G92" s="1">
        <v>81</v>
      </c>
      <c r="H92" s="1">
        <v>79</v>
      </c>
      <c r="I92" s="1">
        <v>75</v>
      </c>
      <c r="J92" s="1">
        <f t="shared" si="2"/>
        <v>390</v>
      </c>
      <c r="K92" s="3">
        <f t="shared" si="3"/>
        <v>78</v>
      </c>
    </row>
    <row r="93" spans="1:11">
      <c r="A93" s="1">
        <v>10105</v>
      </c>
      <c r="B93" s="1" t="s">
        <v>128</v>
      </c>
      <c r="C93" s="1" t="s">
        <v>14</v>
      </c>
      <c r="D93" s="1" t="s">
        <v>15</v>
      </c>
      <c r="E93" s="1">
        <v>74.5</v>
      </c>
      <c r="F93" s="1">
        <v>76.5</v>
      </c>
      <c r="G93" s="1">
        <v>78</v>
      </c>
      <c r="H93" s="1">
        <v>76</v>
      </c>
      <c r="I93" s="1">
        <v>79</v>
      </c>
      <c r="J93" s="1">
        <f t="shared" si="2"/>
        <v>384</v>
      </c>
      <c r="K93" s="3">
        <f t="shared" si="3"/>
        <v>76.8</v>
      </c>
    </row>
    <row r="94" spans="1:11">
      <c r="A94" s="1">
        <v>10106</v>
      </c>
      <c r="B94" s="1" t="s">
        <v>129</v>
      </c>
      <c r="C94" s="1" t="s">
        <v>14</v>
      </c>
      <c r="D94" s="1" t="s">
        <v>15</v>
      </c>
      <c r="E94" s="1">
        <v>74.5</v>
      </c>
      <c r="F94" s="1">
        <v>95</v>
      </c>
      <c r="G94" s="1">
        <v>75.5</v>
      </c>
      <c r="H94" s="1">
        <v>85</v>
      </c>
      <c r="I94" s="1">
        <v>78.5</v>
      </c>
      <c r="J94" s="1">
        <f t="shared" si="2"/>
        <v>408.5</v>
      </c>
      <c r="K94" s="3">
        <f t="shared" si="3"/>
        <v>81.7</v>
      </c>
    </row>
    <row r="95" spans="1:11">
      <c r="A95" s="1">
        <v>10107</v>
      </c>
      <c r="B95" s="1" t="s">
        <v>130</v>
      </c>
      <c r="C95" s="1" t="s">
        <v>17</v>
      </c>
      <c r="D95" s="1" t="s">
        <v>15</v>
      </c>
      <c r="E95" s="1">
        <v>82</v>
      </c>
      <c r="F95" s="1">
        <v>69</v>
      </c>
      <c r="G95" s="1">
        <v>75.5</v>
      </c>
      <c r="H95" s="1">
        <v>73.5</v>
      </c>
      <c r="I95" s="1">
        <v>79</v>
      </c>
      <c r="J95" s="1">
        <f t="shared" si="2"/>
        <v>379</v>
      </c>
      <c r="K95" s="3">
        <f t="shared" si="3"/>
        <v>75.8</v>
      </c>
    </row>
    <row r="96" spans="1:11">
      <c r="A96" s="1">
        <v>10114</v>
      </c>
      <c r="B96" s="1" t="s">
        <v>137</v>
      </c>
      <c r="C96" s="1" t="s">
        <v>17</v>
      </c>
      <c r="D96" s="1" t="s">
        <v>15</v>
      </c>
      <c r="E96" s="1">
        <v>66</v>
      </c>
      <c r="F96" s="1">
        <v>70.5</v>
      </c>
      <c r="G96" s="1">
        <v>87</v>
      </c>
      <c r="H96" s="1">
        <v>85</v>
      </c>
      <c r="I96" s="1">
        <v>57</v>
      </c>
      <c r="J96" s="1">
        <f t="shared" si="2"/>
        <v>365.5</v>
      </c>
      <c r="K96" s="3">
        <f t="shared" si="3"/>
        <v>73.1</v>
      </c>
    </row>
    <row r="97" spans="1:11">
      <c r="A97" s="1">
        <v>10122</v>
      </c>
      <c r="B97" s="1" t="s">
        <v>145</v>
      </c>
      <c r="C97" s="1" t="s">
        <v>14</v>
      </c>
      <c r="D97" s="1" t="s">
        <v>15</v>
      </c>
      <c r="E97" s="1">
        <v>92</v>
      </c>
      <c r="F97" s="1">
        <v>76.5</v>
      </c>
      <c r="G97" s="1">
        <v>69</v>
      </c>
      <c r="H97" s="1">
        <v>67</v>
      </c>
      <c r="I97" s="1">
        <v>80</v>
      </c>
      <c r="J97" s="1">
        <f t="shared" si="2"/>
        <v>384.5</v>
      </c>
      <c r="K97" s="3">
        <f t="shared" si="3"/>
        <v>76.9</v>
      </c>
    </row>
    <row r="98" spans="1:11">
      <c r="A98" s="1">
        <v>10141</v>
      </c>
      <c r="B98" s="1" t="s">
        <v>164</v>
      </c>
      <c r="C98" s="1" t="s">
        <v>14</v>
      </c>
      <c r="D98" s="1" t="s">
        <v>15</v>
      </c>
      <c r="E98" s="1">
        <v>75.5</v>
      </c>
      <c r="F98" s="1">
        <v>70.5</v>
      </c>
      <c r="G98" s="1">
        <v>85.5</v>
      </c>
      <c r="H98" s="1">
        <v>83.5</v>
      </c>
      <c r="I98" s="1">
        <v>73.5</v>
      </c>
      <c r="J98" s="1">
        <f t="shared" si="2"/>
        <v>388.5</v>
      </c>
      <c r="K98" s="3">
        <f t="shared" si="3"/>
        <v>77.7</v>
      </c>
    </row>
    <row r="99" spans="1:11">
      <c r="A99" s="1">
        <v>10157</v>
      </c>
      <c r="B99" s="1" t="s">
        <v>180</v>
      </c>
      <c r="C99" s="1" t="s">
        <v>14</v>
      </c>
      <c r="D99" s="1" t="s">
        <v>15</v>
      </c>
      <c r="E99" s="1">
        <v>85.5</v>
      </c>
      <c r="F99" s="1">
        <v>76</v>
      </c>
      <c r="G99" s="1">
        <v>86</v>
      </c>
      <c r="H99" s="1">
        <v>84</v>
      </c>
      <c r="I99" s="1">
        <v>79.5</v>
      </c>
      <c r="J99" s="1">
        <f t="shared" si="2"/>
        <v>411</v>
      </c>
      <c r="K99" s="3">
        <f t="shared" si="3"/>
        <v>82.2</v>
      </c>
    </row>
    <row r="100" spans="1:11">
      <c r="A100" s="1">
        <v>10160</v>
      </c>
      <c r="B100" s="1" t="s">
        <v>183</v>
      </c>
      <c r="C100" s="1" t="s">
        <v>14</v>
      </c>
      <c r="D100" s="1" t="s">
        <v>15</v>
      </c>
      <c r="E100" s="1">
        <v>83</v>
      </c>
      <c r="F100" s="1">
        <v>66.5</v>
      </c>
      <c r="G100" s="1">
        <v>74</v>
      </c>
      <c r="H100" s="1">
        <v>72</v>
      </c>
      <c r="I100" s="1">
        <v>76</v>
      </c>
      <c r="J100" s="1">
        <f t="shared" si="2"/>
        <v>371.5</v>
      </c>
      <c r="K100" s="3">
        <f t="shared" si="3"/>
        <v>74.3</v>
      </c>
    </row>
    <row r="101" spans="1:11">
      <c r="A101" s="1">
        <v>10163</v>
      </c>
      <c r="B101" s="1" t="s">
        <v>186</v>
      </c>
      <c r="C101" s="1" t="s">
        <v>14</v>
      </c>
      <c r="D101" s="1" t="s">
        <v>15</v>
      </c>
      <c r="E101" s="1">
        <v>75.5</v>
      </c>
      <c r="F101" s="1">
        <v>91.5</v>
      </c>
      <c r="G101" s="1">
        <v>83.5</v>
      </c>
      <c r="H101" s="1">
        <v>81.5</v>
      </c>
      <c r="I101" s="1">
        <v>83</v>
      </c>
      <c r="J101" s="1">
        <f t="shared" si="2"/>
        <v>415</v>
      </c>
      <c r="K101" s="3">
        <f t="shared" si="3"/>
        <v>83</v>
      </c>
    </row>
    <row r="102" spans="1:11">
      <c r="A102" s="1">
        <v>10176</v>
      </c>
      <c r="B102" s="1" t="s">
        <v>199</v>
      </c>
      <c r="C102" s="1" t="s">
        <v>14</v>
      </c>
      <c r="D102" s="1" t="s">
        <v>15</v>
      </c>
      <c r="E102" s="1">
        <v>72</v>
      </c>
      <c r="F102" s="1">
        <v>73.5</v>
      </c>
      <c r="G102" s="1">
        <v>74</v>
      </c>
      <c r="H102" s="1">
        <v>72</v>
      </c>
      <c r="I102" s="1">
        <v>72</v>
      </c>
      <c r="J102" s="1">
        <f t="shared" si="2"/>
        <v>363.5</v>
      </c>
      <c r="K102" s="3">
        <f t="shared" si="3"/>
        <v>72.7</v>
      </c>
    </row>
    <row r="103" spans="1:11">
      <c r="A103" s="1">
        <v>10183</v>
      </c>
      <c r="B103" s="1" t="s">
        <v>206</v>
      </c>
      <c r="C103" s="1" t="s">
        <v>14</v>
      </c>
      <c r="D103" s="1" t="s">
        <v>15</v>
      </c>
      <c r="E103" s="1">
        <v>70</v>
      </c>
      <c r="F103" s="1">
        <v>76.5</v>
      </c>
      <c r="G103" s="1">
        <v>74</v>
      </c>
      <c r="H103" s="1">
        <v>72</v>
      </c>
      <c r="I103" s="1">
        <v>78</v>
      </c>
      <c r="J103" s="1">
        <f t="shared" si="2"/>
        <v>370.5</v>
      </c>
      <c r="K103" s="3">
        <f t="shared" si="3"/>
        <v>74.1</v>
      </c>
    </row>
    <row r="104" spans="1:11">
      <c r="A104" s="1">
        <v>10184</v>
      </c>
      <c r="B104" s="1" t="s">
        <v>207</v>
      </c>
      <c r="C104" s="1" t="s">
        <v>14</v>
      </c>
      <c r="D104" s="1" t="s">
        <v>15</v>
      </c>
      <c r="E104" s="1">
        <v>75.5</v>
      </c>
      <c r="F104" s="1">
        <v>59</v>
      </c>
      <c r="G104" s="1">
        <v>86.5</v>
      </c>
      <c r="H104" s="1">
        <v>84.5</v>
      </c>
      <c r="I104" s="1">
        <v>77.5</v>
      </c>
      <c r="J104" s="1">
        <f t="shared" si="2"/>
        <v>383</v>
      </c>
      <c r="K104" s="3">
        <f t="shared" si="3"/>
        <v>76.6</v>
      </c>
    </row>
    <row r="105" spans="1:11">
      <c r="A105" s="1">
        <v>10195</v>
      </c>
      <c r="B105" s="1" t="s">
        <v>218</v>
      </c>
      <c r="C105" s="1" t="s">
        <v>17</v>
      </c>
      <c r="D105" s="1" t="s">
        <v>15</v>
      </c>
      <c r="E105" s="1">
        <v>93</v>
      </c>
      <c r="F105" s="1">
        <v>90</v>
      </c>
      <c r="G105" s="1">
        <v>93</v>
      </c>
      <c r="H105" s="1">
        <v>89</v>
      </c>
      <c r="I105" s="1">
        <v>87.5</v>
      </c>
      <c r="J105" s="1">
        <f t="shared" si="2"/>
        <v>452.5</v>
      </c>
      <c r="K105" s="3">
        <f t="shared" si="3"/>
        <v>90.5</v>
      </c>
    </row>
    <row r="106" spans="1:11">
      <c r="A106" s="1">
        <v>10199</v>
      </c>
      <c r="B106" s="1" t="s">
        <v>222</v>
      </c>
      <c r="C106" s="1" t="s">
        <v>14</v>
      </c>
      <c r="D106" s="1" t="s">
        <v>15</v>
      </c>
      <c r="E106" s="1">
        <v>68</v>
      </c>
      <c r="F106" s="1">
        <v>70.5</v>
      </c>
      <c r="G106" s="1">
        <v>70</v>
      </c>
      <c r="H106" s="1">
        <v>68</v>
      </c>
      <c r="I106" s="1">
        <v>72</v>
      </c>
      <c r="J106" s="1">
        <f t="shared" si="2"/>
        <v>348.5</v>
      </c>
      <c r="K106" s="3">
        <f t="shared" si="3"/>
        <v>69.7</v>
      </c>
    </row>
    <row r="107" spans="1:11">
      <c r="A107" s="1">
        <v>10202</v>
      </c>
      <c r="B107" s="1" t="s">
        <v>225</v>
      </c>
      <c r="C107" s="1" t="s">
        <v>17</v>
      </c>
      <c r="D107" s="1" t="s">
        <v>15</v>
      </c>
      <c r="E107" s="1">
        <v>81.5</v>
      </c>
      <c r="F107" s="1">
        <v>69</v>
      </c>
      <c r="G107" s="1">
        <v>81</v>
      </c>
      <c r="H107" s="1">
        <v>79</v>
      </c>
      <c r="I107" s="1">
        <v>71</v>
      </c>
      <c r="J107" s="1">
        <f t="shared" si="2"/>
        <v>381.5</v>
      </c>
      <c r="K107" s="3">
        <f t="shared" si="3"/>
        <v>76.3</v>
      </c>
    </row>
    <row r="108" spans="1:11">
      <c r="A108" s="1">
        <v>10221</v>
      </c>
      <c r="B108" s="1" t="s">
        <v>244</v>
      </c>
      <c r="C108" s="1" t="s">
        <v>14</v>
      </c>
      <c r="D108" s="1" t="s">
        <v>15</v>
      </c>
      <c r="E108" s="1">
        <v>75.5</v>
      </c>
      <c r="F108" s="1">
        <v>97.5</v>
      </c>
      <c r="G108" s="1">
        <v>65</v>
      </c>
      <c r="H108" s="1">
        <v>85</v>
      </c>
      <c r="I108" s="1">
        <v>91.5</v>
      </c>
      <c r="J108" s="1">
        <f t="shared" si="2"/>
        <v>414.5</v>
      </c>
      <c r="K108" s="3">
        <f t="shared" si="3"/>
        <v>82.9</v>
      </c>
    </row>
    <row r="109" spans="1:11">
      <c r="A109" s="1">
        <v>10225</v>
      </c>
      <c r="B109" s="1" t="s">
        <v>248</v>
      </c>
      <c r="C109" s="1" t="s">
        <v>14</v>
      </c>
      <c r="D109" s="1" t="s">
        <v>15</v>
      </c>
      <c r="E109" s="1">
        <v>77</v>
      </c>
      <c r="F109" s="1">
        <v>72</v>
      </c>
      <c r="G109" s="1">
        <v>71</v>
      </c>
      <c r="H109" s="1">
        <v>60</v>
      </c>
      <c r="I109" s="1">
        <v>60.5</v>
      </c>
      <c r="J109" s="1">
        <f t="shared" si="2"/>
        <v>340.5</v>
      </c>
      <c r="K109" s="3">
        <f t="shared" si="3"/>
        <v>68.1</v>
      </c>
    </row>
    <row r="110" spans="1:11">
      <c r="A110" s="1">
        <v>10233</v>
      </c>
      <c r="B110" s="1" t="s">
        <v>256</v>
      </c>
      <c r="C110" s="1" t="s">
        <v>17</v>
      </c>
      <c r="D110" s="1" t="s">
        <v>15</v>
      </c>
      <c r="E110" s="1">
        <v>69.5</v>
      </c>
      <c r="F110" s="1">
        <v>81</v>
      </c>
      <c r="G110" s="1">
        <v>74.5</v>
      </c>
      <c r="H110" s="1">
        <v>72.5</v>
      </c>
      <c r="I110" s="1">
        <v>73</v>
      </c>
      <c r="J110" s="1">
        <f t="shared" si="2"/>
        <v>370.5</v>
      </c>
      <c r="K110" s="3">
        <f t="shared" si="3"/>
        <v>74.1</v>
      </c>
    </row>
    <row r="111" spans="1:11">
      <c r="A111" s="1">
        <v>10235</v>
      </c>
      <c r="B111" s="1" t="s">
        <v>258</v>
      </c>
      <c r="C111" s="1" t="s">
        <v>17</v>
      </c>
      <c r="D111" s="1" t="s">
        <v>15</v>
      </c>
      <c r="E111" s="1">
        <v>64</v>
      </c>
      <c r="F111" s="1">
        <v>64.5</v>
      </c>
      <c r="G111" s="1">
        <v>75</v>
      </c>
      <c r="H111" s="1">
        <v>78</v>
      </c>
      <c r="I111" s="1">
        <v>60</v>
      </c>
      <c r="J111" s="1">
        <f t="shared" si="2"/>
        <v>341.5</v>
      </c>
      <c r="K111" s="3">
        <f t="shared" si="3"/>
        <v>68.3</v>
      </c>
    </row>
    <row r="112" spans="1:11">
      <c r="A112" s="1">
        <v>10243</v>
      </c>
      <c r="B112" s="1" t="s">
        <v>266</v>
      </c>
      <c r="C112" s="1" t="s">
        <v>14</v>
      </c>
      <c r="D112" s="1" t="s">
        <v>15</v>
      </c>
      <c r="E112" s="1">
        <v>94</v>
      </c>
      <c r="F112" s="1">
        <v>69.5</v>
      </c>
      <c r="G112" s="1">
        <v>81</v>
      </c>
      <c r="H112" s="1">
        <v>79</v>
      </c>
      <c r="I112" s="1">
        <v>87.5</v>
      </c>
      <c r="J112" s="1">
        <f t="shared" si="2"/>
        <v>411</v>
      </c>
      <c r="K112" s="3">
        <f t="shared" si="3"/>
        <v>82.2</v>
      </c>
    </row>
    <row r="113" spans="1:11">
      <c r="A113" s="1">
        <v>10264</v>
      </c>
      <c r="B113" s="1" t="s">
        <v>85</v>
      </c>
      <c r="C113" s="1" t="s">
        <v>17</v>
      </c>
      <c r="D113" s="1" t="s">
        <v>15</v>
      </c>
      <c r="E113" s="1">
        <v>90</v>
      </c>
      <c r="F113" s="1">
        <v>92</v>
      </c>
      <c r="G113" s="1">
        <v>87</v>
      </c>
      <c r="H113" s="1">
        <v>91</v>
      </c>
      <c r="I113" s="1">
        <v>90</v>
      </c>
      <c r="J113" s="1">
        <f t="shared" si="2"/>
        <v>450</v>
      </c>
      <c r="K113" s="3">
        <f t="shared" si="3"/>
        <v>90</v>
      </c>
    </row>
    <row r="114" spans="1:11">
      <c r="A114" s="1">
        <v>10265</v>
      </c>
      <c r="B114" s="1" t="s">
        <v>286</v>
      </c>
      <c r="C114" s="1" t="s">
        <v>17</v>
      </c>
      <c r="D114" s="1" t="s">
        <v>15</v>
      </c>
      <c r="E114" s="1">
        <v>79</v>
      </c>
      <c r="F114" s="1">
        <v>82</v>
      </c>
      <c r="G114" s="1">
        <v>76.5</v>
      </c>
      <c r="H114" s="1">
        <v>74.5</v>
      </c>
      <c r="I114" s="1">
        <v>72.5</v>
      </c>
      <c r="J114" s="1">
        <f t="shared" si="2"/>
        <v>384.5</v>
      </c>
      <c r="K114" s="3">
        <f t="shared" si="3"/>
        <v>76.9</v>
      </c>
    </row>
    <row r="115" spans="1:11">
      <c r="A115" s="1">
        <v>10274</v>
      </c>
      <c r="B115" s="1" t="s">
        <v>295</v>
      </c>
      <c r="C115" s="1" t="s">
        <v>14</v>
      </c>
      <c r="D115" s="1" t="s">
        <v>15</v>
      </c>
      <c r="E115" s="1">
        <v>77.5</v>
      </c>
      <c r="F115" s="1">
        <v>78.5</v>
      </c>
      <c r="G115" s="1">
        <v>65</v>
      </c>
      <c r="H115" s="1">
        <v>63</v>
      </c>
      <c r="I115" s="1">
        <v>73.5</v>
      </c>
      <c r="J115" s="1">
        <f t="shared" si="2"/>
        <v>357.5</v>
      </c>
      <c r="K115" s="3">
        <f t="shared" si="3"/>
        <v>71.5</v>
      </c>
    </row>
    <row r="116" spans="1:11">
      <c r="A116" s="1">
        <v>10277</v>
      </c>
      <c r="B116" s="1" t="s">
        <v>298</v>
      </c>
      <c r="C116" s="1" t="s">
        <v>17</v>
      </c>
      <c r="D116" s="1" t="s">
        <v>15</v>
      </c>
      <c r="E116" s="1">
        <v>83.5</v>
      </c>
      <c r="F116" s="1">
        <v>86.5</v>
      </c>
      <c r="G116" s="1">
        <v>84</v>
      </c>
      <c r="H116" s="1">
        <v>82</v>
      </c>
      <c r="I116" s="1">
        <v>80</v>
      </c>
      <c r="J116" s="1">
        <f t="shared" si="2"/>
        <v>416</v>
      </c>
      <c r="K116" s="3">
        <f t="shared" si="3"/>
        <v>83.2</v>
      </c>
    </row>
    <row r="117" spans="1:11">
      <c r="A117" s="1">
        <v>10293</v>
      </c>
      <c r="B117" s="1" t="s">
        <v>314</v>
      </c>
      <c r="C117" s="1" t="s">
        <v>17</v>
      </c>
      <c r="D117" s="1" t="s">
        <v>15</v>
      </c>
      <c r="E117" s="1">
        <v>87.5</v>
      </c>
      <c r="F117" s="1">
        <v>81.5</v>
      </c>
      <c r="G117" s="1">
        <v>85</v>
      </c>
      <c r="H117" s="1">
        <v>83</v>
      </c>
      <c r="I117" s="1">
        <v>89.5</v>
      </c>
      <c r="J117" s="1">
        <f t="shared" si="2"/>
        <v>426.5</v>
      </c>
      <c r="K117" s="3">
        <f t="shared" si="3"/>
        <v>85.3</v>
      </c>
    </row>
    <row r="118" spans="1:11">
      <c r="A118" s="1">
        <v>10296</v>
      </c>
      <c r="B118" s="1" t="s">
        <v>317</v>
      </c>
      <c r="C118" s="1" t="s">
        <v>14</v>
      </c>
      <c r="D118" s="1" t="s">
        <v>15</v>
      </c>
      <c r="E118" s="1">
        <v>91.5</v>
      </c>
      <c r="F118" s="1">
        <v>80</v>
      </c>
      <c r="G118" s="1">
        <v>59</v>
      </c>
      <c r="H118" s="1">
        <v>57</v>
      </c>
      <c r="I118" s="1">
        <v>52</v>
      </c>
      <c r="J118" s="1">
        <f t="shared" si="2"/>
        <v>339.5</v>
      </c>
      <c r="K118" s="3">
        <f t="shared" si="3"/>
        <v>67.9</v>
      </c>
    </row>
    <row r="119" spans="1:11">
      <c r="A119" s="1">
        <v>10301</v>
      </c>
      <c r="B119" s="1" t="s">
        <v>322</v>
      </c>
      <c r="C119" s="1" t="s">
        <v>17</v>
      </c>
      <c r="D119" s="1" t="s">
        <v>15</v>
      </c>
      <c r="E119" s="1">
        <v>81.5</v>
      </c>
      <c r="F119" s="1">
        <v>74.5</v>
      </c>
      <c r="G119" s="1">
        <v>68.5</v>
      </c>
      <c r="H119" s="1">
        <v>66.5</v>
      </c>
      <c r="I119" s="1">
        <v>91</v>
      </c>
      <c r="J119" s="1">
        <f t="shared" si="2"/>
        <v>382</v>
      </c>
      <c r="K119" s="3">
        <f t="shared" si="3"/>
        <v>76.4</v>
      </c>
    </row>
    <row r="120" spans="1:11">
      <c r="A120" s="1">
        <v>10305</v>
      </c>
      <c r="B120" s="1" t="s">
        <v>326</v>
      </c>
      <c r="C120" s="1" t="s">
        <v>14</v>
      </c>
      <c r="D120" s="1" t="s">
        <v>15</v>
      </c>
      <c r="E120" s="1">
        <v>78</v>
      </c>
      <c r="F120" s="1">
        <v>75.5</v>
      </c>
      <c r="G120" s="1">
        <v>82.5</v>
      </c>
      <c r="H120" s="1">
        <v>80.5</v>
      </c>
      <c r="I120" s="1">
        <v>94</v>
      </c>
      <c r="J120" s="1">
        <f t="shared" si="2"/>
        <v>410.5</v>
      </c>
      <c r="K120" s="3">
        <f t="shared" si="3"/>
        <v>82.1</v>
      </c>
    </row>
    <row r="121" spans="1:11">
      <c r="A121" s="1">
        <v>10311</v>
      </c>
      <c r="B121" s="1" t="s">
        <v>332</v>
      </c>
      <c r="C121" s="1" t="s">
        <v>17</v>
      </c>
      <c r="D121" s="1" t="s">
        <v>15</v>
      </c>
      <c r="E121" s="1">
        <v>76.5</v>
      </c>
      <c r="F121" s="1">
        <v>78.5</v>
      </c>
      <c r="G121" s="1">
        <v>63</v>
      </c>
      <c r="H121" s="1">
        <v>61</v>
      </c>
      <c r="I121" s="1">
        <v>69.5</v>
      </c>
      <c r="J121" s="1">
        <f t="shared" si="2"/>
        <v>348.5</v>
      </c>
      <c r="K121" s="3">
        <f t="shared" si="3"/>
        <v>69.7</v>
      </c>
    </row>
    <row r="122" spans="1:11">
      <c r="A122" s="1">
        <v>10319</v>
      </c>
      <c r="B122" s="1" t="s">
        <v>340</v>
      </c>
      <c r="C122" s="1" t="s">
        <v>17</v>
      </c>
      <c r="D122" s="1" t="s">
        <v>15</v>
      </c>
      <c r="E122" s="1">
        <v>90</v>
      </c>
      <c r="F122" s="1">
        <v>94</v>
      </c>
      <c r="G122" s="1">
        <v>70.5</v>
      </c>
      <c r="H122" s="1">
        <v>68.5</v>
      </c>
      <c r="I122" s="1">
        <v>88</v>
      </c>
      <c r="J122" s="1">
        <f t="shared" si="2"/>
        <v>411</v>
      </c>
      <c r="K122" s="3">
        <f t="shared" si="3"/>
        <v>82.2</v>
      </c>
    </row>
    <row r="123" spans="1:11">
      <c r="A123" s="1">
        <v>10320</v>
      </c>
      <c r="B123" s="1" t="s">
        <v>341</v>
      </c>
      <c r="C123" s="1" t="s">
        <v>14</v>
      </c>
      <c r="D123" s="1" t="s">
        <v>15</v>
      </c>
      <c r="E123" s="1">
        <v>88</v>
      </c>
      <c r="F123" s="1">
        <v>96</v>
      </c>
      <c r="G123" s="1">
        <v>62</v>
      </c>
      <c r="H123" s="1">
        <v>80</v>
      </c>
      <c r="I123" s="1">
        <v>80.5</v>
      </c>
      <c r="J123" s="1">
        <f t="shared" si="2"/>
        <v>406.5</v>
      </c>
      <c r="K123" s="3">
        <f t="shared" si="3"/>
        <v>81.3</v>
      </c>
    </row>
    <row r="124" spans="1:11">
      <c r="A124" s="1">
        <v>10322</v>
      </c>
      <c r="B124" s="1" t="s">
        <v>343</v>
      </c>
      <c r="C124" s="1" t="s">
        <v>14</v>
      </c>
      <c r="D124" s="1" t="s">
        <v>15</v>
      </c>
      <c r="E124" s="1">
        <v>82</v>
      </c>
      <c r="F124" s="1">
        <v>70.5</v>
      </c>
      <c r="G124" s="1">
        <v>80.5</v>
      </c>
      <c r="H124" s="1">
        <v>86</v>
      </c>
      <c r="I124" s="1">
        <v>87</v>
      </c>
      <c r="J124" s="1">
        <f t="shared" si="2"/>
        <v>406</v>
      </c>
      <c r="K124" s="3">
        <f t="shared" si="3"/>
        <v>81.2</v>
      </c>
    </row>
    <row r="125" spans="1:11">
      <c r="A125" s="1">
        <v>10324</v>
      </c>
      <c r="B125" s="1" t="s">
        <v>345</v>
      </c>
      <c r="C125" s="1" t="s">
        <v>17</v>
      </c>
      <c r="D125" s="1" t="s">
        <v>15</v>
      </c>
      <c r="E125" s="1">
        <v>76</v>
      </c>
      <c r="F125" s="1">
        <v>88</v>
      </c>
      <c r="G125" s="1">
        <v>83</v>
      </c>
      <c r="H125" s="1">
        <v>81</v>
      </c>
      <c r="I125" s="1">
        <v>72</v>
      </c>
      <c r="J125" s="1">
        <f t="shared" si="2"/>
        <v>400</v>
      </c>
      <c r="K125" s="3">
        <f t="shared" si="3"/>
        <v>80</v>
      </c>
    </row>
    <row r="126" spans="1:11">
      <c r="A126" s="1">
        <v>10325</v>
      </c>
      <c r="B126" s="1" t="s">
        <v>346</v>
      </c>
      <c r="C126" s="1" t="s">
        <v>17</v>
      </c>
      <c r="D126" s="1" t="s">
        <v>15</v>
      </c>
      <c r="E126" s="1">
        <v>76.5</v>
      </c>
      <c r="F126" s="1">
        <v>80.5</v>
      </c>
      <c r="G126" s="1">
        <v>68.5</v>
      </c>
      <c r="H126" s="1">
        <v>66.5</v>
      </c>
      <c r="I126" s="1">
        <v>86.5</v>
      </c>
      <c r="J126" s="1">
        <f t="shared" si="2"/>
        <v>378.5</v>
      </c>
      <c r="K126" s="3">
        <f t="shared" si="3"/>
        <v>75.7</v>
      </c>
    </row>
    <row r="127" spans="1:11">
      <c r="A127" s="1">
        <v>10333</v>
      </c>
      <c r="B127" s="1" t="s">
        <v>354</v>
      </c>
      <c r="C127" s="1" t="s">
        <v>14</v>
      </c>
      <c r="D127" s="1" t="s">
        <v>15</v>
      </c>
      <c r="E127" s="1">
        <v>71.5</v>
      </c>
      <c r="F127" s="1">
        <v>64.5</v>
      </c>
      <c r="G127" s="1">
        <v>61</v>
      </c>
      <c r="H127" s="1">
        <v>75</v>
      </c>
      <c r="I127" s="1">
        <v>68.5</v>
      </c>
      <c r="J127" s="1">
        <f t="shared" si="2"/>
        <v>340.5</v>
      </c>
      <c r="K127" s="3">
        <f t="shared" si="3"/>
        <v>68.1</v>
      </c>
    </row>
    <row r="128" spans="1:11">
      <c r="A128" s="1">
        <v>10334</v>
      </c>
      <c r="B128" s="1" t="s">
        <v>355</v>
      </c>
      <c r="C128" s="1" t="s">
        <v>14</v>
      </c>
      <c r="D128" s="1" t="s">
        <v>15</v>
      </c>
      <c r="E128" s="1">
        <v>84</v>
      </c>
      <c r="F128" s="1">
        <v>67</v>
      </c>
      <c r="G128" s="1">
        <v>73.5</v>
      </c>
      <c r="H128" s="1">
        <v>71.5</v>
      </c>
      <c r="I128" s="1">
        <v>75.5</v>
      </c>
      <c r="J128" s="1">
        <f t="shared" si="2"/>
        <v>371.5</v>
      </c>
      <c r="K128" s="3">
        <f t="shared" si="3"/>
        <v>74.3</v>
      </c>
    </row>
    <row r="129" spans="1:11">
      <c r="A129" s="1">
        <v>10337</v>
      </c>
      <c r="B129" s="1" t="s">
        <v>358</v>
      </c>
      <c r="C129" s="1" t="s">
        <v>17</v>
      </c>
      <c r="D129" s="1" t="s">
        <v>15</v>
      </c>
      <c r="E129" s="1">
        <v>84.5</v>
      </c>
      <c r="F129" s="1">
        <v>60</v>
      </c>
      <c r="G129" s="1">
        <v>75.5</v>
      </c>
      <c r="H129" s="1">
        <v>73.5</v>
      </c>
      <c r="I129" s="1">
        <v>82</v>
      </c>
      <c r="J129" s="1">
        <f t="shared" si="2"/>
        <v>375.5</v>
      </c>
      <c r="K129" s="3">
        <f t="shared" si="3"/>
        <v>75.1</v>
      </c>
    </row>
    <row r="130" spans="1:11">
      <c r="A130" s="1">
        <v>10348</v>
      </c>
      <c r="B130" s="1" t="s">
        <v>369</v>
      </c>
      <c r="C130" s="1" t="s">
        <v>14</v>
      </c>
      <c r="D130" s="1" t="s">
        <v>15</v>
      </c>
      <c r="E130" s="1">
        <v>96</v>
      </c>
      <c r="F130" s="1">
        <v>74</v>
      </c>
      <c r="G130" s="1">
        <v>95</v>
      </c>
      <c r="H130" s="1">
        <v>93</v>
      </c>
      <c r="I130" s="1">
        <v>65.5</v>
      </c>
      <c r="J130" s="1">
        <f t="shared" ref="J130:J193" si="4">SUM(E130:I130)</f>
        <v>423.5</v>
      </c>
      <c r="K130" s="3">
        <f t="shared" ref="K130:K193" si="5">AVERAGE(E130:I130)</f>
        <v>84.7</v>
      </c>
    </row>
    <row r="131" spans="1:11">
      <c r="A131" s="1">
        <v>10351</v>
      </c>
      <c r="B131" s="1" t="s">
        <v>372</v>
      </c>
      <c r="C131" s="1" t="s">
        <v>14</v>
      </c>
      <c r="D131" s="1" t="s">
        <v>15</v>
      </c>
      <c r="E131" s="1">
        <v>92</v>
      </c>
      <c r="F131" s="1">
        <v>85</v>
      </c>
      <c r="G131" s="1">
        <v>94</v>
      </c>
      <c r="H131" s="1">
        <v>92</v>
      </c>
      <c r="I131" s="1">
        <v>92</v>
      </c>
      <c r="J131" s="1">
        <f t="shared" si="4"/>
        <v>455</v>
      </c>
      <c r="K131" s="3">
        <f t="shared" si="5"/>
        <v>91</v>
      </c>
    </row>
    <row r="132" spans="1:11">
      <c r="A132" s="1">
        <v>10357</v>
      </c>
      <c r="B132" s="1" t="s">
        <v>378</v>
      </c>
      <c r="C132" s="1" t="s">
        <v>17</v>
      </c>
      <c r="D132" s="1" t="s">
        <v>15</v>
      </c>
      <c r="E132" s="1">
        <v>90</v>
      </c>
      <c r="F132" s="1">
        <v>73</v>
      </c>
      <c r="G132" s="1">
        <v>84</v>
      </c>
      <c r="H132" s="1">
        <v>82</v>
      </c>
      <c r="I132" s="1">
        <v>80</v>
      </c>
      <c r="J132" s="1">
        <f t="shared" si="4"/>
        <v>409</v>
      </c>
      <c r="K132" s="3">
        <f t="shared" si="5"/>
        <v>81.8</v>
      </c>
    </row>
    <row r="133" spans="1:11">
      <c r="A133" s="1">
        <v>10362</v>
      </c>
      <c r="B133" s="1" t="s">
        <v>383</v>
      </c>
      <c r="C133" s="1" t="s">
        <v>17</v>
      </c>
      <c r="D133" s="1" t="s">
        <v>15</v>
      </c>
      <c r="E133" s="1">
        <v>60.5</v>
      </c>
      <c r="F133" s="1">
        <v>86</v>
      </c>
      <c r="G133" s="1">
        <v>79</v>
      </c>
      <c r="H133" s="1">
        <v>77</v>
      </c>
      <c r="I133" s="1">
        <v>78.5</v>
      </c>
      <c r="J133" s="1">
        <f t="shared" si="4"/>
        <v>381</v>
      </c>
      <c r="K133" s="3">
        <f t="shared" si="5"/>
        <v>76.2</v>
      </c>
    </row>
    <row r="134" spans="1:11">
      <c r="A134" s="1">
        <v>10363</v>
      </c>
      <c r="B134" s="1" t="s">
        <v>384</v>
      </c>
      <c r="C134" s="1" t="s">
        <v>17</v>
      </c>
      <c r="D134" s="1" t="s">
        <v>15</v>
      </c>
      <c r="E134" s="1">
        <v>93</v>
      </c>
      <c r="F134" s="1">
        <v>66.5</v>
      </c>
      <c r="G134" s="1">
        <v>67</v>
      </c>
      <c r="H134" s="1">
        <v>65</v>
      </c>
      <c r="I134" s="1">
        <v>79.5</v>
      </c>
      <c r="J134" s="1">
        <f t="shared" si="4"/>
        <v>371</v>
      </c>
      <c r="K134" s="3">
        <f t="shared" si="5"/>
        <v>74.2</v>
      </c>
    </row>
    <row r="135" spans="1:11">
      <c r="A135" s="1">
        <v>10374</v>
      </c>
      <c r="B135" s="1" t="s">
        <v>395</v>
      </c>
      <c r="C135" s="1" t="s">
        <v>14</v>
      </c>
      <c r="D135" s="1" t="s">
        <v>15</v>
      </c>
      <c r="E135" s="1">
        <v>80.5</v>
      </c>
      <c r="F135" s="1">
        <v>87</v>
      </c>
      <c r="G135" s="1">
        <v>69.5</v>
      </c>
      <c r="H135" s="1">
        <v>67.5</v>
      </c>
      <c r="I135" s="1">
        <v>84</v>
      </c>
      <c r="J135" s="1">
        <f t="shared" si="4"/>
        <v>388.5</v>
      </c>
      <c r="K135" s="3">
        <f t="shared" si="5"/>
        <v>77.7</v>
      </c>
    </row>
    <row r="136" spans="1:11">
      <c r="A136" s="1">
        <v>10378</v>
      </c>
      <c r="B136" s="1" t="s">
        <v>399</v>
      </c>
      <c r="C136" s="1" t="s">
        <v>17</v>
      </c>
      <c r="D136" s="1" t="s">
        <v>15</v>
      </c>
      <c r="E136" s="1">
        <v>81</v>
      </c>
      <c r="F136" s="1">
        <v>85</v>
      </c>
      <c r="G136" s="1">
        <v>96</v>
      </c>
      <c r="H136" s="1">
        <v>94</v>
      </c>
      <c r="I136" s="1">
        <v>97</v>
      </c>
      <c r="J136" s="1">
        <f t="shared" si="4"/>
        <v>453</v>
      </c>
      <c r="K136" s="3">
        <f t="shared" si="5"/>
        <v>90.6</v>
      </c>
    </row>
    <row r="137" spans="1:11">
      <c r="A137" s="1">
        <v>10382</v>
      </c>
      <c r="B137" s="1" t="s">
        <v>403</v>
      </c>
      <c r="C137" s="1" t="s">
        <v>17</v>
      </c>
      <c r="D137" s="1" t="s">
        <v>15</v>
      </c>
      <c r="E137" s="1">
        <v>67.5</v>
      </c>
      <c r="F137" s="1">
        <v>62</v>
      </c>
      <c r="G137" s="1">
        <v>69.5</v>
      </c>
      <c r="H137" s="1">
        <v>67.5</v>
      </c>
      <c r="I137" s="1">
        <v>70</v>
      </c>
      <c r="J137" s="1">
        <f t="shared" si="4"/>
        <v>336.5</v>
      </c>
      <c r="K137" s="3">
        <f t="shared" si="5"/>
        <v>67.3</v>
      </c>
    </row>
    <row r="138" spans="1:11">
      <c r="A138" s="1">
        <v>10390</v>
      </c>
      <c r="B138" s="1" t="s">
        <v>411</v>
      </c>
      <c r="C138" s="1" t="s">
        <v>14</v>
      </c>
      <c r="D138" s="1" t="s">
        <v>15</v>
      </c>
      <c r="E138" s="1">
        <v>80.5</v>
      </c>
      <c r="F138" s="1">
        <v>66</v>
      </c>
      <c r="G138" s="1">
        <v>62.5</v>
      </c>
      <c r="H138" s="1">
        <v>60.5</v>
      </c>
      <c r="I138" s="1">
        <v>65</v>
      </c>
      <c r="J138" s="1">
        <f t="shared" si="4"/>
        <v>334.5</v>
      </c>
      <c r="K138" s="3">
        <f t="shared" si="5"/>
        <v>66.9</v>
      </c>
    </row>
    <row r="139" spans="1:11">
      <c r="A139" s="1">
        <v>10391</v>
      </c>
      <c r="B139" s="1" t="s">
        <v>412</v>
      </c>
      <c r="C139" s="1" t="s">
        <v>14</v>
      </c>
      <c r="D139" s="1" t="s">
        <v>15</v>
      </c>
      <c r="E139" s="1">
        <v>74.5</v>
      </c>
      <c r="F139" s="1">
        <v>89.5</v>
      </c>
      <c r="G139" s="1">
        <v>67.5</v>
      </c>
      <c r="H139" s="1">
        <v>65.5</v>
      </c>
      <c r="I139" s="1">
        <v>79.5</v>
      </c>
      <c r="J139" s="1">
        <f t="shared" si="4"/>
        <v>376.5</v>
      </c>
      <c r="K139" s="3">
        <f t="shared" si="5"/>
        <v>75.3</v>
      </c>
    </row>
    <row r="140" spans="1:11">
      <c r="A140" s="1">
        <v>10392</v>
      </c>
      <c r="B140" s="1" t="s">
        <v>413</v>
      </c>
      <c r="C140" s="1" t="s">
        <v>17</v>
      </c>
      <c r="D140" s="1" t="s">
        <v>15</v>
      </c>
      <c r="E140" s="1">
        <v>86</v>
      </c>
      <c r="F140" s="1">
        <v>82</v>
      </c>
      <c r="G140" s="1">
        <v>67</v>
      </c>
      <c r="H140" s="1">
        <v>65</v>
      </c>
      <c r="I140" s="1">
        <v>68</v>
      </c>
      <c r="J140" s="1">
        <f t="shared" si="4"/>
        <v>368</v>
      </c>
      <c r="K140" s="3">
        <f t="shared" si="5"/>
        <v>73.6</v>
      </c>
    </row>
    <row r="141" spans="1:11">
      <c r="A141" s="1">
        <v>10407</v>
      </c>
      <c r="B141" s="1" t="s">
        <v>428</v>
      </c>
      <c r="C141" s="1" t="s">
        <v>17</v>
      </c>
      <c r="D141" s="1" t="s">
        <v>15</v>
      </c>
      <c r="E141" s="1">
        <v>81.5</v>
      </c>
      <c r="F141" s="1">
        <v>76.5</v>
      </c>
      <c r="G141" s="1">
        <v>90</v>
      </c>
      <c r="H141" s="1">
        <v>86</v>
      </c>
      <c r="I141" s="1">
        <v>88</v>
      </c>
      <c r="J141" s="1">
        <f t="shared" si="4"/>
        <v>422</v>
      </c>
      <c r="K141" s="3">
        <f t="shared" si="5"/>
        <v>84.4</v>
      </c>
    </row>
    <row r="142" spans="1:11">
      <c r="A142" s="1">
        <v>10425</v>
      </c>
      <c r="B142" s="1" t="s">
        <v>446</v>
      </c>
      <c r="C142" s="1" t="s">
        <v>17</v>
      </c>
      <c r="D142" s="1" t="s">
        <v>15</v>
      </c>
      <c r="E142" s="1">
        <v>74.5</v>
      </c>
      <c r="F142" s="1">
        <v>66.5</v>
      </c>
      <c r="G142" s="1">
        <v>71</v>
      </c>
      <c r="H142" s="1">
        <v>69</v>
      </c>
      <c r="I142" s="1">
        <v>87.5</v>
      </c>
      <c r="J142" s="1">
        <f t="shared" si="4"/>
        <v>368.5</v>
      </c>
      <c r="K142" s="3">
        <f t="shared" si="5"/>
        <v>73.7</v>
      </c>
    </row>
    <row r="143" spans="1:11">
      <c r="A143" s="1">
        <v>10426</v>
      </c>
      <c r="B143" s="1" t="s">
        <v>447</v>
      </c>
      <c r="C143" s="1" t="s">
        <v>17</v>
      </c>
      <c r="D143" s="1" t="s">
        <v>15</v>
      </c>
      <c r="E143" s="1">
        <v>72.5</v>
      </c>
      <c r="F143" s="1">
        <v>73.5</v>
      </c>
      <c r="G143" s="1">
        <v>85.5</v>
      </c>
      <c r="H143" s="1">
        <v>83.5</v>
      </c>
      <c r="I143" s="1">
        <v>76</v>
      </c>
      <c r="J143" s="1">
        <f t="shared" si="4"/>
        <v>391</v>
      </c>
      <c r="K143" s="3">
        <f t="shared" si="5"/>
        <v>78.2</v>
      </c>
    </row>
    <row r="144" spans="1:11">
      <c r="A144" s="1">
        <v>10431</v>
      </c>
      <c r="B144" s="1" t="s">
        <v>452</v>
      </c>
      <c r="C144" s="1" t="s">
        <v>14</v>
      </c>
      <c r="D144" s="1" t="s">
        <v>15</v>
      </c>
      <c r="E144" s="1">
        <v>89.5</v>
      </c>
      <c r="F144" s="1">
        <v>67</v>
      </c>
      <c r="G144" s="1">
        <v>68</v>
      </c>
      <c r="H144" s="1">
        <v>66</v>
      </c>
      <c r="I144" s="1">
        <v>88.5</v>
      </c>
      <c r="J144" s="1">
        <f t="shared" si="4"/>
        <v>379</v>
      </c>
      <c r="K144" s="3">
        <f t="shared" si="5"/>
        <v>75.8</v>
      </c>
    </row>
    <row r="145" spans="1:11">
      <c r="A145" s="1">
        <v>10441</v>
      </c>
      <c r="B145" s="1" t="s">
        <v>462</v>
      </c>
      <c r="C145" s="1" t="s">
        <v>17</v>
      </c>
      <c r="D145" s="1" t="s">
        <v>15</v>
      </c>
      <c r="E145" s="1">
        <v>96</v>
      </c>
      <c r="F145" s="1">
        <v>96</v>
      </c>
      <c r="G145" s="1">
        <v>73.5</v>
      </c>
      <c r="H145" s="1">
        <v>71.5</v>
      </c>
      <c r="I145" s="1">
        <v>79.5</v>
      </c>
      <c r="J145" s="1">
        <f t="shared" si="4"/>
        <v>416.5</v>
      </c>
      <c r="K145" s="3">
        <f t="shared" si="5"/>
        <v>83.3</v>
      </c>
    </row>
    <row r="146" spans="1:11">
      <c r="A146" s="1">
        <v>10444</v>
      </c>
      <c r="B146" s="1" t="s">
        <v>465</v>
      </c>
      <c r="C146" s="1" t="s">
        <v>17</v>
      </c>
      <c r="D146" s="1" t="s">
        <v>15</v>
      </c>
      <c r="E146" s="1">
        <v>60.5</v>
      </c>
      <c r="F146" s="1">
        <v>62</v>
      </c>
      <c r="G146" s="1">
        <v>72.5</v>
      </c>
      <c r="H146" s="1">
        <v>70.5</v>
      </c>
      <c r="I146" s="1">
        <v>75</v>
      </c>
      <c r="J146" s="1">
        <f t="shared" si="4"/>
        <v>340.5</v>
      </c>
      <c r="K146" s="3">
        <f t="shared" si="5"/>
        <v>68.1</v>
      </c>
    </row>
    <row r="147" spans="1:11">
      <c r="A147" s="1">
        <v>10447</v>
      </c>
      <c r="B147" s="1" t="s">
        <v>468</v>
      </c>
      <c r="C147" s="1" t="s">
        <v>14</v>
      </c>
      <c r="D147" s="1" t="s">
        <v>15</v>
      </c>
      <c r="E147" s="1">
        <v>74.5</v>
      </c>
      <c r="F147" s="1">
        <v>67</v>
      </c>
      <c r="G147" s="1">
        <v>69</v>
      </c>
      <c r="H147" s="1">
        <v>67</v>
      </c>
      <c r="I147" s="1">
        <v>62</v>
      </c>
      <c r="J147" s="1">
        <f t="shared" si="4"/>
        <v>339.5</v>
      </c>
      <c r="K147" s="3">
        <f t="shared" si="5"/>
        <v>67.9</v>
      </c>
    </row>
    <row r="148" spans="1:11">
      <c r="A148" s="1">
        <v>10450</v>
      </c>
      <c r="B148" s="1" t="s">
        <v>471</v>
      </c>
      <c r="C148" s="1" t="s">
        <v>17</v>
      </c>
      <c r="D148" s="1" t="s">
        <v>15</v>
      </c>
      <c r="E148" s="1">
        <v>85</v>
      </c>
      <c r="F148" s="1">
        <v>71</v>
      </c>
      <c r="G148" s="1">
        <v>63</v>
      </c>
      <c r="H148" s="1">
        <v>61</v>
      </c>
      <c r="I148" s="1">
        <v>63</v>
      </c>
      <c r="J148" s="1">
        <f t="shared" si="4"/>
        <v>343</v>
      </c>
      <c r="K148" s="3">
        <f t="shared" si="5"/>
        <v>68.6</v>
      </c>
    </row>
    <row r="149" spans="1:11">
      <c r="A149" s="1">
        <v>10451</v>
      </c>
      <c r="B149" s="1" t="s">
        <v>472</v>
      </c>
      <c r="C149" s="1" t="s">
        <v>17</v>
      </c>
      <c r="D149" s="1" t="s">
        <v>15</v>
      </c>
      <c r="E149" s="1">
        <v>63</v>
      </c>
      <c r="F149" s="1">
        <v>73.5</v>
      </c>
      <c r="G149" s="1">
        <v>65</v>
      </c>
      <c r="H149" s="1">
        <v>63</v>
      </c>
      <c r="I149" s="1">
        <v>76</v>
      </c>
      <c r="J149" s="1">
        <f t="shared" si="4"/>
        <v>340.5</v>
      </c>
      <c r="K149" s="3">
        <f t="shared" si="5"/>
        <v>68.1</v>
      </c>
    </row>
    <row r="150" spans="1:11">
      <c r="A150" s="1">
        <v>10455</v>
      </c>
      <c r="B150" s="1" t="s">
        <v>476</v>
      </c>
      <c r="C150" s="1" t="s">
        <v>14</v>
      </c>
      <c r="D150" s="1" t="s">
        <v>15</v>
      </c>
      <c r="E150" s="1">
        <v>90</v>
      </c>
      <c r="F150" s="1">
        <v>77.5</v>
      </c>
      <c r="G150" s="1">
        <v>70</v>
      </c>
      <c r="H150" s="1">
        <v>79</v>
      </c>
      <c r="I150" s="1">
        <v>92.5</v>
      </c>
      <c r="J150" s="1">
        <f t="shared" si="4"/>
        <v>409</v>
      </c>
      <c r="K150" s="3">
        <f t="shared" si="5"/>
        <v>81.8</v>
      </c>
    </row>
    <row r="151" spans="1:11">
      <c r="A151" s="1">
        <v>10464</v>
      </c>
      <c r="B151" s="1" t="s">
        <v>485</v>
      </c>
      <c r="C151" s="1" t="s">
        <v>17</v>
      </c>
      <c r="D151" s="1" t="s">
        <v>15</v>
      </c>
      <c r="E151" s="1">
        <v>67</v>
      </c>
      <c r="F151" s="1">
        <v>74.5</v>
      </c>
      <c r="G151" s="1">
        <v>72</v>
      </c>
      <c r="H151" s="1">
        <v>70</v>
      </c>
      <c r="I151" s="1">
        <v>57</v>
      </c>
      <c r="J151" s="1">
        <f t="shared" si="4"/>
        <v>340.5</v>
      </c>
      <c r="K151" s="3">
        <f t="shared" si="5"/>
        <v>68.1</v>
      </c>
    </row>
    <row r="152" spans="1:11">
      <c r="A152" s="1">
        <v>10465</v>
      </c>
      <c r="B152" s="1" t="s">
        <v>486</v>
      </c>
      <c r="C152" s="1" t="s">
        <v>14</v>
      </c>
      <c r="D152" s="1" t="s">
        <v>15</v>
      </c>
      <c r="E152" s="1">
        <v>79.5</v>
      </c>
      <c r="F152" s="1">
        <v>59</v>
      </c>
      <c r="G152" s="1">
        <v>94</v>
      </c>
      <c r="H152" s="1">
        <v>97.5</v>
      </c>
      <c r="I152" s="1">
        <v>91</v>
      </c>
      <c r="J152" s="1">
        <f t="shared" si="4"/>
        <v>421</v>
      </c>
      <c r="K152" s="3">
        <f t="shared" si="5"/>
        <v>84.2</v>
      </c>
    </row>
    <row r="153" spans="1:11">
      <c r="A153" s="1">
        <v>10473</v>
      </c>
      <c r="B153" s="1" t="s">
        <v>494</v>
      </c>
      <c r="C153" s="1" t="s">
        <v>14</v>
      </c>
      <c r="D153" s="1" t="s">
        <v>15</v>
      </c>
      <c r="E153" s="1">
        <v>90.5</v>
      </c>
      <c r="F153" s="1">
        <v>81</v>
      </c>
      <c r="G153" s="1">
        <v>80.5</v>
      </c>
      <c r="H153" s="1">
        <v>78.5</v>
      </c>
      <c r="I153" s="1">
        <v>82.5</v>
      </c>
      <c r="J153" s="1">
        <f t="shared" si="4"/>
        <v>413</v>
      </c>
      <c r="K153" s="3">
        <f t="shared" si="5"/>
        <v>82.6</v>
      </c>
    </row>
    <row r="154" spans="1:11">
      <c r="A154" s="1">
        <v>10487</v>
      </c>
      <c r="B154" s="1" t="s">
        <v>508</v>
      </c>
      <c r="C154" s="1" t="s">
        <v>14</v>
      </c>
      <c r="D154" s="1" t="s">
        <v>15</v>
      </c>
      <c r="E154" s="1">
        <v>97</v>
      </c>
      <c r="F154" s="1">
        <v>55.5</v>
      </c>
      <c r="G154" s="1">
        <v>84.5</v>
      </c>
      <c r="H154" s="1">
        <v>82.5</v>
      </c>
      <c r="I154" s="1">
        <v>92</v>
      </c>
      <c r="J154" s="1">
        <f t="shared" si="4"/>
        <v>411.5</v>
      </c>
      <c r="K154" s="3">
        <f t="shared" si="5"/>
        <v>82.3</v>
      </c>
    </row>
    <row r="155" spans="1:11">
      <c r="A155" s="1">
        <v>10488</v>
      </c>
      <c r="B155" s="1" t="s">
        <v>509</v>
      </c>
      <c r="C155" s="1" t="s">
        <v>17</v>
      </c>
      <c r="D155" s="1" t="s">
        <v>15</v>
      </c>
      <c r="E155" s="1">
        <v>75.5</v>
      </c>
      <c r="F155" s="1">
        <v>57.5</v>
      </c>
      <c r="G155" s="1">
        <v>76</v>
      </c>
      <c r="H155" s="1">
        <v>60</v>
      </c>
      <c r="I155" s="1">
        <v>71</v>
      </c>
      <c r="J155" s="1">
        <f t="shared" si="4"/>
        <v>340</v>
      </c>
      <c r="K155" s="3">
        <f t="shared" si="5"/>
        <v>68</v>
      </c>
    </row>
    <row r="156" spans="1:11">
      <c r="A156" s="1">
        <v>10496</v>
      </c>
      <c r="B156" s="1" t="s">
        <v>517</v>
      </c>
      <c r="C156" s="1" t="s">
        <v>17</v>
      </c>
      <c r="D156" s="1" t="s">
        <v>15</v>
      </c>
      <c r="E156" s="1">
        <v>80.5</v>
      </c>
      <c r="F156" s="1">
        <v>86</v>
      </c>
      <c r="G156" s="1">
        <v>69</v>
      </c>
      <c r="H156" s="1">
        <v>67</v>
      </c>
      <c r="I156" s="1">
        <v>90</v>
      </c>
      <c r="J156" s="1">
        <f t="shared" si="4"/>
        <v>392.5</v>
      </c>
      <c r="K156" s="3">
        <f t="shared" si="5"/>
        <v>78.5</v>
      </c>
    </row>
    <row r="157" spans="1:11">
      <c r="A157" s="1">
        <v>10501</v>
      </c>
      <c r="B157" s="1" t="s">
        <v>522</v>
      </c>
      <c r="C157" s="1" t="s">
        <v>17</v>
      </c>
      <c r="D157" s="1" t="s">
        <v>15</v>
      </c>
      <c r="E157" s="1">
        <v>95</v>
      </c>
      <c r="F157" s="1">
        <v>87</v>
      </c>
      <c r="G157" s="1">
        <v>85</v>
      </c>
      <c r="H157" s="1">
        <v>92</v>
      </c>
      <c r="I157" s="1">
        <v>93.5</v>
      </c>
      <c r="J157" s="1">
        <f t="shared" si="4"/>
        <v>452.5</v>
      </c>
      <c r="K157" s="3">
        <f t="shared" si="5"/>
        <v>90.5</v>
      </c>
    </row>
    <row r="158" spans="1:11">
      <c r="A158" s="1">
        <v>10008</v>
      </c>
      <c r="B158" s="1" t="s">
        <v>29</v>
      </c>
      <c r="C158" s="1" t="s">
        <v>17</v>
      </c>
      <c r="D158" s="1" t="s">
        <v>30</v>
      </c>
      <c r="E158" s="1">
        <v>86.5</v>
      </c>
      <c r="F158" s="1">
        <v>65</v>
      </c>
      <c r="G158" s="1">
        <v>62.5</v>
      </c>
      <c r="H158" s="1">
        <v>60.5</v>
      </c>
      <c r="I158" s="1">
        <v>58.5</v>
      </c>
      <c r="J158" s="1">
        <f t="shared" si="4"/>
        <v>333</v>
      </c>
      <c r="K158" s="3">
        <f t="shared" si="5"/>
        <v>66.6</v>
      </c>
    </row>
    <row r="159" spans="1:11">
      <c r="A159" s="1">
        <v>10011</v>
      </c>
      <c r="B159" s="1" t="s">
        <v>33</v>
      </c>
      <c r="C159" s="1" t="s">
        <v>14</v>
      </c>
      <c r="D159" s="1" t="s">
        <v>30</v>
      </c>
      <c r="E159" s="1">
        <v>73.5</v>
      </c>
      <c r="F159" s="1">
        <v>70</v>
      </c>
      <c r="G159" s="1">
        <v>80</v>
      </c>
      <c r="H159" s="1">
        <v>82.5</v>
      </c>
      <c r="I159" s="1">
        <v>84</v>
      </c>
      <c r="J159" s="1">
        <f t="shared" si="4"/>
        <v>390</v>
      </c>
      <c r="K159" s="3">
        <f t="shared" si="5"/>
        <v>78</v>
      </c>
    </row>
    <row r="160" spans="1:11">
      <c r="A160" s="1">
        <v>10017</v>
      </c>
      <c r="B160" s="1" t="s">
        <v>40</v>
      </c>
      <c r="C160" s="1" t="s">
        <v>17</v>
      </c>
      <c r="D160" s="1" t="s">
        <v>30</v>
      </c>
      <c r="E160" s="1">
        <v>80</v>
      </c>
      <c r="F160" s="1">
        <v>90</v>
      </c>
      <c r="G160" s="1">
        <v>83</v>
      </c>
      <c r="H160" s="1">
        <v>81</v>
      </c>
      <c r="I160" s="1">
        <v>84</v>
      </c>
      <c r="J160" s="1">
        <f t="shared" si="4"/>
        <v>418</v>
      </c>
      <c r="K160" s="3">
        <f t="shared" si="5"/>
        <v>83.6</v>
      </c>
    </row>
    <row r="161" spans="1:11">
      <c r="A161" s="1">
        <v>10019</v>
      </c>
      <c r="B161" s="1" t="s">
        <v>42</v>
      </c>
      <c r="C161" s="1" t="s">
        <v>14</v>
      </c>
      <c r="D161" s="1" t="s">
        <v>30</v>
      </c>
      <c r="E161" s="1">
        <v>84</v>
      </c>
      <c r="F161" s="1">
        <v>73</v>
      </c>
      <c r="G161" s="1">
        <v>70</v>
      </c>
      <c r="H161" s="1">
        <v>76</v>
      </c>
      <c r="I161" s="1">
        <v>88</v>
      </c>
      <c r="J161" s="1">
        <f t="shared" si="4"/>
        <v>391</v>
      </c>
      <c r="K161" s="3">
        <f t="shared" si="5"/>
        <v>78.2</v>
      </c>
    </row>
    <row r="162" spans="1:11">
      <c r="A162" s="1">
        <v>10020</v>
      </c>
      <c r="B162" s="1" t="s">
        <v>43</v>
      </c>
      <c r="C162" s="1" t="s">
        <v>17</v>
      </c>
      <c r="D162" s="1" t="s">
        <v>30</v>
      </c>
      <c r="E162" s="1">
        <v>71</v>
      </c>
      <c r="F162" s="1">
        <v>82.5</v>
      </c>
      <c r="G162" s="1">
        <v>89</v>
      </c>
      <c r="H162" s="1">
        <v>87</v>
      </c>
      <c r="I162" s="1">
        <v>79</v>
      </c>
      <c r="J162" s="1">
        <f t="shared" si="4"/>
        <v>408.5</v>
      </c>
      <c r="K162" s="3">
        <f t="shared" si="5"/>
        <v>81.7</v>
      </c>
    </row>
    <row r="163" spans="1:11">
      <c r="A163" s="1">
        <v>10025</v>
      </c>
      <c r="B163" s="1" t="s">
        <v>48</v>
      </c>
      <c r="C163" s="1" t="s">
        <v>17</v>
      </c>
      <c r="D163" s="1" t="s">
        <v>30</v>
      </c>
      <c r="E163" s="1">
        <v>93</v>
      </c>
      <c r="F163" s="1">
        <v>86</v>
      </c>
      <c r="G163" s="1">
        <v>94.5</v>
      </c>
      <c r="H163" s="1">
        <v>92.5</v>
      </c>
      <c r="I163" s="1">
        <v>93</v>
      </c>
      <c r="J163" s="1">
        <f t="shared" si="4"/>
        <v>459</v>
      </c>
      <c r="K163" s="3">
        <f t="shared" si="5"/>
        <v>91.8</v>
      </c>
    </row>
    <row r="164" spans="1:11">
      <c r="A164" s="1">
        <v>10037</v>
      </c>
      <c r="B164" s="1" t="s">
        <v>60</v>
      </c>
      <c r="C164" s="1" t="s">
        <v>17</v>
      </c>
      <c r="D164" s="1" t="s">
        <v>30</v>
      </c>
      <c r="E164" s="1">
        <v>76.5</v>
      </c>
      <c r="F164" s="1">
        <v>79.5</v>
      </c>
      <c r="G164" s="1">
        <v>68</v>
      </c>
      <c r="H164" s="1">
        <v>66</v>
      </c>
      <c r="I164" s="1">
        <v>71.5</v>
      </c>
      <c r="J164" s="1">
        <f t="shared" si="4"/>
        <v>361.5</v>
      </c>
      <c r="K164" s="3">
        <f t="shared" si="5"/>
        <v>72.3</v>
      </c>
    </row>
    <row r="165" spans="1:11">
      <c r="A165" s="1">
        <v>10038</v>
      </c>
      <c r="B165" s="1" t="s">
        <v>61</v>
      </c>
      <c r="C165" s="1" t="s">
        <v>14</v>
      </c>
      <c r="D165" s="1" t="s">
        <v>30</v>
      </c>
      <c r="E165" s="1">
        <v>77</v>
      </c>
      <c r="F165" s="1">
        <v>77</v>
      </c>
      <c r="G165" s="1">
        <v>73</v>
      </c>
      <c r="H165" s="1">
        <v>71</v>
      </c>
      <c r="I165" s="1">
        <v>73</v>
      </c>
      <c r="J165" s="1">
        <f t="shared" si="4"/>
        <v>371</v>
      </c>
      <c r="K165" s="3">
        <f t="shared" si="5"/>
        <v>74.2</v>
      </c>
    </row>
    <row r="166" spans="1:11">
      <c r="A166" s="1">
        <v>10075</v>
      </c>
      <c r="B166" s="1" t="s">
        <v>98</v>
      </c>
      <c r="C166" s="1" t="s">
        <v>17</v>
      </c>
      <c r="D166" s="1" t="s">
        <v>30</v>
      </c>
      <c r="E166" s="1">
        <v>70.5</v>
      </c>
      <c r="F166" s="1">
        <v>74</v>
      </c>
      <c r="G166" s="1">
        <v>74</v>
      </c>
      <c r="H166" s="1">
        <v>72</v>
      </c>
      <c r="I166" s="1">
        <v>77</v>
      </c>
      <c r="J166" s="1">
        <f t="shared" si="4"/>
        <v>367.5</v>
      </c>
      <c r="K166" s="3">
        <f t="shared" si="5"/>
        <v>73.5</v>
      </c>
    </row>
    <row r="167" spans="1:11">
      <c r="A167" s="1">
        <v>10078</v>
      </c>
      <c r="B167" s="1" t="s">
        <v>101</v>
      </c>
      <c r="C167" s="1" t="s">
        <v>14</v>
      </c>
      <c r="D167" s="1" t="s">
        <v>30</v>
      </c>
      <c r="E167" s="1">
        <v>89</v>
      </c>
      <c r="F167" s="1">
        <v>75</v>
      </c>
      <c r="G167" s="1">
        <v>61</v>
      </c>
      <c r="H167" s="1">
        <v>59</v>
      </c>
      <c r="I167" s="1">
        <v>76.5</v>
      </c>
      <c r="J167" s="1">
        <f t="shared" si="4"/>
        <v>360.5</v>
      </c>
      <c r="K167" s="3">
        <f t="shared" si="5"/>
        <v>72.1</v>
      </c>
    </row>
    <row r="168" spans="1:11">
      <c r="A168" s="1">
        <v>10080</v>
      </c>
      <c r="B168" s="1" t="s">
        <v>103</v>
      </c>
      <c r="C168" s="1" t="s">
        <v>17</v>
      </c>
      <c r="D168" s="1" t="s">
        <v>30</v>
      </c>
      <c r="E168" s="1">
        <v>87</v>
      </c>
      <c r="F168" s="1">
        <v>80</v>
      </c>
      <c r="G168" s="1">
        <v>82</v>
      </c>
      <c r="H168" s="1">
        <v>72</v>
      </c>
      <c r="I168" s="1">
        <v>84</v>
      </c>
      <c r="J168" s="1">
        <f t="shared" si="4"/>
        <v>405</v>
      </c>
      <c r="K168" s="3">
        <f t="shared" si="5"/>
        <v>81</v>
      </c>
    </row>
    <row r="169" spans="1:11">
      <c r="A169" s="1">
        <v>10085</v>
      </c>
      <c r="B169" s="1" t="s">
        <v>108</v>
      </c>
      <c r="C169" s="1" t="s">
        <v>14</v>
      </c>
      <c r="D169" s="1" t="s">
        <v>30</v>
      </c>
      <c r="E169" s="1">
        <v>81</v>
      </c>
      <c r="F169" s="1">
        <v>74.5</v>
      </c>
      <c r="G169" s="1">
        <v>75</v>
      </c>
      <c r="H169" s="1">
        <v>88</v>
      </c>
      <c r="I169" s="1">
        <v>90</v>
      </c>
      <c r="J169" s="1">
        <f t="shared" si="4"/>
        <v>408.5</v>
      </c>
      <c r="K169" s="3">
        <f t="shared" si="5"/>
        <v>81.7</v>
      </c>
    </row>
    <row r="170" spans="1:11">
      <c r="A170" s="1">
        <v>10093</v>
      </c>
      <c r="B170" s="1" t="s">
        <v>116</v>
      </c>
      <c r="C170" s="1" t="s">
        <v>14</v>
      </c>
      <c r="D170" s="1" t="s">
        <v>30</v>
      </c>
      <c r="E170" s="1">
        <v>72</v>
      </c>
      <c r="F170" s="1">
        <v>94.5</v>
      </c>
      <c r="G170" s="1">
        <v>70.5</v>
      </c>
      <c r="H170" s="1">
        <v>68.5</v>
      </c>
      <c r="I170" s="1">
        <v>84.5</v>
      </c>
      <c r="J170" s="1">
        <f t="shared" si="4"/>
        <v>390</v>
      </c>
      <c r="K170" s="3">
        <f t="shared" si="5"/>
        <v>78</v>
      </c>
    </row>
    <row r="171" spans="1:11">
      <c r="A171" s="1">
        <v>10113</v>
      </c>
      <c r="B171" s="1" t="s">
        <v>136</v>
      </c>
      <c r="C171" s="1" t="s">
        <v>17</v>
      </c>
      <c r="D171" s="1" t="s">
        <v>30</v>
      </c>
      <c r="E171" s="1">
        <v>75.5</v>
      </c>
      <c r="F171" s="1">
        <v>82</v>
      </c>
      <c r="G171" s="1">
        <v>94.5</v>
      </c>
      <c r="H171" s="1">
        <v>92.5</v>
      </c>
      <c r="I171" s="1">
        <v>84.5</v>
      </c>
      <c r="J171" s="1">
        <f t="shared" si="4"/>
        <v>429</v>
      </c>
      <c r="K171" s="3">
        <f t="shared" si="5"/>
        <v>85.8</v>
      </c>
    </row>
    <row r="172" spans="1:11">
      <c r="A172" s="1">
        <v>10119</v>
      </c>
      <c r="B172" s="1" t="s">
        <v>142</v>
      </c>
      <c r="C172" s="1" t="s">
        <v>14</v>
      </c>
      <c r="D172" s="1" t="s">
        <v>30</v>
      </c>
      <c r="E172" s="1">
        <v>93</v>
      </c>
      <c r="F172" s="1">
        <v>92</v>
      </c>
      <c r="G172" s="1">
        <v>86.5</v>
      </c>
      <c r="H172" s="1">
        <v>84.5</v>
      </c>
      <c r="I172" s="1">
        <v>97</v>
      </c>
      <c r="J172" s="1">
        <f t="shared" si="4"/>
        <v>453</v>
      </c>
      <c r="K172" s="3">
        <f t="shared" si="5"/>
        <v>90.6</v>
      </c>
    </row>
    <row r="173" spans="1:11">
      <c r="A173" s="1">
        <v>10124</v>
      </c>
      <c r="B173" s="1" t="s">
        <v>147</v>
      </c>
      <c r="C173" s="1" t="s">
        <v>17</v>
      </c>
      <c r="D173" s="1" t="s">
        <v>30</v>
      </c>
      <c r="E173" s="1">
        <v>74.5</v>
      </c>
      <c r="F173" s="1">
        <v>77.5</v>
      </c>
      <c r="G173" s="1">
        <v>67.5</v>
      </c>
      <c r="H173" s="1">
        <v>65.5</v>
      </c>
      <c r="I173" s="1">
        <v>71.5</v>
      </c>
      <c r="J173" s="1">
        <f t="shared" si="4"/>
        <v>356.5</v>
      </c>
      <c r="K173" s="3">
        <f t="shared" si="5"/>
        <v>71.3</v>
      </c>
    </row>
    <row r="174" spans="1:11">
      <c r="A174" s="1">
        <v>10127</v>
      </c>
      <c r="B174" s="1" t="s">
        <v>150</v>
      </c>
      <c r="C174" s="1" t="s">
        <v>14</v>
      </c>
      <c r="D174" s="1" t="s">
        <v>30</v>
      </c>
      <c r="E174" s="1">
        <v>79.5</v>
      </c>
      <c r="F174" s="1">
        <v>78.5</v>
      </c>
      <c r="G174" s="1">
        <v>74.5</v>
      </c>
      <c r="H174" s="1">
        <v>72.5</v>
      </c>
      <c r="I174" s="1">
        <v>73</v>
      </c>
      <c r="J174" s="1">
        <f t="shared" si="4"/>
        <v>378</v>
      </c>
      <c r="K174" s="3">
        <f t="shared" si="5"/>
        <v>75.6</v>
      </c>
    </row>
    <row r="175" spans="1:11">
      <c r="A175" s="1">
        <v>10136</v>
      </c>
      <c r="B175" s="1" t="s">
        <v>159</v>
      </c>
      <c r="C175" s="1" t="s">
        <v>14</v>
      </c>
      <c r="D175" s="1" t="s">
        <v>30</v>
      </c>
      <c r="E175" s="1">
        <v>53.5</v>
      </c>
      <c r="F175" s="1">
        <v>76.5</v>
      </c>
      <c r="G175" s="1">
        <v>74.5</v>
      </c>
      <c r="H175" s="1">
        <v>72.5</v>
      </c>
      <c r="I175" s="1">
        <v>60</v>
      </c>
      <c r="J175" s="1">
        <f t="shared" si="4"/>
        <v>337</v>
      </c>
      <c r="K175" s="3">
        <f t="shared" si="5"/>
        <v>67.4</v>
      </c>
    </row>
    <row r="176" spans="1:11">
      <c r="A176" s="1">
        <v>10143</v>
      </c>
      <c r="B176" s="1" t="s">
        <v>166</v>
      </c>
      <c r="C176" s="1" t="s">
        <v>14</v>
      </c>
      <c r="D176" s="1" t="s">
        <v>30</v>
      </c>
      <c r="E176" s="1">
        <v>67.5</v>
      </c>
      <c r="F176" s="1">
        <v>70.5</v>
      </c>
      <c r="G176" s="1">
        <v>75.5</v>
      </c>
      <c r="H176" s="1">
        <v>73.5</v>
      </c>
      <c r="I176" s="1">
        <v>90</v>
      </c>
      <c r="J176" s="1">
        <f t="shared" si="4"/>
        <v>377</v>
      </c>
      <c r="K176" s="3">
        <f t="shared" si="5"/>
        <v>75.4</v>
      </c>
    </row>
    <row r="177" spans="1:11">
      <c r="A177" s="1">
        <v>10152</v>
      </c>
      <c r="B177" s="1" t="s">
        <v>175</v>
      </c>
      <c r="C177" s="1" t="s">
        <v>14</v>
      </c>
      <c r="D177" s="1" t="s">
        <v>30</v>
      </c>
      <c r="E177" s="1">
        <v>79.5</v>
      </c>
      <c r="F177" s="1">
        <v>55.5</v>
      </c>
      <c r="G177" s="1">
        <v>80</v>
      </c>
      <c r="H177" s="1">
        <v>78</v>
      </c>
      <c r="I177" s="1">
        <v>76.5</v>
      </c>
      <c r="J177" s="1">
        <f t="shared" si="4"/>
        <v>369.5</v>
      </c>
      <c r="K177" s="3">
        <f t="shared" si="5"/>
        <v>73.9</v>
      </c>
    </row>
    <row r="178" spans="1:11">
      <c r="A178" s="1">
        <v>10158</v>
      </c>
      <c r="B178" s="1" t="s">
        <v>181</v>
      </c>
      <c r="C178" s="1" t="s">
        <v>14</v>
      </c>
      <c r="D178" s="1" t="s">
        <v>30</v>
      </c>
      <c r="E178" s="1">
        <v>91</v>
      </c>
      <c r="F178" s="1">
        <v>91</v>
      </c>
      <c r="G178" s="1">
        <v>95</v>
      </c>
      <c r="H178" s="1">
        <v>79.5</v>
      </c>
      <c r="I178" s="1">
        <v>74</v>
      </c>
      <c r="J178" s="1">
        <f t="shared" si="4"/>
        <v>430.5</v>
      </c>
      <c r="K178" s="3">
        <f t="shared" si="5"/>
        <v>86.1</v>
      </c>
    </row>
    <row r="179" spans="1:11">
      <c r="A179" s="1">
        <v>10165</v>
      </c>
      <c r="B179" s="1" t="s">
        <v>188</v>
      </c>
      <c r="C179" s="1" t="s">
        <v>14</v>
      </c>
      <c r="D179" s="1" t="s">
        <v>30</v>
      </c>
      <c r="E179" s="1">
        <v>75</v>
      </c>
      <c r="F179" s="1">
        <v>65.5</v>
      </c>
      <c r="G179" s="1">
        <v>80.5</v>
      </c>
      <c r="H179" s="1">
        <v>78.5</v>
      </c>
      <c r="I179" s="1">
        <v>87</v>
      </c>
      <c r="J179" s="1">
        <f t="shared" si="4"/>
        <v>386.5</v>
      </c>
      <c r="K179" s="3">
        <f t="shared" si="5"/>
        <v>77.3</v>
      </c>
    </row>
    <row r="180" spans="1:11">
      <c r="A180" s="1">
        <v>10167</v>
      </c>
      <c r="B180" s="1" t="s">
        <v>190</v>
      </c>
      <c r="C180" s="1" t="s">
        <v>14</v>
      </c>
      <c r="D180" s="1" t="s">
        <v>30</v>
      </c>
      <c r="E180" s="1">
        <v>76</v>
      </c>
      <c r="F180" s="1">
        <v>71.5</v>
      </c>
      <c r="G180" s="1">
        <v>81.5</v>
      </c>
      <c r="H180" s="1">
        <v>79.5</v>
      </c>
      <c r="I180" s="1">
        <v>74</v>
      </c>
      <c r="J180" s="1">
        <f t="shared" si="4"/>
        <v>382.5</v>
      </c>
      <c r="K180" s="3">
        <f t="shared" si="5"/>
        <v>76.5</v>
      </c>
    </row>
    <row r="181" spans="1:11">
      <c r="A181" s="1">
        <v>10172</v>
      </c>
      <c r="B181" s="1" t="s">
        <v>195</v>
      </c>
      <c r="C181" s="1" t="s">
        <v>14</v>
      </c>
      <c r="D181" s="1" t="s">
        <v>30</v>
      </c>
      <c r="E181" s="1">
        <v>51</v>
      </c>
      <c r="F181" s="1">
        <v>62</v>
      </c>
      <c r="G181" s="1">
        <v>63</v>
      </c>
      <c r="H181" s="1">
        <v>61</v>
      </c>
      <c r="I181" s="1">
        <v>87.5</v>
      </c>
      <c r="J181" s="1">
        <f t="shared" si="4"/>
        <v>324.5</v>
      </c>
      <c r="K181" s="3">
        <f t="shared" si="5"/>
        <v>64.9</v>
      </c>
    </row>
    <row r="182" spans="1:11">
      <c r="A182" s="1">
        <v>10173</v>
      </c>
      <c r="B182" s="1" t="s">
        <v>196</v>
      </c>
      <c r="C182" s="1" t="s">
        <v>14</v>
      </c>
      <c r="D182" s="1" t="s">
        <v>30</v>
      </c>
      <c r="E182" s="1">
        <v>63.5</v>
      </c>
      <c r="F182" s="1">
        <v>92.5</v>
      </c>
      <c r="G182" s="1">
        <v>84.5</v>
      </c>
      <c r="H182" s="1">
        <v>82.5</v>
      </c>
      <c r="I182" s="1">
        <v>91.5</v>
      </c>
      <c r="J182" s="1">
        <f t="shared" si="4"/>
        <v>414.5</v>
      </c>
      <c r="K182" s="3">
        <f t="shared" si="5"/>
        <v>82.9</v>
      </c>
    </row>
    <row r="183" spans="1:11">
      <c r="A183" s="1">
        <v>10197</v>
      </c>
      <c r="B183" s="1" t="s">
        <v>220</v>
      </c>
      <c r="C183" s="1" t="s">
        <v>17</v>
      </c>
      <c r="D183" s="1" t="s">
        <v>30</v>
      </c>
      <c r="E183" s="1">
        <v>65.5</v>
      </c>
      <c r="F183" s="1">
        <v>67.5</v>
      </c>
      <c r="G183" s="1">
        <v>71</v>
      </c>
      <c r="H183" s="1">
        <v>69</v>
      </c>
      <c r="I183" s="1">
        <v>68</v>
      </c>
      <c r="J183" s="1">
        <f t="shared" si="4"/>
        <v>341</v>
      </c>
      <c r="K183" s="3">
        <f t="shared" si="5"/>
        <v>68.2</v>
      </c>
    </row>
    <row r="184" spans="1:11">
      <c r="A184" s="1">
        <v>10204</v>
      </c>
      <c r="B184" s="1" t="s">
        <v>227</v>
      </c>
      <c r="C184" s="1" t="s">
        <v>17</v>
      </c>
      <c r="D184" s="1" t="s">
        <v>30</v>
      </c>
      <c r="E184" s="1">
        <v>76.5</v>
      </c>
      <c r="F184" s="1">
        <v>88</v>
      </c>
      <c r="G184" s="1">
        <v>75.5</v>
      </c>
      <c r="H184" s="1">
        <v>73.5</v>
      </c>
      <c r="I184" s="1">
        <v>92</v>
      </c>
      <c r="J184" s="1">
        <f t="shared" si="4"/>
        <v>405.5</v>
      </c>
      <c r="K184" s="3">
        <f t="shared" si="5"/>
        <v>81.1</v>
      </c>
    </row>
    <row r="185" spans="1:11">
      <c r="A185" s="1">
        <v>10209</v>
      </c>
      <c r="B185" s="1" t="s">
        <v>232</v>
      </c>
      <c r="C185" s="1" t="s">
        <v>14</v>
      </c>
      <c r="D185" s="1" t="s">
        <v>30</v>
      </c>
      <c r="E185" s="1">
        <v>72.5</v>
      </c>
      <c r="F185" s="1">
        <v>60</v>
      </c>
      <c r="G185" s="1">
        <v>77.5</v>
      </c>
      <c r="H185" s="1">
        <v>61</v>
      </c>
      <c r="I185" s="1">
        <v>68</v>
      </c>
      <c r="J185" s="1">
        <f t="shared" si="4"/>
        <v>339</v>
      </c>
      <c r="K185" s="3">
        <f t="shared" si="5"/>
        <v>67.8</v>
      </c>
    </row>
    <row r="186" spans="1:11">
      <c r="A186" s="1">
        <v>10213</v>
      </c>
      <c r="B186" s="1" t="s">
        <v>236</v>
      </c>
      <c r="C186" s="1" t="s">
        <v>17</v>
      </c>
      <c r="D186" s="1" t="s">
        <v>30</v>
      </c>
      <c r="E186" s="1">
        <v>71</v>
      </c>
      <c r="F186" s="1">
        <v>80</v>
      </c>
      <c r="G186" s="1">
        <v>81.5</v>
      </c>
      <c r="H186" s="1">
        <v>79.5</v>
      </c>
      <c r="I186" s="1">
        <v>89.5</v>
      </c>
      <c r="J186" s="1">
        <f t="shared" si="4"/>
        <v>401.5</v>
      </c>
      <c r="K186" s="3">
        <f t="shared" si="5"/>
        <v>80.3</v>
      </c>
    </row>
    <row r="187" spans="1:11">
      <c r="A187" s="1">
        <v>10215</v>
      </c>
      <c r="B187" s="1" t="s">
        <v>238</v>
      </c>
      <c r="C187" s="1" t="s">
        <v>17</v>
      </c>
      <c r="D187" s="1" t="s">
        <v>30</v>
      </c>
      <c r="E187" s="1">
        <v>88.5</v>
      </c>
      <c r="F187" s="1">
        <v>88.5</v>
      </c>
      <c r="G187" s="1">
        <v>80.5</v>
      </c>
      <c r="H187" s="1">
        <v>78.5</v>
      </c>
      <c r="I187" s="1">
        <v>65.5</v>
      </c>
      <c r="J187" s="1">
        <f t="shared" si="4"/>
        <v>401.5</v>
      </c>
      <c r="K187" s="3">
        <f t="shared" si="5"/>
        <v>80.3</v>
      </c>
    </row>
    <row r="188" spans="1:11">
      <c r="A188" s="1">
        <v>10217</v>
      </c>
      <c r="B188" s="1" t="s">
        <v>240</v>
      </c>
      <c r="C188" s="1" t="s">
        <v>17</v>
      </c>
      <c r="D188" s="1" t="s">
        <v>30</v>
      </c>
      <c r="E188" s="1">
        <v>82.5</v>
      </c>
      <c r="F188" s="1">
        <v>75</v>
      </c>
      <c r="G188" s="1">
        <v>87</v>
      </c>
      <c r="H188" s="1">
        <v>85</v>
      </c>
      <c r="I188" s="1">
        <v>74.5</v>
      </c>
      <c r="J188" s="1">
        <f t="shared" si="4"/>
        <v>404</v>
      </c>
      <c r="K188" s="3">
        <f t="shared" si="5"/>
        <v>80.8</v>
      </c>
    </row>
    <row r="189" spans="1:11">
      <c r="A189" s="1">
        <v>10230</v>
      </c>
      <c r="B189" s="1" t="s">
        <v>253</v>
      </c>
      <c r="C189" s="1" t="s">
        <v>17</v>
      </c>
      <c r="D189" s="1" t="s">
        <v>30</v>
      </c>
      <c r="E189" s="1">
        <v>66</v>
      </c>
      <c r="F189" s="1">
        <v>73</v>
      </c>
      <c r="G189" s="1">
        <v>79</v>
      </c>
      <c r="H189" s="1">
        <v>77</v>
      </c>
      <c r="I189" s="1">
        <v>88</v>
      </c>
      <c r="J189" s="1">
        <f t="shared" si="4"/>
        <v>383</v>
      </c>
      <c r="K189" s="3">
        <f t="shared" si="5"/>
        <v>76.6</v>
      </c>
    </row>
    <row r="190" spans="1:11">
      <c r="A190" s="1">
        <v>10232</v>
      </c>
      <c r="B190" s="1" t="s">
        <v>255</v>
      </c>
      <c r="C190" s="1" t="s">
        <v>14</v>
      </c>
      <c r="D190" s="1" t="s">
        <v>30</v>
      </c>
      <c r="E190" s="1">
        <v>59.5</v>
      </c>
      <c r="F190" s="1">
        <v>74.5</v>
      </c>
      <c r="G190" s="1">
        <v>74.5</v>
      </c>
      <c r="H190" s="1">
        <v>72.5</v>
      </c>
      <c r="I190" s="1">
        <v>74</v>
      </c>
      <c r="J190" s="1">
        <f t="shared" si="4"/>
        <v>355</v>
      </c>
      <c r="K190" s="3">
        <f t="shared" si="5"/>
        <v>71</v>
      </c>
    </row>
    <row r="191" spans="1:11">
      <c r="A191" s="1">
        <v>10241</v>
      </c>
      <c r="B191" s="1" t="s">
        <v>264</v>
      </c>
      <c r="C191" s="1" t="s">
        <v>17</v>
      </c>
      <c r="D191" s="1" t="s">
        <v>30</v>
      </c>
      <c r="E191" s="1">
        <v>76</v>
      </c>
      <c r="F191" s="1">
        <v>92</v>
      </c>
      <c r="G191" s="1">
        <v>95</v>
      </c>
      <c r="H191" s="1">
        <v>93</v>
      </c>
      <c r="I191" s="1">
        <v>67</v>
      </c>
      <c r="J191" s="1">
        <f t="shared" si="4"/>
        <v>423</v>
      </c>
      <c r="K191" s="3">
        <f t="shared" si="5"/>
        <v>84.6</v>
      </c>
    </row>
    <row r="192" spans="1:11">
      <c r="A192" s="1">
        <v>10246</v>
      </c>
      <c r="B192" s="1" t="s">
        <v>269</v>
      </c>
      <c r="C192" s="1" t="s">
        <v>14</v>
      </c>
      <c r="D192" s="1" t="s">
        <v>30</v>
      </c>
      <c r="E192" s="1">
        <v>52</v>
      </c>
      <c r="F192" s="1">
        <v>67</v>
      </c>
      <c r="G192" s="1">
        <v>63</v>
      </c>
      <c r="H192" s="1">
        <v>78</v>
      </c>
      <c r="I192" s="1">
        <v>78.5</v>
      </c>
      <c r="J192" s="1">
        <f t="shared" si="4"/>
        <v>338.5</v>
      </c>
      <c r="K192" s="3">
        <f t="shared" si="5"/>
        <v>67.7</v>
      </c>
    </row>
    <row r="193" spans="1:11">
      <c r="A193" s="1">
        <v>10259</v>
      </c>
      <c r="B193" s="1" t="s">
        <v>281</v>
      </c>
      <c r="C193" s="1" t="s">
        <v>14</v>
      </c>
      <c r="D193" s="1" t="s">
        <v>30</v>
      </c>
      <c r="E193" s="1">
        <v>87</v>
      </c>
      <c r="F193" s="1">
        <v>67</v>
      </c>
      <c r="G193" s="1">
        <v>64</v>
      </c>
      <c r="H193" s="1">
        <v>62</v>
      </c>
      <c r="I193" s="1">
        <v>61</v>
      </c>
      <c r="J193" s="1">
        <f t="shared" si="4"/>
        <v>341</v>
      </c>
      <c r="K193" s="3">
        <f t="shared" si="5"/>
        <v>68.2</v>
      </c>
    </row>
    <row r="194" spans="1:11">
      <c r="A194" s="1">
        <v>10261</v>
      </c>
      <c r="B194" s="1" t="s">
        <v>283</v>
      </c>
      <c r="C194" s="1" t="s">
        <v>17</v>
      </c>
      <c r="D194" s="1" t="s">
        <v>30</v>
      </c>
      <c r="E194" s="1">
        <v>95.5</v>
      </c>
      <c r="F194" s="1">
        <v>63.5</v>
      </c>
      <c r="G194" s="1">
        <v>89</v>
      </c>
      <c r="H194" s="1">
        <v>87</v>
      </c>
      <c r="I194" s="1">
        <v>84.5</v>
      </c>
      <c r="J194" s="1">
        <f t="shared" ref="J194:J257" si="6">SUM(E194:I194)</f>
        <v>419.5</v>
      </c>
      <c r="K194" s="3">
        <f t="shared" ref="K194:K257" si="7">AVERAGE(E194:I194)</f>
        <v>83.9</v>
      </c>
    </row>
    <row r="195" spans="1:11">
      <c r="A195" s="1">
        <v>10262</v>
      </c>
      <c r="B195" s="1" t="s">
        <v>284</v>
      </c>
      <c r="C195" s="1" t="s">
        <v>17</v>
      </c>
      <c r="D195" s="1" t="s">
        <v>30</v>
      </c>
      <c r="E195" s="1">
        <v>57</v>
      </c>
      <c r="F195" s="1">
        <v>85.5</v>
      </c>
      <c r="G195" s="1">
        <v>88.5</v>
      </c>
      <c r="H195" s="1">
        <v>86.5</v>
      </c>
      <c r="I195" s="1">
        <v>70.5</v>
      </c>
      <c r="J195" s="1">
        <f t="shared" si="6"/>
        <v>388</v>
      </c>
      <c r="K195" s="3">
        <f t="shared" si="7"/>
        <v>77.6</v>
      </c>
    </row>
    <row r="196" spans="1:11">
      <c r="A196" s="1">
        <v>10268</v>
      </c>
      <c r="B196" s="1" t="s">
        <v>289</v>
      </c>
      <c r="C196" s="1" t="s">
        <v>17</v>
      </c>
      <c r="D196" s="1" t="s">
        <v>30</v>
      </c>
      <c r="E196" s="1">
        <v>78</v>
      </c>
      <c r="F196" s="1">
        <v>68</v>
      </c>
      <c r="G196" s="1">
        <v>88.5</v>
      </c>
      <c r="H196" s="1">
        <v>86.5</v>
      </c>
      <c r="I196" s="1">
        <v>82.5</v>
      </c>
      <c r="J196" s="1">
        <f t="shared" si="6"/>
        <v>403.5</v>
      </c>
      <c r="K196" s="3">
        <f t="shared" si="7"/>
        <v>80.7</v>
      </c>
    </row>
    <row r="197" spans="1:11">
      <c r="A197" s="1">
        <v>10272</v>
      </c>
      <c r="B197" s="1" t="s">
        <v>293</v>
      </c>
      <c r="C197" s="1" t="s">
        <v>14</v>
      </c>
      <c r="D197" s="1" t="s">
        <v>30</v>
      </c>
      <c r="E197" s="1">
        <v>83</v>
      </c>
      <c r="F197" s="1">
        <v>84</v>
      </c>
      <c r="G197" s="1">
        <v>77</v>
      </c>
      <c r="H197" s="1">
        <v>75</v>
      </c>
      <c r="I197" s="1">
        <v>73.5</v>
      </c>
      <c r="J197" s="1">
        <f t="shared" si="6"/>
        <v>392.5</v>
      </c>
      <c r="K197" s="3">
        <f t="shared" si="7"/>
        <v>78.5</v>
      </c>
    </row>
    <row r="198" spans="1:11">
      <c r="A198" s="1">
        <v>10281</v>
      </c>
      <c r="B198" s="1" t="s">
        <v>302</v>
      </c>
      <c r="C198" s="1" t="s">
        <v>14</v>
      </c>
      <c r="D198" s="1" t="s">
        <v>30</v>
      </c>
      <c r="E198" s="1">
        <v>62</v>
      </c>
      <c r="F198" s="1">
        <v>78</v>
      </c>
      <c r="G198" s="1">
        <v>78</v>
      </c>
      <c r="H198" s="1">
        <v>76</v>
      </c>
      <c r="I198" s="1">
        <v>75</v>
      </c>
      <c r="J198" s="1">
        <f t="shared" si="6"/>
        <v>369</v>
      </c>
      <c r="K198" s="3">
        <f t="shared" si="7"/>
        <v>73.8</v>
      </c>
    </row>
    <row r="199" spans="1:11">
      <c r="A199" s="1">
        <v>10283</v>
      </c>
      <c r="B199" s="1" t="s">
        <v>304</v>
      </c>
      <c r="C199" s="1" t="s">
        <v>14</v>
      </c>
      <c r="D199" s="1" t="s">
        <v>30</v>
      </c>
      <c r="E199" s="1">
        <v>77.5</v>
      </c>
      <c r="F199" s="1">
        <v>65.5</v>
      </c>
      <c r="G199" s="1">
        <v>77.5</v>
      </c>
      <c r="H199" s="1">
        <v>75.5</v>
      </c>
      <c r="I199" s="1">
        <v>84.5</v>
      </c>
      <c r="J199" s="1">
        <f t="shared" si="6"/>
        <v>380.5</v>
      </c>
      <c r="K199" s="3">
        <f t="shared" si="7"/>
        <v>76.1</v>
      </c>
    </row>
    <row r="200" spans="1:11">
      <c r="A200" s="1">
        <v>10284</v>
      </c>
      <c r="B200" s="1" t="s">
        <v>305</v>
      </c>
      <c r="C200" s="1" t="s">
        <v>17</v>
      </c>
      <c r="D200" s="1" t="s">
        <v>30</v>
      </c>
      <c r="E200" s="1">
        <v>97</v>
      </c>
      <c r="F200" s="1">
        <v>74</v>
      </c>
      <c r="G200" s="1">
        <v>75</v>
      </c>
      <c r="H200" s="1">
        <v>85</v>
      </c>
      <c r="I200" s="1">
        <v>77</v>
      </c>
      <c r="J200" s="1">
        <f t="shared" si="6"/>
        <v>408</v>
      </c>
      <c r="K200" s="3">
        <f t="shared" si="7"/>
        <v>81.6</v>
      </c>
    </row>
    <row r="201" spans="1:11">
      <c r="A201" s="1">
        <v>10285</v>
      </c>
      <c r="B201" s="1" t="s">
        <v>306</v>
      </c>
      <c r="C201" s="1" t="s">
        <v>17</v>
      </c>
      <c r="D201" s="1" t="s">
        <v>30</v>
      </c>
      <c r="E201" s="1">
        <v>83.5</v>
      </c>
      <c r="F201" s="1">
        <v>59.5</v>
      </c>
      <c r="G201" s="1">
        <v>79.5</v>
      </c>
      <c r="H201" s="1">
        <v>77.5</v>
      </c>
      <c r="I201" s="1">
        <v>79.5</v>
      </c>
      <c r="J201" s="1">
        <f t="shared" si="6"/>
        <v>379.5</v>
      </c>
      <c r="K201" s="3">
        <f t="shared" si="7"/>
        <v>75.9</v>
      </c>
    </row>
    <row r="202" spans="1:11">
      <c r="A202" s="1">
        <v>10288</v>
      </c>
      <c r="B202" s="1" t="s">
        <v>309</v>
      </c>
      <c r="C202" s="1" t="s">
        <v>17</v>
      </c>
      <c r="D202" s="1" t="s">
        <v>30</v>
      </c>
      <c r="E202" s="1">
        <v>49</v>
      </c>
      <c r="F202" s="1">
        <v>73.5</v>
      </c>
      <c r="G202" s="1">
        <v>86</v>
      </c>
      <c r="H202" s="1">
        <v>84</v>
      </c>
      <c r="I202" s="1">
        <v>76.5</v>
      </c>
      <c r="J202" s="1">
        <f t="shared" si="6"/>
        <v>369</v>
      </c>
      <c r="K202" s="3">
        <f t="shared" si="7"/>
        <v>73.8</v>
      </c>
    </row>
    <row r="203" spans="1:11">
      <c r="A203" s="1">
        <v>10308</v>
      </c>
      <c r="B203" s="1" t="s">
        <v>329</v>
      </c>
      <c r="C203" s="1" t="s">
        <v>14</v>
      </c>
      <c r="D203" s="1" t="s">
        <v>30</v>
      </c>
      <c r="E203" s="1">
        <v>82</v>
      </c>
      <c r="F203" s="1">
        <v>75</v>
      </c>
      <c r="G203" s="1">
        <v>90</v>
      </c>
      <c r="H203" s="1">
        <v>88</v>
      </c>
      <c r="I203" s="1">
        <v>75</v>
      </c>
      <c r="J203" s="1">
        <f t="shared" si="6"/>
        <v>410</v>
      </c>
      <c r="K203" s="3">
        <f t="shared" si="7"/>
        <v>82</v>
      </c>
    </row>
    <row r="204" spans="1:11">
      <c r="A204" s="1">
        <v>10309</v>
      </c>
      <c r="B204" s="1" t="s">
        <v>330</v>
      </c>
      <c r="C204" s="1" t="s">
        <v>17</v>
      </c>
      <c r="D204" s="1" t="s">
        <v>30</v>
      </c>
      <c r="E204" s="1">
        <v>80</v>
      </c>
      <c r="F204" s="1">
        <v>69</v>
      </c>
      <c r="G204" s="1">
        <v>96</v>
      </c>
      <c r="H204" s="1">
        <v>96</v>
      </c>
      <c r="I204" s="1">
        <v>88</v>
      </c>
      <c r="J204" s="1">
        <f t="shared" si="6"/>
        <v>429</v>
      </c>
      <c r="K204" s="3">
        <f t="shared" si="7"/>
        <v>85.8</v>
      </c>
    </row>
    <row r="205" spans="1:11">
      <c r="A205" s="1">
        <v>10313</v>
      </c>
      <c r="B205" s="1" t="s">
        <v>334</v>
      </c>
      <c r="C205" s="1" t="s">
        <v>14</v>
      </c>
      <c r="D205" s="1" t="s">
        <v>30</v>
      </c>
      <c r="E205" s="1">
        <v>80.5</v>
      </c>
      <c r="F205" s="1">
        <v>81</v>
      </c>
      <c r="G205" s="1">
        <v>74</v>
      </c>
      <c r="H205" s="1">
        <v>72</v>
      </c>
      <c r="I205" s="1">
        <v>93</v>
      </c>
      <c r="J205" s="1">
        <f t="shared" si="6"/>
        <v>400.5</v>
      </c>
      <c r="K205" s="3">
        <f t="shared" si="7"/>
        <v>80.1</v>
      </c>
    </row>
    <row r="206" spans="1:11">
      <c r="A206" s="1">
        <v>10328</v>
      </c>
      <c r="B206" s="1" t="s">
        <v>349</v>
      </c>
      <c r="C206" s="1" t="s">
        <v>14</v>
      </c>
      <c r="D206" s="1" t="s">
        <v>30</v>
      </c>
      <c r="E206" s="1">
        <v>82</v>
      </c>
      <c r="F206" s="1">
        <v>78</v>
      </c>
      <c r="G206" s="1">
        <v>89</v>
      </c>
      <c r="H206" s="1">
        <v>87</v>
      </c>
      <c r="I206" s="1">
        <v>64.5</v>
      </c>
      <c r="J206" s="1">
        <f t="shared" si="6"/>
        <v>400.5</v>
      </c>
      <c r="K206" s="3">
        <f t="shared" si="7"/>
        <v>80.1</v>
      </c>
    </row>
    <row r="207" spans="1:11">
      <c r="A207" s="1">
        <v>10331</v>
      </c>
      <c r="B207" s="1" t="s">
        <v>352</v>
      </c>
      <c r="C207" s="1" t="s">
        <v>17</v>
      </c>
      <c r="D207" s="1" t="s">
        <v>30</v>
      </c>
      <c r="E207" s="1">
        <v>66</v>
      </c>
      <c r="F207" s="1">
        <v>49</v>
      </c>
      <c r="G207" s="1">
        <v>73</v>
      </c>
      <c r="H207" s="1">
        <v>71</v>
      </c>
      <c r="I207" s="1">
        <v>80.5</v>
      </c>
      <c r="J207" s="1">
        <f t="shared" si="6"/>
        <v>339.5</v>
      </c>
      <c r="K207" s="3">
        <f t="shared" si="7"/>
        <v>67.9</v>
      </c>
    </row>
    <row r="208" spans="1:11">
      <c r="A208" s="1">
        <v>10336</v>
      </c>
      <c r="B208" s="1" t="s">
        <v>357</v>
      </c>
      <c r="C208" s="1" t="s">
        <v>17</v>
      </c>
      <c r="D208" s="1" t="s">
        <v>30</v>
      </c>
      <c r="E208" s="1">
        <v>69</v>
      </c>
      <c r="F208" s="1">
        <v>79</v>
      </c>
      <c r="G208" s="1">
        <v>69</v>
      </c>
      <c r="H208" s="1">
        <v>67</v>
      </c>
      <c r="I208" s="1">
        <v>81</v>
      </c>
      <c r="J208" s="1">
        <f t="shared" si="6"/>
        <v>365</v>
      </c>
      <c r="K208" s="3">
        <f t="shared" si="7"/>
        <v>73</v>
      </c>
    </row>
    <row r="209" spans="1:11">
      <c r="A209" s="1">
        <v>10340</v>
      </c>
      <c r="B209" s="1" t="s">
        <v>361</v>
      </c>
      <c r="C209" s="1" t="s">
        <v>17</v>
      </c>
      <c r="D209" s="1" t="s">
        <v>30</v>
      </c>
      <c r="E209" s="1">
        <v>85</v>
      </c>
      <c r="F209" s="1">
        <v>82.5</v>
      </c>
      <c r="G209" s="1">
        <v>79.5</v>
      </c>
      <c r="H209" s="1">
        <v>77.5</v>
      </c>
      <c r="I209" s="1">
        <v>84</v>
      </c>
      <c r="J209" s="1">
        <f t="shared" si="6"/>
        <v>408.5</v>
      </c>
      <c r="K209" s="3">
        <f t="shared" si="7"/>
        <v>81.7</v>
      </c>
    </row>
    <row r="210" spans="1:11">
      <c r="A210" s="1">
        <v>10344</v>
      </c>
      <c r="B210" s="1" t="s">
        <v>365</v>
      </c>
      <c r="C210" s="1" t="s">
        <v>17</v>
      </c>
      <c r="D210" s="1" t="s">
        <v>30</v>
      </c>
      <c r="E210" s="1">
        <v>83</v>
      </c>
      <c r="F210" s="1">
        <v>70.5</v>
      </c>
      <c r="G210" s="1">
        <v>76.5</v>
      </c>
      <c r="H210" s="1">
        <v>86</v>
      </c>
      <c r="I210" s="1">
        <v>91</v>
      </c>
      <c r="J210" s="1">
        <f t="shared" si="6"/>
        <v>407</v>
      </c>
      <c r="K210" s="3">
        <f t="shared" si="7"/>
        <v>81.4</v>
      </c>
    </row>
    <row r="211" spans="1:11">
      <c r="A211" s="1">
        <v>10361</v>
      </c>
      <c r="B211" s="1" t="s">
        <v>382</v>
      </c>
      <c r="C211" s="1" t="s">
        <v>17</v>
      </c>
      <c r="D211" s="1" t="s">
        <v>30</v>
      </c>
      <c r="E211" s="1">
        <v>78</v>
      </c>
      <c r="F211" s="1">
        <v>79.5</v>
      </c>
      <c r="G211" s="1">
        <v>90</v>
      </c>
      <c r="H211" s="1">
        <v>77.5</v>
      </c>
      <c r="I211" s="1">
        <v>78</v>
      </c>
      <c r="J211" s="1">
        <f t="shared" si="6"/>
        <v>403</v>
      </c>
      <c r="K211" s="3">
        <f t="shared" si="7"/>
        <v>80.6</v>
      </c>
    </row>
    <row r="212" spans="1:11">
      <c r="A212" s="1">
        <v>10370</v>
      </c>
      <c r="B212" s="1" t="s">
        <v>391</v>
      </c>
      <c r="C212" s="1" t="s">
        <v>17</v>
      </c>
      <c r="D212" s="1" t="s">
        <v>30</v>
      </c>
      <c r="E212" s="1">
        <v>92</v>
      </c>
      <c r="F212" s="1">
        <v>77</v>
      </c>
      <c r="G212" s="1">
        <v>79</v>
      </c>
      <c r="H212" s="1">
        <v>90</v>
      </c>
      <c r="I212" s="1">
        <v>66</v>
      </c>
      <c r="J212" s="1">
        <f t="shared" si="6"/>
        <v>404</v>
      </c>
      <c r="K212" s="3">
        <f t="shared" si="7"/>
        <v>80.8</v>
      </c>
    </row>
    <row r="213" spans="1:11">
      <c r="A213" s="1">
        <v>10377</v>
      </c>
      <c r="B213" s="1" t="s">
        <v>398</v>
      </c>
      <c r="C213" s="1" t="s">
        <v>14</v>
      </c>
      <c r="D213" s="1" t="s">
        <v>30</v>
      </c>
      <c r="E213" s="1">
        <v>64</v>
      </c>
      <c r="F213" s="1">
        <v>61.5</v>
      </c>
      <c r="G213" s="1">
        <v>72.5</v>
      </c>
      <c r="H213" s="1">
        <v>65</v>
      </c>
      <c r="I213" s="1">
        <v>77</v>
      </c>
      <c r="J213" s="1">
        <f t="shared" si="6"/>
        <v>340</v>
      </c>
      <c r="K213" s="3">
        <f t="shared" si="7"/>
        <v>68</v>
      </c>
    </row>
    <row r="214" spans="1:11">
      <c r="A214" s="1">
        <v>10381</v>
      </c>
      <c r="B214" s="1" t="s">
        <v>402</v>
      </c>
      <c r="C214" s="1" t="s">
        <v>17</v>
      </c>
      <c r="D214" s="1" t="s">
        <v>30</v>
      </c>
      <c r="E214" s="1">
        <v>66.5</v>
      </c>
      <c r="F214" s="1">
        <v>69.5</v>
      </c>
      <c r="G214" s="1">
        <v>77.5</v>
      </c>
      <c r="H214" s="1">
        <v>61</v>
      </c>
      <c r="I214" s="1">
        <v>62</v>
      </c>
      <c r="J214" s="1">
        <f t="shared" si="6"/>
        <v>336.5</v>
      </c>
      <c r="K214" s="3">
        <f t="shared" si="7"/>
        <v>67.3</v>
      </c>
    </row>
    <row r="215" spans="1:11">
      <c r="A215" s="1">
        <v>10386</v>
      </c>
      <c r="B215" s="1" t="s">
        <v>407</v>
      </c>
      <c r="C215" s="1" t="s">
        <v>14</v>
      </c>
      <c r="D215" s="1" t="s">
        <v>30</v>
      </c>
      <c r="E215" s="1">
        <v>71</v>
      </c>
      <c r="F215" s="1">
        <v>70.5</v>
      </c>
      <c r="G215" s="1">
        <v>70</v>
      </c>
      <c r="H215" s="1">
        <v>68</v>
      </c>
      <c r="I215" s="1">
        <v>60</v>
      </c>
      <c r="J215" s="1">
        <f t="shared" si="6"/>
        <v>339.5</v>
      </c>
      <c r="K215" s="3">
        <f t="shared" si="7"/>
        <v>67.9</v>
      </c>
    </row>
    <row r="216" spans="1:11">
      <c r="A216" s="1">
        <v>10394</v>
      </c>
      <c r="B216" s="1" t="s">
        <v>415</v>
      </c>
      <c r="C216" s="1" t="s">
        <v>14</v>
      </c>
      <c r="D216" s="1" t="s">
        <v>30</v>
      </c>
      <c r="E216" s="1">
        <v>92</v>
      </c>
      <c r="F216" s="1">
        <v>88</v>
      </c>
      <c r="G216" s="1">
        <v>80.5</v>
      </c>
      <c r="H216" s="1">
        <v>78.5</v>
      </c>
      <c r="I216" s="1">
        <v>82</v>
      </c>
      <c r="J216" s="1">
        <f t="shared" si="6"/>
        <v>421</v>
      </c>
      <c r="K216" s="3">
        <f t="shared" si="7"/>
        <v>84.2</v>
      </c>
    </row>
    <row r="217" spans="1:11">
      <c r="A217" s="1">
        <v>10395</v>
      </c>
      <c r="B217" s="1" t="s">
        <v>416</v>
      </c>
      <c r="C217" s="1" t="s">
        <v>17</v>
      </c>
      <c r="D217" s="1" t="s">
        <v>30</v>
      </c>
      <c r="E217" s="1">
        <v>90.5</v>
      </c>
      <c r="F217" s="1">
        <v>80.5</v>
      </c>
      <c r="G217" s="1">
        <v>82</v>
      </c>
      <c r="H217" s="1">
        <v>63</v>
      </c>
      <c r="I217" s="1">
        <v>85</v>
      </c>
      <c r="J217" s="1">
        <f t="shared" si="6"/>
        <v>401</v>
      </c>
      <c r="K217" s="3">
        <f t="shared" si="7"/>
        <v>80.2</v>
      </c>
    </row>
    <row r="218" spans="1:11">
      <c r="A218" s="1">
        <v>10396</v>
      </c>
      <c r="B218" s="1" t="s">
        <v>417</v>
      </c>
      <c r="C218" s="1" t="s">
        <v>17</v>
      </c>
      <c r="D218" s="1" t="s">
        <v>30</v>
      </c>
      <c r="E218" s="1">
        <v>64</v>
      </c>
      <c r="F218" s="1">
        <v>61</v>
      </c>
      <c r="G218" s="1">
        <v>70</v>
      </c>
      <c r="H218" s="1">
        <v>68</v>
      </c>
      <c r="I218" s="1">
        <v>74.5</v>
      </c>
      <c r="J218" s="1">
        <f t="shared" si="6"/>
        <v>337.5</v>
      </c>
      <c r="K218" s="3">
        <f t="shared" si="7"/>
        <v>67.5</v>
      </c>
    </row>
    <row r="219" spans="1:11">
      <c r="A219" s="1">
        <v>10399</v>
      </c>
      <c r="B219" s="1" t="s">
        <v>420</v>
      </c>
      <c r="C219" s="1" t="s">
        <v>17</v>
      </c>
      <c r="D219" s="1" t="s">
        <v>30</v>
      </c>
      <c r="E219" s="1">
        <v>55.5</v>
      </c>
      <c r="F219" s="1">
        <v>81.5</v>
      </c>
      <c r="G219" s="1">
        <v>94</v>
      </c>
      <c r="H219" s="1">
        <v>92</v>
      </c>
      <c r="I219" s="1">
        <v>83</v>
      </c>
      <c r="J219" s="1">
        <f t="shared" si="6"/>
        <v>406</v>
      </c>
      <c r="K219" s="3">
        <f t="shared" si="7"/>
        <v>81.2</v>
      </c>
    </row>
    <row r="220" spans="1:11">
      <c r="A220" s="1">
        <v>10400</v>
      </c>
      <c r="B220" s="1" t="s">
        <v>421</v>
      </c>
      <c r="C220" s="1" t="s">
        <v>17</v>
      </c>
      <c r="D220" s="1" t="s">
        <v>30</v>
      </c>
      <c r="E220" s="1">
        <v>63.5</v>
      </c>
      <c r="F220" s="1">
        <v>53</v>
      </c>
      <c r="G220" s="1">
        <v>57</v>
      </c>
      <c r="H220" s="1">
        <v>62.5</v>
      </c>
      <c r="I220" s="1">
        <v>72.5</v>
      </c>
      <c r="J220" s="1">
        <f t="shared" si="6"/>
        <v>308.5</v>
      </c>
      <c r="K220" s="3">
        <f t="shared" si="7"/>
        <v>61.7</v>
      </c>
    </row>
    <row r="221" spans="1:11">
      <c r="A221" s="1">
        <v>10411</v>
      </c>
      <c r="B221" s="1" t="s">
        <v>432</v>
      </c>
      <c r="C221" s="1" t="s">
        <v>14</v>
      </c>
      <c r="D221" s="1" t="s">
        <v>30</v>
      </c>
      <c r="E221" s="1">
        <v>71</v>
      </c>
      <c r="F221" s="1">
        <v>63</v>
      </c>
      <c r="G221" s="1">
        <v>68.5</v>
      </c>
      <c r="H221" s="1">
        <v>66.5</v>
      </c>
      <c r="I221" s="1">
        <v>71.5</v>
      </c>
      <c r="J221" s="1">
        <f t="shared" si="6"/>
        <v>340.5</v>
      </c>
      <c r="K221" s="3">
        <f t="shared" si="7"/>
        <v>68.1</v>
      </c>
    </row>
    <row r="222" spans="1:11">
      <c r="A222" s="1">
        <v>10412</v>
      </c>
      <c r="B222" s="1" t="s">
        <v>433</v>
      </c>
      <c r="C222" s="1" t="s">
        <v>17</v>
      </c>
      <c r="D222" s="1" t="s">
        <v>30</v>
      </c>
      <c r="E222" s="1">
        <v>78</v>
      </c>
      <c r="F222" s="1">
        <v>76</v>
      </c>
      <c r="G222" s="1">
        <v>90</v>
      </c>
      <c r="H222" s="1">
        <v>77</v>
      </c>
      <c r="I222" s="1">
        <v>62.5</v>
      </c>
      <c r="J222" s="1">
        <f t="shared" si="6"/>
        <v>383.5</v>
      </c>
      <c r="K222" s="3">
        <f t="shared" si="7"/>
        <v>76.7</v>
      </c>
    </row>
    <row r="223" spans="1:11">
      <c r="A223" s="1">
        <v>10413</v>
      </c>
      <c r="B223" s="1" t="s">
        <v>434</v>
      </c>
      <c r="C223" s="1" t="s">
        <v>14</v>
      </c>
      <c r="D223" s="1" t="s">
        <v>30</v>
      </c>
      <c r="E223" s="1">
        <v>90.5</v>
      </c>
      <c r="F223" s="1">
        <v>78</v>
      </c>
      <c r="G223" s="1">
        <v>74.5</v>
      </c>
      <c r="H223" s="1">
        <v>72.5</v>
      </c>
      <c r="I223" s="1">
        <v>86.5</v>
      </c>
      <c r="J223" s="1">
        <f t="shared" si="6"/>
        <v>402</v>
      </c>
      <c r="K223" s="3">
        <f t="shared" si="7"/>
        <v>80.4</v>
      </c>
    </row>
    <row r="224" spans="1:11">
      <c r="A224" s="1">
        <v>10414</v>
      </c>
      <c r="B224" s="1" t="s">
        <v>435</v>
      </c>
      <c r="C224" s="1" t="s">
        <v>17</v>
      </c>
      <c r="D224" s="1" t="s">
        <v>30</v>
      </c>
      <c r="E224" s="1">
        <v>78</v>
      </c>
      <c r="F224" s="1">
        <v>82</v>
      </c>
      <c r="G224" s="1">
        <v>68.5</v>
      </c>
      <c r="H224" s="1">
        <v>66.5</v>
      </c>
      <c r="I224" s="1">
        <v>90</v>
      </c>
      <c r="J224" s="1">
        <f t="shared" si="6"/>
        <v>385</v>
      </c>
      <c r="K224" s="3">
        <f t="shared" si="7"/>
        <v>77</v>
      </c>
    </row>
    <row r="225" spans="1:11">
      <c r="A225" s="1">
        <v>10417</v>
      </c>
      <c r="B225" s="1" t="s">
        <v>438</v>
      </c>
      <c r="C225" s="1" t="s">
        <v>14</v>
      </c>
      <c r="D225" s="1" t="s">
        <v>30</v>
      </c>
      <c r="E225" s="1">
        <v>71.5</v>
      </c>
      <c r="F225" s="1">
        <v>69</v>
      </c>
      <c r="G225" s="1">
        <v>68</v>
      </c>
      <c r="H225" s="1">
        <v>66</v>
      </c>
      <c r="I225" s="1">
        <v>69</v>
      </c>
      <c r="J225" s="1">
        <f t="shared" si="6"/>
        <v>343.5</v>
      </c>
      <c r="K225" s="3">
        <f t="shared" si="7"/>
        <v>68.7</v>
      </c>
    </row>
    <row r="226" spans="1:11">
      <c r="A226" s="1">
        <v>10421</v>
      </c>
      <c r="B226" s="1" t="s">
        <v>442</v>
      </c>
      <c r="C226" s="1" t="s">
        <v>17</v>
      </c>
      <c r="D226" s="1" t="s">
        <v>30</v>
      </c>
      <c r="E226" s="1">
        <v>78.5</v>
      </c>
      <c r="F226" s="1">
        <v>87</v>
      </c>
      <c r="G226" s="1">
        <v>79.5</v>
      </c>
      <c r="H226" s="1">
        <v>77.5</v>
      </c>
      <c r="I226" s="1">
        <v>86.5</v>
      </c>
      <c r="J226" s="1">
        <f t="shared" si="6"/>
        <v>409</v>
      </c>
      <c r="K226" s="3">
        <f t="shared" si="7"/>
        <v>81.8</v>
      </c>
    </row>
    <row r="227" spans="1:11">
      <c r="A227" s="1">
        <v>10422</v>
      </c>
      <c r="B227" s="1" t="s">
        <v>443</v>
      </c>
      <c r="C227" s="1" t="s">
        <v>17</v>
      </c>
      <c r="D227" s="1" t="s">
        <v>30</v>
      </c>
      <c r="E227" s="1">
        <v>61</v>
      </c>
      <c r="F227" s="1">
        <v>77</v>
      </c>
      <c r="G227" s="1">
        <v>66.5</v>
      </c>
      <c r="H227" s="1">
        <v>64.5</v>
      </c>
      <c r="I227" s="1">
        <v>66.5</v>
      </c>
      <c r="J227" s="1">
        <f t="shared" si="6"/>
        <v>335.5</v>
      </c>
      <c r="K227" s="3">
        <f t="shared" si="7"/>
        <v>67.1</v>
      </c>
    </row>
    <row r="228" spans="1:11">
      <c r="A228" s="1">
        <v>10435</v>
      </c>
      <c r="B228" s="1" t="s">
        <v>456</v>
      </c>
      <c r="C228" s="1" t="s">
        <v>14</v>
      </c>
      <c r="D228" s="1" t="s">
        <v>30</v>
      </c>
      <c r="E228" s="1">
        <v>88</v>
      </c>
      <c r="F228" s="1">
        <v>82</v>
      </c>
      <c r="G228" s="1">
        <v>71.5</v>
      </c>
      <c r="H228" s="1">
        <v>69.5</v>
      </c>
      <c r="I228" s="1">
        <v>91</v>
      </c>
      <c r="J228" s="1">
        <f t="shared" si="6"/>
        <v>402</v>
      </c>
      <c r="K228" s="3">
        <f t="shared" si="7"/>
        <v>80.4</v>
      </c>
    </row>
    <row r="229" spans="1:11">
      <c r="A229" s="1">
        <v>10452</v>
      </c>
      <c r="B229" s="1" t="s">
        <v>473</v>
      </c>
      <c r="C229" s="1" t="s">
        <v>14</v>
      </c>
      <c r="D229" s="1" t="s">
        <v>30</v>
      </c>
      <c r="E229" s="1">
        <v>74</v>
      </c>
      <c r="F229" s="1">
        <v>76</v>
      </c>
      <c r="G229" s="1">
        <v>76</v>
      </c>
      <c r="H229" s="1">
        <v>80.5</v>
      </c>
      <c r="I229" s="1">
        <v>85.5</v>
      </c>
      <c r="J229" s="1">
        <f t="shared" si="6"/>
        <v>392</v>
      </c>
      <c r="K229" s="3">
        <f t="shared" si="7"/>
        <v>78.4</v>
      </c>
    </row>
    <row r="230" spans="1:11">
      <c r="A230" s="1">
        <v>10454</v>
      </c>
      <c r="B230" s="1" t="s">
        <v>475</v>
      </c>
      <c r="C230" s="1" t="s">
        <v>17</v>
      </c>
      <c r="D230" s="1" t="s">
        <v>30</v>
      </c>
      <c r="E230" s="1">
        <v>63</v>
      </c>
      <c r="F230" s="1">
        <v>58.5</v>
      </c>
      <c r="G230" s="1">
        <v>52.5</v>
      </c>
      <c r="H230" s="1">
        <v>50.5</v>
      </c>
      <c r="I230" s="1">
        <v>62</v>
      </c>
      <c r="J230" s="1">
        <f t="shared" si="6"/>
        <v>286.5</v>
      </c>
      <c r="K230" s="3">
        <f t="shared" si="7"/>
        <v>57.3</v>
      </c>
    </row>
    <row r="231" spans="1:11">
      <c r="A231" s="1">
        <v>10457</v>
      </c>
      <c r="B231" s="1" t="s">
        <v>478</v>
      </c>
      <c r="C231" s="1" t="s">
        <v>14</v>
      </c>
      <c r="D231" s="1" t="s">
        <v>30</v>
      </c>
      <c r="E231" s="1">
        <v>81</v>
      </c>
      <c r="F231" s="1">
        <v>79</v>
      </c>
      <c r="G231" s="1">
        <v>63</v>
      </c>
      <c r="H231" s="1">
        <v>61</v>
      </c>
      <c r="I231" s="1">
        <v>70</v>
      </c>
      <c r="J231" s="1">
        <f t="shared" si="6"/>
        <v>354</v>
      </c>
      <c r="K231" s="3">
        <f t="shared" si="7"/>
        <v>70.8</v>
      </c>
    </row>
    <row r="232" spans="1:11">
      <c r="A232" s="1">
        <v>10458</v>
      </c>
      <c r="B232" s="1" t="s">
        <v>479</v>
      </c>
      <c r="C232" s="1" t="s">
        <v>17</v>
      </c>
      <c r="D232" s="1" t="s">
        <v>30</v>
      </c>
      <c r="E232" s="1">
        <v>72.5</v>
      </c>
      <c r="F232" s="1">
        <v>75</v>
      </c>
      <c r="G232" s="1">
        <v>49.5</v>
      </c>
      <c r="H232" s="1">
        <v>47.5</v>
      </c>
      <c r="I232" s="1">
        <v>80</v>
      </c>
      <c r="J232" s="1">
        <f t="shared" si="6"/>
        <v>324.5</v>
      </c>
      <c r="K232" s="3">
        <f t="shared" si="7"/>
        <v>64.9</v>
      </c>
    </row>
    <row r="233" spans="1:11">
      <c r="A233" s="1">
        <v>10478</v>
      </c>
      <c r="B233" s="1" t="s">
        <v>499</v>
      </c>
      <c r="C233" s="1" t="s">
        <v>14</v>
      </c>
      <c r="D233" s="1" t="s">
        <v>30</v>
      </c>
      <c r="E233" s="1">
        <v>46.5</v>
      </c>
      <c r="F233" s="1">
        <v>75.5</v>
      </c>
      <c r="G233" s="1">
        <v>80.5</v>
      </c>
      <c r="H233" s="1">
        <v>78.5</v>
      </c>
      <c r="I233" s="1">
        <v>88</v>
      </c>
      <c r="J233" s="1">
        <f t="shared" si="6"/>
        <v>369</v>
      </c>
      <c r="K233" s="3">
        <f t="shared" si="7"/>
        <v>73.8</v>
      </c>
    </row>
    <row r="234" spans="1:11">
      <c r="A234" s="1">
        <v>10479</v>
      </c>
      <c r="B234" s="1" t="s">
        <v>500</v>
      </c>
      <c r="C234" s="1" t="s">
        <v>17</v>
      </c>
      <c r="D234" s="1" t="s">
        <v>30</v>
      </c>
      <c r="E234" s="1">
        <v>72.5</v>
      </c>
      <c r="F234" s="1">
        <v>63</v>
      </c>
      <c r="G234" s="1">
        <v>76</v>
      </c>
      <c r="H234" s="1">
        <v>74</v>
      </c>
      <c r="I234" s="1">
        <v>89.5</v>
      </c>
      <c r="J234" s="1">
        <f t="shared" si="6"/>
        <v>375</v>
      </c>
      <c r="K234" s="3">
        <f t="shared" si="7"/>
        <v>75</v>
      </c>
    </row>
    <row r="235" spans="1:11">
      <c r="A235" s="1">
        <v>10482</v>
      </c>
      <c r="B235" s="1" t="s">
        <v>503</v>
      </c>
      <c r="C235" s="1" t="s">
        <v>17</v>
      </c>
      <c r="D235" s="1" t="s">
        <v>30</v>
      </c>
      <c r="E235" s="1">
        <v>75</v>
      </c>
      <c r="F235" s="1">
        <v>85</v>
      </c>
      <c r="G235" s="1">
        <v>77.5</v>
      </c>
      <c r="H235" s="1">
        <v>75.5</v>
      </c>
      <c r="I235" s="1">
        <v>90</v>
      </c>
      <c r="J235" s="1">
        <f t="shared" si="6"/>
        <v>403</v>
      </c>
      <c r="K235" s="3">
        <f t="shared" si="7"/>
        <v>80.6</v>
      </c>
    </row>
    <row r="236" spans="1:11">
      <c r="A236" s="1">
        <v>10484</v>
      </c>
      <c r="B236" s="1" t="s">
        <v>505</v>
      </c>
      <c r="C236" s="1" t="s">
        <v>14</v>
      </c>
      <c r="D236" s="1" t="s">
        <v>30</v>
      </c>
      <c r="E236" s="1">
        <v>82</v>
      </c>
      <c r="F236" s="1">
        <v>90</v>
      </c>
      <c r="G236" s="1">
        <v>86.5</v>
      </c>
      <c r="H236" s="1">
        <v>84.5</v>
      </c>
      <c r="I236" s="1">
        <v>65</v>
      </c>
      <c r="J236" s="1">
        <f t="shared" si="6"/>
        <v>408</v>
      </c>
      <c r="K236" s="3">
        <f t="shared" si="7"/>
        <v>81.6</v>
      </c>
    </row>
    <row r="237" spans="1:11">
      <c r="A237" s="1">
        <v>10485</v>
      </c>
      <c r="B237" s="1" t="s">
        <v>506</v>
      </c>
      <c r="C237" s="1" t="s">
        <v>17</v>
      </c>
      <c r="D237" s="1" t="s">
        <v>30</v>
      </c>
      <c r="E237" s="1">
        <v>82.5</v>
      </c>
      <c r="F237" s="1">
        <v>65.5</v>
      </c>
      <c r="G237" s="1">
        <v>73</v>
      </c>
      <c r="H237" s="1">
        <v>71</v>
      </c>
      <c r="I237" s="1">
        <v>92.5</v>
      </c>
      <c r="J237" s="1">
        <f t="shared" si="6"/>
        <v>384.5</v>
      </c>
      <c r="K237" s="3">
        <f t="shared" si="7"/>
        <v>76.9</v>
      </c>
    </row>
    <row r="238" spans="1:11">
      <c r="A238" s="1">
        <v>10489</v>
      </c>
      <c r="B238" s="1" t="s">
        <v>510</v>
      </c>
      <c r="C238" s="1" t="s">
        <v>14</v>
      </c>
      <c r="D238" s="1" t="s">
        <v>30</v>
      </c>
      <c r="E238" s="1">
        <v>92</v>
      </c>
      <c r="F238" s="1">
        <v>97</v>
      </c>
      <c r="G238" s="1">
        <v>70</v>
      </c>
      <c r="H238" s="1">
        <v>68</v>
      </c>
      <c r="I238" s="1">
        <v>86</v>
      </c>
      <c r="J238" s="1">
        <f t="shared" si="6"/>
        <v>413</v>
      </c>
      <c r="K238" s="3">
        <f t="shared" si="7"/>
        <v>82.6</v>
      </c>
    </row>
    <row r="239" spans="1:11">
      <c r="A239" s="1">
        <v>10491</v>
      </c>
      <c r="B239" s="1" t="s">
        <v>512</v>
      </c>
      <c r="C239" s="1" t="s">
        <v>17</v>
      </c>
      <c r="D239" s="1" t="s">
        <v>30</v>
      </c>
      <c r="E239" s="1">
        <v>87.5</v>
      </c>
      <c r="F239" s="1">
        <v>78</v>
      </c>
      <c r="G239" s="1">
        <v>79</v>
      </c>
      <c r="H239" s="1">
        <v>88</v>
      </c>
      <c r="I239" s="1">
        <v>76.5</v>
      </c>
      <c r="J239" s="1">
        <f t="shared" si="6"/>
        <v>409</v>
      </c>
      <c r="K239" s="3">
        <f t="shared" si="7"/>
        <v>81.8</v>
      </c>
    </row>
    <row r="240" spans="1:11">
      <c r="A240" s="1">
        <v>10494</v>
      </c>
      <c r="B240" s="1" t="s">
        <v>515</v>
      </c>
      <c r="C240" s="1" t="s">
        <v>17</v>
      </c>
      <c r="D240" s="1" t="s">
        <v>30</v>
      </c>
      <c r="E240" s="1">
        <v>82</v>
      </c>
      <c r="F240" s="1">
        <v>70</v>
      </c>
      <c r="G240" s="1">
        <v>84</v>
      </c>
      <c r="H240" s="1">
        <v>82</v>
      </c>
      <c r="I240" s="1">
        <v>83</v>
      </c>
      <c r="J240" s="1">
        <f t="shared" si="6"/>
        <v>401</v>
      </c>
      <c r="K240" s="3">
        <f t="shared" si="7"/>
        <v>80.2</v>
      </c>
    </row>
    <row r="241" spans="1:11">
      <c r="A241" s="1">
        <v>10497</v>
      </c>
      <c r="B241" s="1" t="s">
        <v>518</v>
      </c>
      <c r="C241" s="1" t="s">
        <v>17</v>
      </c>
      <c r="D241" s="1" t="s">
        <v>30</v>
      </c>
      <c r="E241" s="1">
        <v>64.5</v>
      </c>
      <c r="F241" s="1">
        <v>60</v>
      </c>
      <c r="G241" s="1">
        <v>87</v>
      </c>
      <c r="H241" s="1">
        <v>85</v>
      </c>
      <c r="I241" s="1">
        <v>71</v>
      </c>
      <c r="J241" s="1">
        <f t="shared" si="6"/>
        <v>367.5</v>
      </c>
      <c r="K241" s="3">
        <f t="shared" si="7"/>
        <v>73.5</v>
      </c>
    </row>
    <row r="242" spans="1:11">
      <c r="A242" s="1">
        <v>10502</v>
      </c>
      <c r="B242" s="1" t="s">
        <v>523</v>
      </c>
      <c r="C242" s="1" t="s">
        <v>17</v>
      </c>
      <c r="D242" s="1" t="s">
        <v>30</v>
      </c>
      <c r="E242" s="1">
        <v>80</v>
      </c>
      <c r="F242" s="1">
        <v>86</v>
      </c>
      <c r="G242" s="1">
        <v>84</v>
      </c>
      <c r="H242" s="1">
        <v>78.5</v>
      </c>
      <c r="I242" s="1">
        <v>75</v>
      </c>
      <c r="J242" s="1">
        <f t="shared" si="6"/>
        <v>403.5</v>
      </c>
      <c r="K242" s="3">
        <f t="shared" si="7"/>
        <v>80.7</v>
      </c>
    </row>
    <row r="243" spans="1:11">
      <c r="A243" s="1">
        <v>10004</v>
      </c>
      <c r="B243" s="1" t="s">
        <v>22</v>
      </c>
      <c r="C243" s="1" t="s">
        <v>14</v>
      </c>
      <c r="D243" s="1" t="s">
        <v>23</v>
      </c>
      <c r="E243" s="1">
        <v>90.5</v>
      </c>
      <c r="F243" s="1">
        <v>50</v>
      </c>
      <c r="G243" s="1">
        <v>88</v>
      </c>
      <c r="H243" s="1">
        <v>72</v>
      </c>
      <c r="I243" s="1">
        <v>91.5</v>
      </c>
      <c r="J243" s="1">
        <f t="shared" si="6"/>
        <v>392</v>
      </c>
      <c r="K243" s="3">
        <f t="shared" si="7"/>
        <v>78.4</v>
      </c>
    </row>
    <row r="244" spans="1:11">
      <c r="A244" s="1">
        <v>10009</v>
      </c>
      <c r="B244" s="1" t="s">
        <v>31</v>
      </c>
      <c r="C244" s="1" t="s">
        <v>17</v>
      </c>
      <c r="D244" s="1" t="s">
        <v>23</v>
      </c>
      <c r="E244" s="1">
        <v>90.5</v>
      </c>
      <c r="F244" s="1">
        <v>88</v>
      </c>
      <c r="G244" s="1">
        <v>95</v>
      </c>
      <c r="H244" s="1">
        <v>90</v>
      </c>
      <c r="I244" s="1">
        <v>94.5</v>
      </c>
      <c r="J244" s="1">
        <f t="shared" si="6"/>
        <v>458</v>
      </c>
      <c r="K244" s="3">
        <f t="shared" si="7"/>
        <v>91.6</v>
      </c>
    </row>
    <row r="245" spans="1:11">
      <c r="A245" s="1">
        <v>10012</v>
      </c>
      <c r="B245" s="1" t="s">
        <v>34</v>
      </c>
      <c r="C245" s="1" t="s">
        <v>17</v>
      </c>
      <c r="D245" s="1" t="s">
        <v>23</v>
      </c>
      <c r="E245" s="1">
        <v>94</v>
      </c>
      <c r="F245" s="1">
        <v>90</v>
      </c>
      <c r="G245" s="1">
        <v>96</v>
      </c>
      <c r="H245" s="1">
        <v>83.5</v>
      </c>
      <c r="I245" s="1">
        <v>93</v>
      </c>
      <c r="J245" s="1">
        <f t="shared" si="6"/>
        <v>456.5</v>
      </c>
      <c r="K245" s="3">
        <f t="shared" si="7"/>
        <v>91.3</v>
      </c>
    </row>
    <row r="246" spans="1:11">
      <c r="A246" s="1">
        <v>10018</v>
      </c>
      <c r="B246" s="1" t="s">
        <v>41</v>
      </c>
      <c r="C246" s="1" t="s">
        <v>14</v>
      </c>
      <c r="D246" s="1" t="s">
        <v>23</v>
      </c>
      <c r="E246" s="1">
        <v>73</v>
      </c>
      <c r="F246" s="1">
        <v>76</v>
      </c>
      <c r="G246" s="1">
        <v>56</v>
      </c>
      <c r="H246" s="1">
        <v>54</v>
      </c>
      <c r="I246" s="1">
        <v>73</v>
      </c>
      <c r="J246" s="1">
        <f t="shared" si="6"/>
        <v>332</v>
      </c>
      <c r="K246" s="3">
        <f t="shared" si="7"/>
        <v>66.4</v>
      </c>
    </row>
    <row r="247" spans="1:11">
      <c r="A247" s="1">
        <v>10024</v>
      </c>
      <c r="B247" s="1" t="s">
        <v>47</v>
      </c>
      <c r="C247" s="1" t="s">
        <v>17</v>
      </c>
      <c r="D247" s="1" t="s">
        <v>23</v>
      </c>
      <c r="E247" s="1">
        <v>78</v>
      </c>
      <c r="F247" s="1">
        <v>61.5</v>
      </c>
      <c r="G247" s="1">
        <v>66</v>
      </c>
      <c r="H247" s="1">
        <v>64</v>
      </c>
      <c r="I247" s="1">
        <v>69</v>
      </c>
      <c r="J247" s="1">
        <f t="shared" si="6"/>
        <v>338.5</v>
      </c>
      <c r="K247" s="3">
        <f t="shared" si="7"/>
        <v>67.7</v>
      </c>
    </row>
    <row r="248" spans="1:11">
      <c r="A248" s="1">
        <v>10026</v>
      </c>
      <c r="B248" s="1" t="s">
        <v>49</v>
      </c>
      <c r="C248" s="1" t="s">
        <v>14</v>
      </c>
      <c r="D248" s="1" t="s">
        <v>23</v>
      </c>
      <c r="E248" s="1">
        <v>71.5</v>
      </c>
      <c r="F248" s="1">
        <v>88</v>
      </c>
      <c r="G248" s="1">
        <v>81</v>
      </c>
      <c r="H248" s="1">
        <v>85</v>
      </c>
      <c r="I248" s="1">
        <v>82.5</v>
      </c>
      <c r="J248" s="1">
        <f t="shared" si="6"/>
        <v>408</v>
      </c>
      <c r="K248" s="3">
        <f t="shared" si="7"/>
        <v>81.6</v>
      </c>
    </row>
    <row r="249" spans="1:11">
      <c r="A249" s="1">
        <v>10043</v>
      </c>
      <c r="B249" s="1" t="s">
        <v>66</v>
      </c>
      <c r="C249" s="1" t="s">
        <v>14</v>
      </c>
      <c r="D249" s="1" t="s">
        <v>23</v>
      </c>
      <c r="E249" s="1">
        <v>80.5</v>
      </c>
      <c r="F249" s="1">
        <v>90</v>
      </c>
      <c r="G249" s="1">
        <v>63.5</v>
      </c>
      <c r="H249" s="1">
        <v>85</v>
      </c>
      <c r="I249" s="1">
        <v>92.5</v>
      </c>
      <c r="J249" s="1">
        <f t="shared" si="6"/>
        <v>411.5</v>
      </c>
      <c r="K249" s="3">
        <f t="shared" si="7"/>
        <v>82.3</v>
      </c>
    </row>
    <row r="250" spans="1:11">
      <c r="A250" s="1">
        <v>10047</v>
      </c>
      <c r="B250" s="1" t="s">
        <v>70</v>
      </c>
      <c r="C250" s="1" t="s">
        <v>17</v>
      </c>
      <c r="D250" s="1" t="s">
        <v>23</v>
      </c>
      <c r="E250" s="1">
        <v>64.5</v>
      </c>
      <c r="F250" s="1">
        <v>66.5</v>
      </c>
      <c r="G250" s="1">
        <v>75.5</v>
      </c>
      <c r="H250" s="1">
        <v>73.5</v>
      </c>
      <c r="I250" s="1">
        <v>90</v>
      </c>
      <c r="J250" s="1">
        <f t="shared" si="6"/>
        <v>370</v>
      </c>
      <c r="K250" s="3">
        <f t="shared" si="7"/>
        <v>74</v>
      </c>
    </row>
    <row r="251" spans="1:11">
      <c r="A251" s="1">
        <v>10052</v>
      </c>
      <c r="B251" s="1" t="s">
        <v>75</v>
      </c>
      <c r="C251" s="1" t="s">
        <v>17</v>
      </c>
      <c r="D251" s="1" t="s">
        <v>23</v>
      </c>
      <c r="E251" s="1">
        <v>77.5</v>
      </c>
      <c r="F251" s="1">
        <v>72.5</v>
      </c>
      <c r="G251" s="1">
        <v>73.5</v>
      </c>
      <c r="H251" s="1">
        <v>71.5</v>
      </c>
      <c r="I251" s="1">
        <v>65</v>
      </c>
      <c r="J251" s="1">
        <f t="shared" si="6"/>
        <v>360</v>
      </c>
      <c r="K251" s="3">
        <f t="shared" si="7"/>
        <v>72</v>
      </c>
    </row>
    <row r="252" spans="1:11">
      <c r="A252" s="1">
        <v>10062</v>
      </c>
      <c r="B252" s="1" t="s">
        <v>85</v>
      </c>
      <c r="C252" s="1" t="s">
        <v>14</v>
      </c>
      <c r="D252" s="1" t="s">
        <v>23</v>
      </c>
      <c r="E252" s="1">
        <v>71</v>
      </c>
      <c r="F252" s="1">
        <v>60</v>
      </c>
      <c r="G252" s="1">
        <v>66.5</v>
      </c>
      <c r="H252" s="1">
        <v>64.5</v>
      </c>
      <c r="I252" s="1">
        <v>85</v>
      </c>
      <c r="J252" s="1">
        <f t="shared" si="6"/>
        <v>347</v>
      </c>
      <c r="K252" s="3">
        <f t="shared" si="7"/>
        <v>69.4</v>
      </c>
    </row>
    <row r="253" spans="1:11">
      <c r="A253" s="1">
        <v>10064</v>
      </c>
      <c r="B253" s="1" t="s">
        <v>87</v>
      </c>
      <c r="C253" s="1" t="s">
        <v>17</v>
      </c>
      <c r="D253" s="1" t="s">
        <v>23</v>
      </c>
      <c r="E253" s="1">
        <v>74</v>
      </c>
      <c r="F253" s="1">
        <v>85.5</v>
      </c>
      <c r="G253" s="1">
        <v>73.5</v>
      </c>
      <c r="H253" s="1">
        <v>71.5</v>
      </c>
      <c r="I253" s="1">
        <v>79</v>
      </c>
      <c r="J253" s="1">
        <f t="shared" si="6"/>
        <v>383.5</v>
      </c>
      <c r="K253" s="3">
        <f t="shared" si="7"/>
        <v>76.7</v>
      </c>
    </row>
    <row r="254" spans="1:11">
      <c r="A254" s="1">
        <v>10069</v>
      </c>
      <c r="B254" s="1" t="s">
        <v>92</v>
      </c>
      <c r="C254" s="1" t="s">
        <v>17</v>
      </c>
      <c r="D254" s="1" t="s">
        <v>23</v>
      </c>
      <c r="E254" s="1">
        <v>79.5</v>
      </c>
      <c r="F254" s="1">
        <v>86</v>
      </c>
      <c r="G254" s="1">
        <v>85</v>
      </c>
      <c r="H254" s="1">
        <v>83</v>
      </c>
      <c r="I254" s="1">
        <v>61</v>
      </c>
      <c r="J254" s="1">
        <f t="shared" si="6"/>
        <v>394.5</v>
      </c>
      <c r="K254" s="3">
        <f t="shared" si="7"/>
        <v>78.9</v>
      </c>
    </row>
    <row r="255" spans="1:11">
      <c r="A255" s="1">
        <v>10072</v>
      </c>
      <c r="B255" s="1" t="s">
        <v>95</v>
      </c>
      <c r="C255" s="1" t="s">
        <v>17</v>
      </c>
      <c r="D255" s="1" t="s">
        <v>23</v>
      </c>
      <c r="E255" s="1">
        <v>85.5</v>
      </c>
      <c r="F255" s="1">
        <v>94</v>
      </c>
      <c r="G255" s="1">
        <v>94</v>
      </c>
      <c r="H255" s="1">
        <v>75.5</v>
      </c>
      <c r="I255" s="1">
        <v>70</v>
      </c>
      <c r="J255" s="1">
        <f t="shared" si="6"/>
        <v>419</v>
      </c>
      <c r="K255" s="3">
        <f t="shared" si="7"/>
        <v>83.8</v>
      </c>
    </row>
    <row r="256" spans="1:11">
      <c r="A256" s="1">
        <v>10074</v>
      </c>
      <c r="B256" s="1" t="s">
        <v>97</v>
      </c>
      <c r="C256" s="1" t="s">
        <v>14</v>
      </c>
      <c r="D256" s="1" t="s">
        <v>23</v>
      </c>
      <c r="E256" s="1">
        <v>89</v>
      </c>
      <c r="F256" s="1">
        <v>72.5</v>
      </c>
      <c r="G256" s="1">
        <v>82.5</v>
      </c>
      <c r="H256" s="1">
        <v>80.5</v>
      </c>
      <c r="I256" s="1">
        <v>82</v>
      </c>
      <c r="J256" s="1">
        <f t="shared" si="6"/>
        <v>406.5</v>
      </c>
      <c r="K256" s="3">
        <f t="shared" si="7"/>
        <v>81.3</v>
      </c>
    </row>
    <row r="257" spans="1:11">
      <c r="A257" s="1">
        <v>10090</v>
      </c>
      <c r="B257" s="1" t="s">
        <v>113</v>
      </c>
      <c r="C257" s="1" t="s">
        <v>14</v>
      </c>
      <c r="D257" s="1" t="s">
        <v>23</v>
      </c>
      <c r="E257" s="1">
        <v>76.5</v>
      </c>
      <c r="F257" s="1">
        <v>76</v>
      </c>
      <c r="G257" s="1">
        <v>87</v>
      </c>
      <c r="H257" s="1">
        <v>87</v>
      </c>
      <c r="I257" s="1">
        <v>82</v>
      </c>
      <c r="J257" s="1">
        <f t="shared" si="6"/>
        <v>408.5</v>
      </c>
      <c r="K257" s="3">
        <f t="shared" si="7"/>
        <v>81.7</v>
      </c>
    </row>
    <row r="258" spans="1:11">
      <c r="A258" s="1">
        <v>10098</v>
      </c>
      <c r="B258" s="1" t="s">
        <v>121</v>
      </c>
      <c r="C258" s="1" t="s">
        <v>14</v>
      </c>
      <c r="D258" s="1" t="s">
        <v>23</v>
      </c>
      <c r="E258" s="1">
        <v>67.5</v>
      </c>
      <c r="F258" s="1">
        <v>82</v>
      </c>
      <c r="G258" s="1">
        <v>95.5</v>
      </c>
      <c r="H258" s="1">
        <v>93.5</v>
      </c>
      <c r="I258" s="1">
        <v>75</v>
      </c>
      <c r="J258" s="1">
        <f t="shared" ref="J258:J321" si="8">SUM(E258:I258)</f>
        <v>413.5</v>
      </c>
      <c r="K258" s="3">
        <f t="shared" ref="K258:K321" si="9">AVERAGE(E258:I258)</f>
        <v>82.7</v>
      </c>
    </row>
    <row r="259" spans="1:11">
      <c r="A259" s="1">
        <v>10102</v>
      </c>
      <c r="B259" s="1" t="s">
        <v>125</v>
      </c>
      <c r="C259" s="1" t="s">
        <v>14</v>
      </c>
      <c r="D259" s="1" t="s">
        <v>23</v>
      </c>
      <c r="E259" s="1">
        <v>73</v>
      </c>
      <c r="F259" s="1">
        <v>67.5</v>
      </c>
      <c r="G259" s="1">
        <v>79</v>
      </c>
      <c r="H259" s="1">
        <v>77</v>
      </c>
      <c r="I259" s="1">
        <v>90</v>
      </c>
      <c r="J259" s="1">
        <f t="shared" si="8"/>
        <v>386.5</v>
      </c>
      <c r="K259" s="3">
        <f t="shared" si="9"/>
        <v>77.3</v>
      </c>
    </row>
    <row r="260" spans="1:11">
      <c r="A260" s="1">
        <v>10110</v>
      </c>
      <c r="B260" s="1" t="s">
        <v>133</v>
      </c>
      <c r="C260" s="1" t="s">
        <v>17</v>
      </c>
      <c r="D260" s="1" t="s">
        <v>23</v>
      </c>
      <c r="E260" s="1">
        <v>65</v>
      </c>
      <c r="F260" s="1">
        <v>66.5</v>
      </c>
      <c r="G260" s="1">
        <v>73.5</v>
      </c>
      <c r="H260" s="1">
        <v>71.5</v>
      </c>
      <c r="I260" s="1">
        <v>62</v>
      </c>
      <c r="J260" s="1">
        <f t="shared" si="8"/>
        <v>338.5</v>
      </c>
      <c r="K260" s="3">
        <f t="shared" si="9"/>
        <v>67.7</v>
      </c>
    </row>
    <row r="261" spans="1:11">
      <c r="A261" s="1">
        <v>10112</v>
      </c>
      <c r="B261" s="1" t="s">
        <v>135</v>
      </c>
      <c r="C261" s="1" t="s">
        <v>17</v>
      </c>
      <c r="D261" s="1" t="s">
        <v>23</v>
      </c>
      <c r="E261" s="1">
        <v>68.5</v>
      </c>
      <c r="F261" s="1">
        <v>78</v>
      </c>
      <c r="G261" s="1">
        <v>68</v>
      </c>
      <c r="H261" s="1">
        <v>66</v>
      </c>
      <c r="I261" s="1">
        <v>61</v>
      </c>
      <c r="J261" s="1">
        <f t="shared" si="8"/>
        <v>341.5</v>
      </c>
      <c r="K261" s="3">
        <f t="shared" si="9"/>
        <v>68.3</v>
      </c>
    </row>
    <row r="262" spans="1:11">
      <c r="A262" s="1">
        <v>10116</v>
      </c>
      <c r="B262" s="1" t="s">
        <v>139</v>
      </c>
      <c r="C262" s="1" t="s">
        <v>14</v>
      </c>
      <c r="D262" s="1" t="s">
        <v>23</v>
      </c>
      <c r="E262" s="1">
        <v>75</v>
      </c>
      <c r="F262" s="1">
        <v>76</v>
      </c>
      <c r="G262" s="1">
        <v>73.5</v>
      </c>
      <c r="H262" s="1">
        <v>71.5</v>
      </c>
      <c r="I262" s="1">
        <v>90</v>
      </c>
      <c r="J262" s="1">
        <f t="shared" si="8"/>
        <v>386</v>
      </c>
      <c r="K262" s="3">
        <f t="shared" si="9"/>
        <v>77.2</v>
      </c>
    </row>
    <row r="263" spans="1:11">
      <c r="A263" s="1">
        <v>10118</v>
      </c>
      <c r="B263" s="1" t="s">
        <v>141</v>
      </c>
      <c r="C263" s="1" t="s">
        <v>14</v>
      </c>
      <c r="D263" s="1" t="s">
        <v>23</v>
      </c>
      <c r="E263" s="1">
        <v>79</v>
      </c>
      <c r="F263" s="1">
        <v>76.5</v>
      </c>
      <c r="G263" s="1">
        <v>80.5</v>
      </c>
      <c r="H263" s="1">
        <v>78.5</v>
      </c>
      <c r="I263" s="1">
        <v>66.5</v>
      </c>
      <c r="J263" s="1">
        <f t="shared" si="8"/>
        <v>381</v>
      </c>
      <c r="K263" s="3">
        <f t="shared" si="9"/>
        <v>76.2</v>
      </c>
    </row>
    <row r="264" spans="1:11">
      <c r="A264" s="1">
        <v>10120</v>
      </c>
      <c r="B264" s="1" t="s">
        <v>143</v>
      </c>
      <c r="C264" s="1" t="s">
        <v>17</v>
      </c>
      <c r="D264" s="1" t="s">
        <v>23</v>
      </c>
      <c r="E264" s="1">
        <v>83</v>
      </c>
      <c r="F264" s="1">
        <v>94</v>
      </c>
      <c r="G264" s="1">
        <v>77.5</v>
      </c>
      <c r="H264" s="1">
        <v>75.5</v>
      </c>
      <c r="I264" s="1">
        <v>70.5</v>
      </c>
      <c r="J264" s="1">
        <f t="shared" si="8"/>
        <v>400.5</v>
      </c>
      <c r="K264" s="3">
        <f t="shared" si="9"/>
        <v>80.1</v>
      </c>
    </row>
    <row r="265" spans="1:11">
      <c r="A265" s="1">
        <v>10121</v>
      </c>
      <c r="B265" s="1" t="s">
        <v>144</v>
      </c>
      <c r="C265" s="1" t="s">
        <v>17</v>
      </c>
      <c r="D265" s="1" t="s">
        <v>23</v>
      </c>
      <c r="E265" s="1">
        <v>71.5</v>
      </c>
      <c r="F265" s="1">
        <v>92.5</v>
      </c>
      <c r="G265" s="1">
        <v>58.5</v>
      </c>
      <c r="H265" s="1">
        <v>56.5</v>
      </c>
      <c r="I265" s="1">
        <v>86.5</v>
      </c>
      <c r="J265" s="1">
        <f t="shared" si="8"/>
        <v>365.5</v>
      </c>
      <c r="K265" s="3">
        <f t="shared" si="9"/>
        <v>73.1</v>
      </c>
    </row>
    <row r="266" spans="1:11">
      <c r="A266" s="1">
        <v>10131</v>
      </c>
      <c r="B266" s="1" t="s">
        <v>154</v>
      </c>
      <c r="C266" s="1" t="s">
        <v>17</v>
      </c>
      <c r="D266" s="1" t="s">
        <v>23</v>
      </c>
      <c r="E266" s="1">
        <v>85</v>
      </c>
      <c r="F266" s="1">
        <v>82.5</v>
      </c>
      <c r="G266" s="1">
        <v>69</v>
      </c>
      <c r="H266" s="1">
        <v>67</v>
      </c>
      <c r="I266" s="1">
        <v>87</v>
      </c>
      <c r="J266" s="1">
        <f t="shared" si="8"/>
        <v>390.5</v>
      </c>
      <c r="K266" s="3">
        <f t="shared" si="9"/>
        <v>78.1</v>
      </c>
    </row>
    <row r="267" spans="1:11">
      <c r="A267" s="1">
        <v>10137</v>
      </c>
      <c r="B267" s="1" t="s">
        <v>160</v>
      </c>
      <c r="C267" s="1" t="s">
        <v>17</v>
      </c>
      <c r="D267" s="1" t="s">
        <v>23</v>
      </c>
      <c r="E267" s="1">
        <v>61</v>
      </c>
      <c r="F267" s="1">
        <v>76</v>
      </c>
      <c r="G267" s="1">
        <v>67.5</v>
      </c>
      <c r="H267" s="1">
        <v>65.5</v>
      </c>
      <c r="I267" s="1">
        <v>74.5</v>
      </c>
      <c r="J267" s="1">
        <f t="shared" si="8"/>
        <v>344.5</v>
      </c>
      <c r="K267" s="3">
        <f t="shared" si="9"/>
        <v>68.9</v>
      </c>
    </row>
    <row r="268" spans="1:11">
      <c r="A268" s="1">
        <v>10149</v>
      </c>
      <c r="B268" s="1" t="s">
        <v>172</v>
      </c>
      <c r="C268" s="1" t="s">
        <v>17</v>
      </c>
      <c r="D268" s="1" t="s">
        <v>23</v>
      </c>
      <c r="E268" s="1">
        <v>66.5</v>
      </c>
      <c r="F268" s="1">
        <v>69.5</v>
      </c>
      <c r="G268" s="1">
        <v>59</v>
      </c>
      <c r="H268" s="1">
        <v>57</v>
      </c>
      <c r="I268" s="1">
        <v>66.5</v>
      </c>
      <c r="J268" s="1">
        <f t="shared" si="8"/>
        <v>318.5</v>
      </c>
      <c r="K268" s="3">
        <f t="shared" si="9"/>
        <v>63.7</v>
      </c>
    </row>
    <row r="269" spans="1:11">
      <c r="A269" s="1">
        <v>10161</v>
      </c>
      <c r="B269" s="1" t="s">
        <v>184</v>
      </c>
      <c r="C269" s="1" t="s">
        <v>14</v>
      </c>
      <c r="D269" s="1" t="s">
        <v>23</v>
      </c>
      <c r="E269" s="1">
        <v>84</v>
      </c>
      <c r="F269" s="1">
        <v>82</v>
      </c>
      <c r="G269" s="1">
        <v>81</v>
      </c>
      <c r="H269" s="1">
        <v>79</v>
      </c>
      <c r="I269" s="1">
        <v>83</v>
      </c>
      <c r="J269" s="1">
        <f t="shared" si="8"/>
        <v>409</v>
      </c>
      <c r="K269" s="3">
        <f t="shared" si="9"/>
        <v>81.8</v>
      </c>
    </row>
    <row r="270" spans="1:11">
      <c r="A270" s="1">
        <v>10162</v>
      </c>
      <c r="B270" s="1" t="s">
        <v>185</v>
      </c>
      <c r="C270" s="1" t="s">
        <v>14</v>
      </c>
      <c r="D270" s="1" t="s">
        <v>23</v>
      </c>
      <c r="E270" s="1">
        <v>77</v>
      </c>
      <c r="F270" s="1">
        <v>84.5</v>
      </c>
      <c r="G270" s="1">
        <v>72.5</v>
      </c>
      <c r="H270" s="1">
        <v>70.5</v>
      </c>
      <c r="I270" s="1">
        <v>71.5</v>
      </c>
      <c r="J270" s="1">
        <f t="shared" si="8"/>
        <v>376</v>
      </c>
      <c r="K270" s="3">
        <f t="shared" si="9"/>
        <v>75.2</v>
      </c>
    </row>
    <row r="271" spans="1:11">
      <c r="A271" s="1">
        <v>10164</v>
      </c>
      <c r="B271" s="1" t="s">
        <v>187</v>
      </c>
      <c r="C271" s="1" t="s">
        <v>14</v>
      </c>
      <c r="D271" s="1" t="s">
        <v>23</v>
      </c>
      <c r="E271" s="1">
        <v>75.5</v>
      </c>
      <c r="F271" s="1">
        <v>68</v>
      </c>
      <c r="G271" s="1">
        <v>81</v>
      </c>
      <c r="H271" s="1">
        <v>79</v>
      </c>
      <c r="I271" s="1">
        <v>63.5</v>
      </c>
      <c r="J271" s="1">
        <f t="shared" si="8"/>
        <v>367</v>
      </c>
      <c r="K271" s="3">
        <f t="shared" si="9"/>
        <v>73.4</v>
      </c>
    </row>
    <row r="272" spans="1:11">
      <c r="A272" s="1">
        <v>10166</v>
      </c>
      <c r="B272" s="1" t="s">
        <v>189</v>
      </c>
      <c r="C272" s="1" t="s">
        <v>14</v>
      </c>
      <c r="D272" s="1" t="s">
        <v>23</v>
      </c>
      <c r="E272" s="1">
        <v>75.5</v>
      </c>
      <c r="F272" s="1">
        <v>65.5</v>
      </c>
      <c r="G272" s="1">
        <v>80</v>
      </c>
      <c r="H272" s="1">
        <v>78</v>
      </c>
      <c r="I272" s="1">
        <v>87.5</v>
      </c>
      <c r="J272" s="1">
        <f t="shared" si="8"/>
        <v>386.5</v>
      </c>
      <c r="K272" s="3">
        <f t="shared" si="9"/>
        <v>77.3</v>
      </c>
    </row>
    <row r="273" spans="1:11">
      <c r="A273" s="1">
        <v>10169</v>
      </c>
      <c r="B273" s="1" t="s">
        <v>192</v>
      </c>
      <c r="C273" s="1" t="s">
        <v>17</v>
      </c>
      <c r="D273" s="1" t="s">
        <v>23</v>
      </c>
      <c r="E273" s="1">
        <v>52</v>
      </c>
      <c r="F273" s="1">
        <v>62.5</v>
      </c>
      <c r="G273" s="1">
        <v>70</v>
      </c>
      <c r="H273" s="1">
        <v>68</v>
      </c>
      <c r="I273" s="1">
        <v>71</v>
      </c>
      <c r="J273" s="1">
        <f t="shared" si="8"/>
        <v>323.5</v>
      </c>
      <c r="K273" s="3">
        <f t="shared" si="9"/>
        <v>64.7</v>
      </c>
    </row>
    <row r="274" spans="1:11">
      <c r="A274" s="1">
        <v>10174</v>
      </c>
      <c r="B274" s="1" t="s">
        <v>197</v>
      </c>
      <c r="C274" s="1" t="s">
        <v>14</v>
      </c>
      <c r="D274" s="1" t="s">
        <v>23</v>
      </c>
      <c r="E274" s="1">
        <v>93</v>
      </c>
      <c r="F274" s="1">
        <v>72</v>
      </c>
      <c r="G274" s="1">
        <v>87.5</v>
      </c>
      <c r="H274" s="1">
        <v>85.5</v>
      </c>
      <c r="I274" s="1">
        <v>75</v>
      </c>
      <c r="J274" s="1">
        <f t="shared" si="8"/>
        <v>413</v>
      </c>
      <c r="K274" s="3">
        <f t="shared" si="9"/>
        <v>82.6</v>
      </c>
    </row>
    <row r="275" spans="1:11">
      <c r="A275" s="1">
        <v>10179</v>
      </c>
      <c r="B275" s="1" t="s">
        <v>202</v>
      </c>
      <c r="C275" s="1" t="s">
        <v>17</v>
      </c>
      <c r="D275" s="1" t="s">
        <v>23</v>
      </c>
      <c r="E275" s="1">
        <v>81</v>
      </c>
      <c r="F275" s="1">
        <v>79</v>
      </c>
      <c r="G275" s="1">
        <v>82.5</v>
      </c>
      <c r="H275" s="1">
        <v>80.5</v>
      </c>
      <c r="I275" s="1">
        <v>83</v>
      </c>
      <c r="J275" s="1">
        <f t="shared" si="8"/>
        <v>406</v>
      </c>
      <c r="K275" s="3">
        <f t="shared" si="9"/>
        <v>81.2</v>
      </c>
    </row>
    <row r="276" spans="1:11">
      <c r="A276" s="1">
        <v>10185</v>
      </c>
      <c r="B276" s="1" t="s">
        <v>208</v>
      </c>
      <c r="C276" s="1" t="s">
        <v>14</v>
      </c>
      <c r="D276" s="1" t="s">
        <v>23</v>
      </c>
      <c r="E276" s="1">
        <v>64.5</v>
      </c>
      <c r="F276" s="1">
        <v>82.5</v>
      </c>
      <c r="G276" s="1">
        <v>71.5</v>
      </c>
      <c r="H276" s="1">
        <v>69.5</v>
      </c>
      <c r="I276" s="1">
        <v>81.5</v>
      </c>
      <c r="J276" s="1">
        <f t="shared" si="8"/>
        <v>369.5</v>
      </c>
      <c r="K276" s="3">
        <f t="shared" si="9"/>
        <v>73.9</v>
      </c>
    </row>
    <row r="277" spans="1:11">
      <c r="A277" s="1">
        <v>10188</v>
      </c>
      <c r="B277" s="1" t="s">
        <v>211</v>
      </c>
      <c r="C277" s="1" t="s">
        <v>14</v>
      </c>
      <c r="D277" s="1" t="s">
        <v>23</v>
      </c>
      <c r="E277" s="1">
        <v>87</v>
      </c>
      <c r="F277" s="1">
        <v>82</v>
      </c>
      <c r="G277" s="1">
        <v>68</v>
      </c>
      <c r="H277" s="1">
        <v>66</v>
      </c>
      <c r="I277" s="1">
        <v>76.5</v>
      </c>
      <c r="J277" s="1">
        <f t="shared" si="8"/>
        <v>379.5</v>
      </c>
      <c r="K277" s="3">
        <f t="shared" si="9"/>
        <v>75.9</v>
      </c>
    </row>
    <row r="278" spans="1:11">
      <c r="A278" s="1">
        <v>10191</v>
      </c>
      <c r="B278" s="1" t="s">
        <v>214</v>
      </c>
      <c r="C278" s="1" t="s">
        <v>14</v>
      </c>
      <c r="D278" s="1" t="s">
        <v>23</v>
      </c>
      <c r="E278" s="1">
        <v>60</v>
      </c>
      <c r="F278" s="1">
        <v>75.5</v>
      </c>
      <c r="G278" s="1">
        <v>88</v>
      </c>
      <c r="H278" s="1">
        <v>86</v>
      </c>
      <c r="I278" s="1">
        <v>78</v>
      </c>
      <c r="J278" s="1">
        <f t="shared" si="8"/>
        <v>387.5</v>
      </c>
      <c r="K278" s="3">
        <f t="shared" si="9"/>
        <v>77.5</v>
      </c>
    </row>
    <row r="279" spans="1:11">
      <c r="A279" s="1">
        <v>10196</v>
      </c>
      <c r="B279" s="1" t="s">
        <v>219</v>
      </c>
      <c r="C279" s="1" t="s">
        <v>17</v>
      </c>
      <c r="D279" s="1" t="s">
        <v>23</v>
      </c>
      <c r="E279" s="1">
        <v>70</v>
      </c>
      <c r="F279" s="1">
        <v>68.5</v>
      </c>
      <c r="G279" s="1">
        <v>80</v>
      </c>
      <c r="H279" s="1">
        <v>78</v>
      </c>
      <c r="I279" s="1">
        <v>91.5</v>
      </c>
      <c r="J279" s="1">
        <f t="shared" si="8"/>
        <v>388</v>
      </c>
      <c r="K279" s="3">
        <f t="shared" si="9"/>
        <v>77.6</v>
      </c>
    </row>
    <row r="280" spans="1:11">
      <c r="A280" s="1">
        <v>10203</v>
      </c>
      <c r="B280" s="1" t="s">
        <v>226</v>
      </c>
      <c r="C280" s="1" t="s">
        <v>17</v>
      </c>
      <c r="D280" s="1" t="s">
        <v>23</v>
      </c>
      <c r="E280" s="1">
        <v>81</v>
      </c>
      <c r="F280" s="1">
        <v>71.5</v>
      </c>
      <c r="G280" s="1">
        <v>74</v>
      </c>
      <c r="H280" s="1">
        <v>72</v>
      </c>
      <c r="I280" s="1">
        <v>79</v>
      </c>
      <c r="J280" s="1">
        <f t="shared" si="8"/>
        <v>377.5</v>
      </c>
      <c r="K280" s="3">
        <f t="shared" si="9"/>
        <v>75.5</v>
      </c>
    </row>
    <row r="281" spans="1:11">
      <c r="A281" s="1">
        <v>10207</v>
      </c>
      <c r="B281" s="1" t="s">
        <v>230</v>
      </c>
      <c r="C281" s="1" t="s">
        <v>17</v>
      </c>
      <c r="D281" s="1" t="s">
        <v>23</v>
      </c>
      <c r="E281" s="1">
        <v>91</v>
      </c>
      <c r="F281" s="1">
        <v>93</v>
      </c>
      <c r="G281" s="1">
        <v>90</v>
      </c>
      <c r="H281" s="1">
        <v>88</v>
      </c>
      <c r="I281" s="1">
        <v>91</v>
      </c>
      <c r="J281" s="1">
        <f t="shared" si="8"/>
        <v>453</v>
      </c>
      <c r="K281" s="3">
        <f t="shared" si="9"/>
        <v>90.6</v>
      </c>
    </row>
    <row r="282" spans="1:11">
      <c r="A282" s="1">
        <v>10208</v>
      </c>
      <c r="B282" s="1" t="s">
        <v>231</v>
      </c>
      <c r="C282" s="1" t="s">
        <v>17</v>
      </c>
      <c r="D282" s="1" t="s">
        <v>23</v>
      </c>
      <c r="E282" s="1">
        <v>75.5</v>
      </c>
      <c r="F282" s="1">
        <v>66</v>
      </c>
      <c r="G282" s="1">
        <v>69.5</v>
      </c>
      <c r="H282" s="1">
        <v>67.5</v>
      </c>
      <c r="I282" s="1">
        <v>63.5</v>
      </c>
      <c r="J282" s="1">
        <f t="shared" si="8"/>
        <v>342</v>
      </c>
      <c r="K282" s="3">
        <f t="shared" si="9"/>
        <v>68.4</v>
      </c>
    </row>
    <row r="283" spans="1:11">
      <c r="A283" s="1">
        <v>10219</v>
      </c>
      <c r="B283" s="1" t="s">
        <v>242</v>
      </c>
      <c r="C283" s="1" t="s">
        <v>17</v>
      </c>
      <c r="D283" s="1" t="s">
        <v>23</v>
      </c>
      <c r="E283" s="1">
        <v>82.5</v>
      </c>
      <c r="F283" s="1">
        <v>77</v>
      </c>
      <c r="G283" s="1">
        <v>78</v>
      </c>
      <c r="H283" s="1">
        <v>88</v>
      </c>
      <c r="I283" s="1">
        <v>81.5</v>
      </c>
      <c r="J283" s="1">
        <f t="shared" si="8"/>
        <v>407</v>
      </c>
      <c r="K283" s="3">
        <f t="shared" si="9"/>
        <v>81.4</v>
      </c>
    </row>
    <row r="284" spans="1:11">
      <c r="A284" s="1">
        <v>10224</v>
      </c>
      <c r="B284" s="1" t="s">
        <v>247</v>
      </c>
      <c r="C284" s="1" t="s">
        <v>17</v>
      </c>
      <c r="D284" s="1" t="s">
        <v>23</v>
      </c>
      <c r="E284" s="1">
        <v>75.5</v>
      </c>
      <c r="F284" s="1">
        <v>73.5</v>
      </c>
      <c r="G284" s="1">
        <v>77</v>
      </c>
      <c r="H284" s="1">
        <v>75</v>
      </c>
      <c r="I284" s="1">
        <v>68.5</v>
      </c>
      <c r="J284" s="1">
        <f t="shared" si="8"/>
        <v>369.5</v>
      </c>
      <c r="K284" s="3">
        <f t="shared" si="9"/>
        <v>73.9</v>
      </c>
    </row>
    <row r="285" spans="1:11">
      <c r="A285" s="1">
        <v>10226</v>
      </c>
      <c r="B285" s="1" t="s">
        <v>249</v>
      </c>
      <c r="C285" s="1" t="s">
        <v>17</v>
      </c>
      <c r="D285" s="1" t="s">
        <v>23</v>
      </c>
      <c r="E285" s="1">
        <v>64.5</v>
      </c>
      <c r="F285" s="1">
        <v>61.5</v>
      </c>
      <c r="G285" s="1">
        <v>79.5</v>
      </c>
      <c r="H285" s="1">
        <v>77.5</v>
      </c>
      <c r="I285" s="1">
        <v>69.5</v>
      </c>
      <c r="J285" s="1">
        <f t="shared" si="8"/>
        <v>352.5</v>
      </c>
      <c r="K285" s="3">
        <f t="shared" si="9"/>
        <v>70.5</v>
      </c>
    </row>
    <row r="286" spans="1:11">
      <c r="A286" s="1">
        <v>10228</v>
      </c>
      <c r="B286" s="1" t="s">
        <v>251</v>
      </c>
      <c r="C286" s="1" t="s">
        <v>14</v>
      </c>
      <c r="D286" s="1" t="s">
        <v>23</v>
      </c>
      <c r="E286" s="1">
        <v>95.5</v>
      </c>
      <c r="F286" s="1">
        <v>63.5</v>
      </c>
      <c r="G286" s="1">
        <v>74</v>
      </c>
      <c r="H286" s="1">
        <v>72</v>
      </c>
      <c r="I286" s="1">
        <v>66.5</v>
      </c>
      <c r="J286" s="1">
        <f t="shared" si="8"/>
        <v>371.5</v>
      </c>
      <c r="K286" s="3">
        <f t="shared" si="9"/>
        <v>74.3</v>
      </c>
    </row>
    <row r="287" spans="1:11">
      <c r="A287" s="1">
        <v>10229</v>
      </c>
      <c r="B287" s="1" t="s">
        <v>252</v>
      </c>
      <c r="C287" s="1" t="s">
        <v>14</v>
      </c>
      <c r="D287" s="1" t="s">
        <v>23</v>
      </c>
      <c r="E287" s="1">
        <v>66</v>
      </c>
      <c r="F287" s="1">
        <v>85.5</v>
      </c>
      <c r="G287" s="1">
        <v>71.5</v>
      </c>
      <c r="H287" s="1">
        <v>69.5</v>
      </c>
      <c r="I287" s="1">
        <v>81</v>
      </c>
      <c r="J287" s="1">
        <f t="shared" si="8"/>
        <v>373.5</v>
      </c>
      <c r="K287" s="3">
        <f t="shared" si="9"/>
        <v>74.7</v>
      </c>
    </row>
    <row r="288" spans="1:11">
      <c r="A288" s="1">
        <v>10231</v>
      </c>
      <c r="B288" s="1" t="s">
        <v>254</v>
      </c>
      <c r="C288" s="1" t="s">
        <v>17</v>
      </c>
      <c r="D288" s="1" t="s">
        <v>23</v>
      </c>
      <c r="E288" s="1">
        <v>62.5</v>
      </c>
      <c r="F288" s="1">
        <v>86.5</v>
      </c>
      <c r="G288" s="1">
        <v>86.5</v>
      </c>
      <c r="H288" s="1">
        <v>84.5</v>
      </c>
      <c r="I288" s="1">
        <v>92</v>
      </c>
      <c r="J288" s="1">
        <f t="shared" si="8"/>
        <v>412</v>
      </c>
      <c r="K288" s="3">
        <f t="shared" si="9"/>
        <v>82.4</v>
      </c>
    </row>
    <row r="289" spans="1:11">
      <c r="A289" s="1">
        <v>10234</v>
      </c>
      <c r="B289" s="1" t="s">
        <v>257</v>
      </c>
      <c r="C289" s="1" t="s">
        <v>17</v>
      </c>
      <c r="D289" s="1" t="s">
        <v>23</v>
      </c>
      <c r="E289" s="1">
        <v>97</v>
      </c>
      <c r="F289" s="1">
        <v>82.5</v>
      </c>
      <c r="G289" s="1">
        <v>72</v>
      </c>
      <c r="H289" s="1">
        <v>90</v>
      </c>
      <c r="I289" s="1">
        <v>76</v>
      </c>
      <c r="J289" s="1">
        <f t="shared" si="8"/>
        <v>417.5</v>
      </c>
      <c r="K289" s="3">
        <f t="shared" si="9"/>
        <v>83.5</v>
      </c>
    </row>
    <row r="290" spans="1:11">
      <c r="A290" s="1">
        <v>10237</v>
      </c>
      <c r="B290" s="1" t="s">
        <v>260</v>
      </c>
      <c r="C290" s="1" t="s">
        <v>14</v>
      </c>
      <c r="D290" s="1" t="s">
        <v>23</v>
      </c>
      <c r="E290" s="1">
        <v>76.5</v>
      </c>
      <c r="F290" s="1">
        <v>66</v>
      </c>
      <c r="G290" s="1">
        <v>74</v>
      </c>
      <c r="H290" s="1">
        <v>72</v>
      </c>
      <c r="I290" s="1">
        <v>71</v>
      </c>
      <c r="J290" s="1">
        <f t="shared" si="8"/>
        <v>359.5</v>
      </c>
      <c r="K290" s="3">
        <f t="shared" si="9"/>
        <v>71.9</v>
      </c>
    </row>
    <row r="291" spans="1:11">
      <c r="A291" s="1">
        <v>10240</v>
      </c>
      <c r="B291" s="1" t="s">
        <v>263</v>
      </c>
      <c r="C291" s="1" t="s">
        <v>17</v>
      </c>
      <c r="D291" s="1" t="s">
        <v>23</v>
      </c>
      <c r="E291" s="1">
        <v>91.5</v>
      </c>
      <c r="F291" s="1">
        <v>72.5</v>
      </c>
      <c r="G291" s="1">
        <v>67.5</v>
      </c>
      <c r="H291" s="1">
        <v>65.5</v>
      </c>
      <c r="I291" s="1">
        <v>89.5</v>
      </c>
      <c r="J291" s="1">
        <f t="shared" si="8"/>
        <v>386.5</v>
      </c>
      <c r="K291" s="3">
        <f t="shared" si="9"/>
        <v>77.3</v>
      </c>
    </row>
    <row r="292" spans="1:11">
      <c r="A292" s="1">
        <v>10247</v>
      </c>
      <c r="B292" s="1" t="s">
        <v>270</v>
      </c>
      <c r="C292" s="1" t="s">
        <v>17</v>
      </c>
      <c r="D292" s="1" t="s">
        <v>23</v>
      </c>
      <c r="E292" s="1">
        <v>71.5</v>
      </c>
      <c r="F292" s="1">
        <v>60</v>
      </c>
      <c r="G292" s="1">
        <v>70.5</v>
      </c>
      <c r="H292" s="1">
        <v>68.5</v>
      </c>
      <c r="I292" s="1">
        <v>90</v>
      </c>
      <c r="J292" s="1">
        <f t="shared" si="8"/>
        <v>360.5</v>
      </c>
      <c r="K292" s="3">
        <f t="shared" si="9"/>
        <v>72.1</v>
      </c>
    </row>
    <row r="293" spans="1:11">
      <c r="A293" s="1">
        <v>10253</v>
      </c>
      <c r="B293" s="1" t="s">
        <v>275</v>
      </c>
      <c r="C293" s="1" t="s">
        <v>14</v>
      </c>
      <c r="D293" s="1" t="s">
        <v>23</v>
      </c>
      <c r="E293" s="1">
        <v>93</v>
      </c>
      <c r="F293" s="1">
        <v>93</v>
      </c>
      <c r="G293" s="1">
        <v>93</v>
      </c>
      <c r="H293" s="1">
        <v>78</v>
      </c>
      <c r="I293" s="1">
        <v>93</v>
      </c>
      <c r="J293" s="1">
        <f t="shared" si="8"/>
        <v>450</v>
      </c>
      <c r="K293" s="3">
        <f t="shared" si="9"/>
        <v>90</v>
      </c>
    </row>
    <row r="294" spans="1:11">
      <c r="A294" s="1">
        <v>10271</v>
      </c>
      <c r="B294" s="1" t="s">
        <v>292</v>
      </c>
      <c r="C294" s="1" t="s">
        <v>14</v>
      </c>
      <c r="D294" s="1" t="s">
        <v>23</v>
      </c>
      <c r="E294" s="1">
        <v>78.5</v>
      </c>
      <c r="F294" s="1">
        <v>81.5</v>
      </c>
      <c r="G294" s="1">
        <v>82</v>
      </c>
      <c r="H294" s="1">
        <v>80</v>
      </c>
      <c r="I294" s="1">
        <v>89.5</v>
      </c>
      <c r="J294" s="1">
        <f t="shared" si="8"/>
        <v>411.5</v>
      </c>
      <c r="K294" s="3">
        <f t="shared" si="9"/>
        <v>82.3</v>
      </c>
    </row>
    <row r="295" spans="1:11">
      <c r="A295" s="1">
        <v>10273</v>
      </c>
      <c r="B295" s="1" t="s">
        <v>294</v>
      </c>
      <c r="C295" s="1" t="s">
        <v>17</v>
      </c>
      <c r="D295" s="1" t="s">
        <v>23</v>
      </c>
      <c r="E295" s="1">
        <v>78</v>
      </c>
      <c r="F295" s="1">
        <v>63</v>
      </c>
      <c r="G295" s="1">
        <v>92</v>
      </c>
      <c r="H295" s="1">
        <v>90</v>
      </c>
      <c r="I295" s="1">
        <v>65</v>
      </c>
      <c r="J295" s="1">
        <f t="shared" si="8"/>
        <v>388</v>
      </c>
      <c r="K295" s="3">
        <f t="shared" si="9"/>
        <v>77.6</v>
      </c>
    </row>
    <row r="296" spans="1:11">
      <c r="A296" s="1">
        <v>10276</v>
      </c>
      <c r="B296" s="1" t="s">
        <v>297</v>
      </c>
      <c r="C296" s="1" t="s">
        <v>17</v>
      </c>
      <c r="D296" s="1" t="s">
        <v>23</v>
      </c>
      <c r="E296" s="1">
        <v>76</v>
      </c>
      <c r="F296" s="1">
        <v>75</v>
      </c>
      <c r="G296" s="1">
        <v>67</v>
      </c>
      <c r="H296" s="1">
        <v>65</v>
      </c>
      <c r="I296" s="1">
        <v>59</v>
      </c>
      <c r="J296" s="1">
        <f t="shared" si="8"/>
        <v>342</v>
      </c>
      <c r="K296" s="3">
        <f t="shared" si="9"/>
        <v>68.4</v>
      </c>
    </row>
    <row r="297" spans="1:11">
      <c r="A297" s="1">
        <v>10287</v>
      </c>
      <c r="B297" s="1" t="s">
        <v>308</v>
      </c>
      <c r="C297" s="1" t="s">
        <v>14</v>
      </c>
      <c r="D297" s="1" t="s">
        <v>23</v>
      </c>
      <c r="E297" s="1">
        <v>83</v>
      </c>
      <c r="F297" s="1">
        <v>71.5</v>
      </c>
      <c r="G297" s="1">
        <v>75</v>
      </c>
      <c r="H297" s="1">
        <v>73</v>
      </c>
      <c r="I297" s="1">
        <v>73</v>
      </c>
      <c r="J297" s="1">
        <f t="shared" si="8"/>
        <v>375.5</v>
      </c>
      <c r="K297" s="3">
        <f t="shared" si="9"/>
        <v>75.1</v>
      </c>
    </row>
    <row r="298" spans="1:11">
      <c r="A298" s="1">
        <v>10300</v>
      </c>
      <c r="B298" s="1" t="s">
        <v>321</v>
      </c>
      <c r="C298" s="1" t="s">
        <v>14</v>
      </c>
      <c r="D298" s="1" t="s">
        <v>23</v>
      </c>
      <c r="E298" s="1">
        <v>77</v>
      </c>
      <c r="F298" s="1">
        <v>62</v>
      </c>
      <c r="G298" s="1">
        <v>68.5</v>
      </c>
      <c r="H298" s="1">
        <v>66.5</v>
      </c>
      <c r="I298" s="1">
        <v>68</v>
      </c>
      <c r="J298" s="1">
        <f t="shared" si="8"/>
        <v>342</v>
      </c>
      <c r="K298" s="3">
        <f t="shared" si="9"/>
        <v>68.4</v>
      </c>
    </row>
    <row r="299" spans="1:11">
      <c r="A299" s="1">
        <v>10303</v>
      </c>
      <c r="B299" s="1" t="s">
        <v>324</v>
      </c>
      <c r="C299" s="1" t="s">
        <v>17</v>
      </c>
      <c r="D299" s="1" t="s">
        <v>23</v>
      </c>
      <c r="E299" s="1">
        <v>75.5</v>
      </c>
      <c r="F299" s="1">
        <v>66</v>
      </c>
      <c r="G299" s="1">
        <v>87</v>
      </c>
      <c r="H299" s="1">
        <v>85</v>
      </c>
      <c r="I299" s="1">
        <v>72.5</v>
      </c>
      <c r="J299" s="1">
        <f t="shared" si="8"/>
        <v>386</v>
      </c>
      <c r="K299" s="3">
        <f t="shared" si="9"/>
        <v>77.2</v>
      </c>
    </row>
    <row r="300" spans="1:11">
      <c r="A300" s="1">
        <v>10304</v>
      </c>
      <c r="B300" s="1" t="s">
        <v>325</v>
      </c>
      <c r="C300" s="1" t="s">
        <v>14</v>
      </c>
      <c r="D300" s="1" t="s">
        <v>23</v>
      </c>
      <c r="E300" s="1">
        <v>80.5</v>
      </c>
      <c r="F300" s="1">
        <v>71.5</v>
      </c>
      <c r="G300" s="1">
        <v>63.5</v>
      </c>
      <c r="H300" s="1">
        <v>61.5</v>
      </c>
      <c r="I300" s="1">
        <v>64</v>
      </c>
      <c r="J300" s="1">
        <f t="shared" si="8"/>
        <v>341</v>
      </c>
      <c r="K300" s="3">
        <f t="shared" si="9"/>
        <v>68.2</v>
      </c>
    </row>
    <row r="301" spans="1:11">
      <c r="A301" s="1">
        <v>10317</v>
      </c>
      <c r="B301" s="1" t="s">
        <v>338</v>
      </c>
      <c r="C301" s="1" t="s">
        <v>17</v>
      </c>
      <c r="D301" s="1" t="s">
        <v>23</v>
      </c>
      <c r="E301" s="1">
        <v>86</v>
      </c>
      <c r="F301" s="1">
        <v>97</v>
      </c>
      <c r="G301" s="1">
        <v>78</v>
      </c>
      <c r="H301" s="1">
        <v>76</v>
      </c>
      <c r="I301" s="1">
        <v>69</v>
      </c>
      <c r="J301" s="1">
        <f t="shared" si="8"/>
        <v>406</v>
      </c>
      <c r="K301" s="3">
        <f t="shared" si="9"/>
        <v>81.2</v>
      </c>
    </row>
    <row r="302" spans="1:11">
      <c r="A302" s="1">
        <v>10318</v>
      </c>
      <c r="B302" s="1" t="s">
        <v>339</v>
      </c>
      <c r="C302" s="1" t="s">
        <v>17</v>
      </c>
      <c r="D302" s="1" t="s">
        <v>23</v>
      </c>
      <c r="E302" s="1">
        <v>94.5</v>
      </c>
      <c r="F302" s="1">
        <v>70</v>
      </c>
      <c r="G302" s="1">
        <v>77</v>
      </c>
      <c r="H302" s="1">
        <v>75</v>
      </c>
      <c r="I302" s="1">
        <v>61</v>
      </c>
      <c r="J302" s="1">
        <f t="shared" si="8"/>
        <v>377.5</v>
      </c>
      <c r="K302" s="3">
        <f t="shared" si="9"/>
        <v>75.5</v>
      </c>
    </row>
    <row r="303" spans="1:11">
      <c r="A303" s="1">
        <v>10330</v>
      </c>
      <c r="B303" s="1" t="s">
        <v>351</v>
      </c>
      <c r="C303" s="1" t="s">
        <v>17</v>
      </c>
      <c r="D303" s="1" t="s">
        <v>23</v>
      </c>
      <c r="E303" s="1">
        <v>79</v>
      </c>
      <c r="F303" s="1">
        <v>85.5</v>
      </c>
      <c r="G303" s="1">
        <v>63.5</v>
      </c>
      <c r="H303" s="1">
        <v>61.5</v>
      </c>
      <c r="I303" s="1">
        <v>85.5</v>
      </c>
      <c r="J303" s="1">
        <f t="shared" si="8"/>
        <v>375</v>
      </c>
      <c r="K303" s="3">
        <f t="shared" si="9"/>
        <v>75</v>
      </c>
    </row>
    <row r="304" spans="1:11">
      <c r="A304" s="1">
        <v>10332</v>
      </c>
      <c r="B304" s="1" t="s">
        <v>353</v>
      </c>
      <c r="C304" s="1" t="s">
        <v>17</v>
      </c>
      <c r="D304" s="1" t="s">
        <v>23</v>
      </c>
      <c r="E304" s="1">
        <v>63</v>
      </c>
      <c r="F304" s="1">
        <v>79</v>
      </c>
      <c r="G304" s="1">
        <v>76</v>
      </c>
      <c r="H304" s="1">
        <v>74</v>
      </c>
      <c r="I304" s="1">
        <v>76</v>
      </c>
      <c r="J304" s="1">
        <f t="shared" si="8"/>
        <v>368</v>
      </c>
      <c r="K304" s="3">
        <f t="shared" si="9"/>
        <v>73.6</v>
      </c>
    </row>
    <row r="305" spans="1:11">
      <c r="A305" s="1">
        <v>10342</v>
      </c>
      <c r="B305" s="1" t="s">
        <v>363</v>
      </c>
      <c r="C305" s="1" t="s">
        <v>14</v>
      </c>
      <c r="D305" s="1" t="s">
        <v>23</v>
      </c>
      <c r="E305" s="1">
        <v>53</v>
      </c>
      <c r="F305" s="1">
        <v>90</v>
      </c>
      <c r="G305" s="1">
        <v>92.5</v>
      </c>
      <c r="H305" s="1">
        <v>90.5</v>
      </c>
      <c r="I305" s="1">
        <v>80</v>
      </c>
      <c r="J305" s="1">
        <f t="shared" si="8"/>
        <v>406</v>
      </c>
      <c r="K305" s="3">
        <f t="shared" si="9"/>
        <v>81.2</v>
      </c>
    </row>
    <row r="306" spans="1:11">
      <c r="A306" s="1">
        <v>10343</v>
      </c>
      <c r="B306" s="1" t="s">
        <v>364</v>
      </c>
      <c r="C306" s="1" t="s">
        <v>14</v>
      </c>
      <c r="D306" s="1" t="s">
        <v>23</v>
      </c>
      <c r="E306" s="1">
        <v>74.5</v>
      </c>
      <c r="F306" s="1">
        <v>83.5</v>
      </c>
      <c r="G306" s="1">
        <v>73</v>
      </c>
      <c r="H306" s="1">
        <v>71</v>
      </c>
      <c r="I306" s="1">
        <v>80</v>
      </c>
      <c r="J306" s="1">
        <f t="shared" si="8"/>
        <v>382</v>
      </c>
      <c r="K306" s="3">
        <f t="shared" si="9"/>
        <v>76.4</v>
      </c>
    </row>
    <row r="307" spans="1:11">
      <c r="A307" s="1">
        <v>10350</v>
      </c>
      <c r="B307" s="1" t="s">
        <v>371</v>
      </c>
      <c r="C307" s="1" t="s">
        <v>14</v>
      </c>
      <c r="D307" s="1" t="s">
        <v>23</v>
      </c>
      <c r="E307" s="1">
        <v>59</v>
      </c>
      <c r="F307" s="1">
        <v>88</v>
      </c>
      <c r="G307" s="1">
        <v>70.5</v>
      </c>
      <c r="H307" s="1">
        <v>68.5</v>
      </c>
      <c r="I307" s="1">
        <v>96</v>
      </c>
      <c r="J307" s="1">
        <f t="shared" si="8"/>
        <v>382</v>
      </c>
      <c r="K307" s="3">
        <f t="shared" si="9"/>
        <v>76.4</v>
      </c>
    </row>
    <row r="308" spans="1:11">
      <c r="A308" s="1">
        <v>10352</v>
      </c>
      <c r="B308" s="1" t="s">
        <v>373</v>
      </c>
      <c r="C308" s="1" t="s">
        <v>17</v>
      </c>
      <c r="D308" s="1" t="s">
        <v>23</v>
      </c>
      <c r="E308" s="1">
        <v>90</v>
      </c>
      <c r="F308" s="1">
        <v>76.5</v>
      </c>
      <c r="G308" s="1">
        <v>71.5</v>
      </c>
      <c r="H308" s="1">
        <v>69.5</v>
      </c>
      <c r="I308" s="1">
        <v>84</v>
      </c>
      <c r="J308" s="1">
        <f t="shared" si="8"/>
        <v>391.5</v>
      </c>
      <c r="K308" s="3">
        <f t="shared" si="9"/>
        <v>78.3</v>
      </c>
    </row>
    <row r="309" spans="1:11">
      <c r="A309" s="1">
        <v>10355</v>
      </c>
      <c r="B309" s="1" t="s">
        <v>376</v>
      </c>
      <c r="C309" s="1" t="s">
        <v>17</v>
      </c>
      <c r="D309" s="1" t="s">
        <v>23</v>
      </c>
      <c r="E309" s="1">
        <v>76</v>
      </c>
      <c r="F309" s="1">
        <v>80</v>
      </c>
      <c r="G309" s="1">
        <v>85.5</v>
      </c>
      <c r="H309" s="1">
        <v>83.5</v>
      </c>
      <c r="I309" s="1">
        <v>83</v>
      </c>
      <c r="J309" s="1">
        <f t="shared" si="8"/>
        <v>408</v>
      </c>
      <c r="K309" s="3">
        <f t="shared" si="9"/>
        <v>81.6</v>
      </c>
    </row>
    <row r="310" spans="1:11">
      <c r="A310" s="1">
        <v>10360</v>
      </c>
      <c r="B310" s="1" t="s">
        <v>381</v>
      </c>
      <c r="C310" s="1" t="s">
        <v>17</v>
      </c>
      <c r="D310" s="1" t="s">
        <v>23</v>
      </c>
      <c r="E310" s="1">
        <v>83</v>
      </c>
      <c r="F310" s="1">
        <v>71</v>
      </c>
      <c r="G310" s="1">
        <v>90</v>
      </c>
      <c r="H310" s="1">
        <v>93.5</v>
      </c>
      <c r="I310" s="1">
        <v>95</v>
      </c>
      <c r="J310" s="1">
        <f t="shared" si="8"/>
        <v>432.5</v>
      </c>
      <c r="K310" s="3">
        <f t="shared" si="9"/>
        <v>86.5</v>
      </c>
    </row>
    <row r="311" spans="1:11">
      <c r="A311" s="1">
        <v>10367</v>
      </c>
      <c r="B311" s="1" t="s">
        <v>388</v>
      </c>
      <c r="C311" s="1" t="s">
        <v>17</v>
      </c>
      <c r="D311" s="1" t="s">
        <v>23</v>
      </c>
      <c r="E311" s="1">
        <v>72</v>
      </c>
      <c r="F311" s="1">
        <v>86.5</v>
      </c>
      <c r="G311" s="1">
        <v>85.5</v>
      </c>
      <c r="H311" s="1">
        <v>83.5</v>
      </c>
      <c r="I311" s="1">
        <v>80</v>
      </c>
      <c r="J311" s="1">
        <f t="shared" si="8"/>
        <v>407.5</v>
      </c>
      <c r="K311" s="3">
        <f t="shared" si="9"/>
        <v>81.5</v>
      </c>
    </row>
    <row r="312" spans="1:11">
      <c r="A312" s="1">
        <v>10368</v>
      </c>
      <c r="B312" s="1" t="s">
        <v>389</v>
      </c>
      <c r="C312" s="1" t="s">
        <v>17</v>
      </c>
      <c r="D312" s="1" t="s">
        <v>23</v>
      </c>
      <c r="E312" s="1">
        <v>83</v>
      </c>
      <c r="F312" s="1">
        <v>86.5</v>
      </c>
      <c r="G312" s="1">
        <v>90.5</v>
      </c>
      <c r="H312" s="1">
        <v>88.5</v>
      </c>
      <c r="I312" s="1">
        <v>67</v>
      </c>
      <c r="J312" s="1">
        <f t="shared" si="8"/>
        <v>415.5</v>
      </c>
      <c r="K312" s="3">
        <f t="shared" si="9"/>
        <v>83.1</v>
      </c>
    </row>
    <row r="313" spans="1:11">
      <c r="A313" s="1">
        <v>10369</v>
      </c>
      <c r="B313" s="1" t="s">
        <v>390</v>
      </c>
      <c r="C313" s="1" t="s">
        <v>14</v>
      </c>
      <c r="D313" s="1" t="s">
        <v>23</v>
      </c>
      <c r="E313" s="1">
        <v>79</v>
      </c>
      <c r="F313" s="1">
        <v>73</v>
      </c>
      <c r="G313" s="1">
        <v>93.5</v>
      </c>
      <c r="H313" s="1">
        <v>91.5</v>
      </c>
      <c r="I313" s="1">
        <v>64</v>
      </c>
      <c r="J313" s="1">
        <f t="shared" si="8"/>
        <v>401</v>
      </c>
      <c r="K313" s="3">
        <f t="shared" si="9"/>
        <v>80.2</v>
      </c>
    </row>
    <row r="314" spans="1:11">
      <c r="A314" s="1">
        <v>10376</v>
      </c>
      <c r="B314" s="1" t="s">
        <v>397</v>
      </c>
      <c r="C314" s="1" t="s">
        <v>17</v>
      </c>
      <c r="D314" s="1" t="s">
        <v>23</v>
      </c>
      <c r="E314" s="1">
        <v>95</v>
      </c>
      <c r="F314" s="1">
        <v>90.5</v>
      </c>
      <c r="G314" s="1">
        <v>91</v>
      </c>
      <c r="H314" s="1">
        <v>93</v>
      </c>
      <c r="I314" s="1">
        <v>89</v>
      </c>
      <c r="J314" s="1">
        <f t="shared" si="8"/>
        <v>458.5</v>
      </c>
      <c r="K314" s="3">
        <f t="shared" si="9"/>
        <v>91.7</v>
      </c>
    </row>
    <row r="315" spans="1:11">
      <c r="A315" s="1">
        <v>10380</v>
      </c>
      <c r="B315" s="1" t="s">
        <v>401</v>
      </c>
      <c r="C315" s="1" t="s">
        <v>14</v>
      </c>
      <c r="D315" s="1" t="s">
        <v>23</v>
      </c>
      <c r="E315" s="1">
        <v>88.5</v>
      </c>
      <c r="F315" s="1">
        <v>73</v>
      </c>
      <c r="G315" s="1">
        <v>69</v>
      </c>
      <c r="H315" s="1">
        <v>67</v>
      </c>
      <c r="I315" s="1">
        <v>88.5</v>
      </c>
      <c r="J315" s="1">
        <f t="shared" si="8"/>
        <v>386</v>
      </c>
      <c r="K315" s="3">
        <f t="shared" si="9"/>
        <v>77.2</v>
      </c>
    </row>
    <row r="316" spans="1:11">
      <c r="A316" s="1">
        <v>10384</v>
      </c>
      <c r="B316" s="1" t="s">
        <v>405</v>
      </c>
      <c r="C316" s="1" t="s">
        <v>17</v>
      </c>
      <c r="D316" s="1" t="s">
        <v>23</v>
      </c>
      <c r="E316" s="1">
        <v>79.5</v>
      </c>
      <c r="F316" s="1">
        <v>51</v>
      </c>
      <c r="G316" s="1">
        <v>98</v>
      </c>
      <c r="H316" s="1">
        <v>96</v>
      </c>
      <c r="I316" s="1">
        <v>92</v>
      </c>
      <c r="J316" s="1">
        <f t="shared" si="8"/>
        <v>416.5</v>
      </c>
      <c r="K316" s="3">
        <f t="shared" si="9"/>
        <v>83.3</v>
      </c>
    </row>
    <row r="317" spans="1:11">
      <c r="A317" s="1">
        <v>10387</v>
      </c>
      <c r="B317" s="1" t="s">
        <v>408</v>
      </c>
      <c r="C317" s="1" t="s">
        <v>14</v>
      </c>
      <c r="D317" s="1" t="s">
        <v>23</v>
      </c>
      <c r="E317" s="1">
        <v>72</v>
      </c>
      <c r="F317" s="1">
        <v>64.5</v>
      </c>
      <c r="G317" s="1">
        <v>69.5</v>
      </c>
      <c r="H317" s="1">
        <v>67.5</v>
      </c>
      <c r="I317" s="1">
        <v>60.5</v>
      </c>
      <c r="J317" s="1">
        <f t="shared" si="8"/>
        <v>334</v>
      </c>
      <c r="K317" s="3">
        <f t="shared" si="9"/>
        <v>66.8</v>
      </c>
    </row>
    <row r="318" spans="1:11">
      <c r="A318" s="1">
        <v>10393</v>
      </c>
      <c r="B318" s="1" t="s">
        <v>414</v>
      </c>
      <c r="C318" s="1" t="s">
        <v>14</v>
      </c>
      <c r="D318" s="1" t="s">
        <v>23</v>
      </c>
      <c r="E318" s="1">
        <v>68.5</v>
      </c>
      <c r="F318" s="1">
        <v>85</v>
      </c>
      <c r="G318" s="1">
        <v>79.5</v>
      </c>
      <c r="H318" s="1">
        <v>77.5</v>
      </c>
      <c r="I318" s="1">
        <v>68.5</v>
      </c>
      <c r="J318" s="1">
        <f t="shared" si="8"/>
        <v>379</v>
      </c>
      <c r="K318" s="3">
        <f t="shared" si="9"/>
        <v>75.8</v>
      </c>
    </row>
    <row r="319" spans="1:11">
      <c r="A319" s="1">
        <v>10398</v>
      </c>
      <c r="B319" s="1" t="s">
        <v>419</v>
      </c>
      <c r="C319" s="1" t="s">
        <v>17</v>
      </c>
      <c r="D319" s="1" t="s">
        <v>23</v>
      </c>
      <c r="E319" s="1">
        <v>54.5</v>
      </c>
      <c r="F319" s="1">
        <v>62.5</v>
      </c>
      <c r="G319" s="1">
        <v>94</v>
      </c>
      <c r="H319" s="1">
        <v>92</v>
      </c>
      <c r="I319" s="1">
        <v>73</v>
      </c>
      <c r="J319" s="1">
        <f t="shared" si="8"/>
        <v>376</v>
      </c>
      <c r="K319" s="3">
        <f t="shared" si="9"/>
        <v>75.2</v>
      </c>
    </row>
    <row r="320" spans="1:11">
      <c r="A320" s="1">
        <v>10404</v>
      </c>
      <c r="B320" s="1" t="s">
        <v>425</v>
      </c>
      <c r="C320" s="1" t="s">
        <v>14</v>
      </c>
      <c r="D320" s="1" t="s">
        <v>23</v>
      </c>
      <c r="E320" s="1">
        <v>71.5</v>
      </c>
      <c r="F320" s="1">
        <v>75</v>
      </c>
      <c r="G320" s="1">
        <v>79</v>
      </c>
      <c r="H320" s="1">
        <v>77</v>
      </c>
      <c r="I320" s="1">
        <v>82</v>
      </c>
      <c r="J320" s="1">
        <f t="shared" si="8"/>
        <v>384.5</v>
      </c>
      <c r="K320" s="3">
        <f t="shared" si="9"/>
        <v>76.9</v>
      </c>
    </row>
    <row r="321" spans="1:11">
      <c r="A321" s="1">
        <v>10405</v>
      </c>
      <c r="B321" s="1" t="s">
        <v>426</v>
      </c>
      <c r="C321" s="1" t="s">
        <v>17</v>
      </c>
      <c r="D321" s="1" t="s">
        <v>23</v>
      </c>
      <c r="E321" s="1">
        <v>76</v>
      </c>
      <c r="F321" s="1">
        <v>88.5</v>
      </c>
      <c r="G321" s="1">
        <v>91</v>
      </c>
      <c r="H321" s="1">
        <v>89</v>
      </c>
      <c r="I321" s="1">
        <v>74</v>
      </c>
      <c r="J321" s="1">
        <f t="shared" si="8"/>
        <v>418.5</v>
      </c>
      <c r="K321" s="3">
        <f t="shared" si="9"/>
        <v>83.7</v>
      </c>
    </row>
    <row r="322" spans="1:11">
      <c r="A322" s="1">
        <v>10409</v>
      </c>
      <c r="B322" s="1" t="s">
        <v>430</v>
      </c>
      <c r="C322" s="1" t="s">
        <v>17</v>
      </c>
      <c r="D322" s="1" t="s">
        <v>23</v>
      </c>
      <c r="E322" s="1">
        <v>75</v>
      </c>
      <c r="F322" s="1">
        <v>78.5</v>
      </c>
      <c r="G322" s="1">
        <v>70.5</v>
      </c>
      <c r="H322" s="1">
        <v>68.5</v>
      </c>
      <c r="I322" s="1">
        <v>82.5</v>
      </c>
      <c r="J322" s="1">
        <f t="shared" ref="J322:J385" si="10">SUM(E322:I322)</f>
        <v>375</v>
      </c>
      <c r="K322" s="3">
        <f t="shared" ref="K322:K385" si="11">AVERAGE(E322:I322)</f>
        <v>75</v>
      </c>
    </row>
    <row r="323" spans="1:11">
      <c r="A323" s="1">
        <v>10416</v>
      </c>
      <c r="B323" s="1" t="s">
        <v>437</v>
      </c>
      <c r="C323" s="1" t="s">
        <v>14</v>
      </c>
      <c r="D323" s="1" t="s">
        <v>23</v>
      </c>
      <c r="E323" s="1">
        <v>64</v>
      </c>
      <c r="F323" s="1">
        <v>91.5</v>
      </c>
      <c r="G323" s="1">
        <v>65.5</v>
      </c>
      <c r="H323" s="1">
        <v>63.5</v>
      </c>
      <c r="I323" s="1">
        <v>83</v>
      </c>
      <c r="J323" s="1">
        <f t="shared" si="10"/>
        <v>367.5</v>
      </c>
      <c r="K323" s="3">
        <f t="shared" si="11"/>
        <v>73.5</v>
      </c>
    </row>
    <row r="324" spans="1:11">
      <c r="A324" s="1">
        <v>10424</v>
      </c>
      <c r="B324" s="1" t="s">
        <v>445</v>
      </c>
      <c r="C324" s="1" t="s">
        <v>17</v>
      </c>
      <c r="D324" s="1" t="s">
        <v>23</v>
      </c>
      <c r="E324" s="1">
        <v>60.5</v>
      </c>
      <c r="F324" s="1">
        <v>86.5</v>
      </c>
      <c r="G324" s="1">
        <v>62.5</v>
      </c>
      <c r="H324" s="1">
        <v>60.5</v>
      </c>
      <c r="I324" s="1">
        <v>93</v>
      </c>
      <c r="J324" s="1">
        <f t="shared" si="10"/>
        <v>363</v>
      </c>
      <c r="K324" s="3">
        <f t="shared" si="11"/>
        <v>72.6</v>
      </c>
    </row>
    <row r="325" spans="1:11">
      <c r="A325" s="1">
        <v>10453</v>
      </c>
      <c r="B325" s="1" t="s">
        <v>474</v>
      </c>
      <c r="C325" s="1" t="s">
        <v>17</v>
      </c>
      <c r="D325" s="1" t="s">
        <v>23</v>
      </c>
      <c r="E325" s="1">
        <v>97</v>
      </c>
      <c r="F325" s="1">
        <v>92</v>
      </c>
      <c r="G325" s="1">
        <v>87.5</v>
      </c>
      <c r="H325" s="1">
        <v>85.5</v>
      </c>
      <c r="I325" s="1">
        <v>88</v>
      </c>
      <c r="J325" s="1">
        <f t="shared" si="10"/>
        <v>450</v>
      </c>
      <c r="K325" s="3">
        <f t="shared" si="11"/>
        <v>90</v>
      </c>
    </row>
    <row r="326" spans="1:11">
      <c r="A326" s="1">
        <v>10466</v>
      </c>
      <c r="B326" s="1" t="s">
        <v>487</v>
      </c>
      <c r="C326" s="1" t="s">
        <v>14</v>
      </c>
      <c r="D326" s="1" t="s">
        <v>23</v>
      </c>
      <c r="E326" s="1">
        <v>61</v>
      </c>
      <c r="F326" s="1">
        <v>65.5</v>
      </c>
      <c r="G326" s="1">
        <v>70</v>
      </c>
      <c r="H326" s="1">
        <v>68</v>
      </c>
      <c r="I326" s="1">
        <v>71</v>
      </c>
      <c r="J326" s="1">
        <f t="shared" si="10"/>
        <v>335.5</v>
      </c>
      <c r="K326" s="3">
        <f t="shared" si="11"/>
        <v>67.1</v>
      </c>
    </row>
    <row r="327" spans="1:11">
      <c r="A327" s="1">
        <v>10469</v>
      </c>
      <c r="B327" s="1" t="s">
        <v>490</v>
      </c>
      <c r="C327" s="1" t="s">
        <v>17</v>
      </c>
      <c r="D327" s="1" t="s">
        <v>23</v>
      </c>
      <c r="E327" s="1">
        <v>79</v>
      </c>
      <c r="F327" s="1">
        <v>81.5</v>
      </c>
      <c r="G327" s="1">
        <v>79.5</v>
      </c>
      <c r="H327" s="1">
        <v>77.5</v>
      </c>
      <c r="I327" s="1">
        <v>67.5</v>
      </c>
      <c r="J327" s="1">
        <f t="shared" si="10"/>
        <v>385</v>
      </c>
      <c r="K327" s="3">
        <f t="shared" si="11"/>
        <v>77</v>
      </c>
    </row>
    <row r="328" spans="1:11">
      <c r="A328" s="1">
        <v>10486</v>
      </c>
      <c r="B328" s="1" t="s">
        <v>507</v>
      </c>
      <c r="C328" s="1" t="s">
        <v>14</v>
      </c>
      <c r="D328" s="1" t="s">
        <v>23</v>
      </c>
      <c r="E328" s="1">
        <v>85.5</v>
      </c>
      <c r="F328" s="1">
        <v>62</v>
      </c>
      <c r="G328" s="1">
        <v>83</v>
      </c>
      <c r="H328" s="1">
        <v>81</v>
      </c>
      <c r="I328" s="1">
        <v>93.5</v>
      </c>
      <c r="J328" s="1">
        <f t="shared" si="10"/>
        <v>405</v>
      </c>
      <c r="K328" s="3">
        <f t="shared" si="11"/>
        <v>81</v>
      </c>
    </row>
    <row r="329" spans="1:11">
      <c r="A329" s="1">
        <v>10495</v>
      </c>
      <c r="B329" s="1" t="s">
        <v>516</v>
      </c>
      <c r="C329" s="1" t="s">
        <v>14</v>
      </c>
      <c r="D329" s="1" t="s">
        <v>23</v>
      </c>
      <c r="E329" s="1">
        <v>88</v>
      </c>
      <c r="F329" s="1">
        <v>74</v>
      </c>
      <c r="G329" s="1">
        <v>67.5</v>
      </c>
      <c r="H329" s="1">
        <v>65.5</v>
      </c>
      <c r="I329" s="1">
        <v>66</v>
      </c>
      <c r="J329" s="1">
        <f t="shared" si="10"/>
        <v>361</v>
      </c>
      <c r="K329" s="3">
        <f t="shared" si="11"/>
        <v>72.2</v>
      </c>
    </row>
    <row r="330" spans="1:11">
      <c r="A330" s="1">
        <v>10498</v>
      </c>
      <c r="B330" s="1" t="s">
        <v>519</v>
      </c>
      <c r="C330" s="1" t="s">
        <v>17</v>
      </c>
      <c r="D330" s="1" t="s">
        <v>23</v>
      </c>
      <c r="E330" s="1">
        <v>83.5</v>
      </c>
      <c r="F330" s="1">
        <v>76.5</v>
      </c>
      <c r="G330" s="1">
        <v>92.5</v>
      </c>
      <c r="H330" s="1">
        <v>90.5</v>
      </c>
      <c r="I330" s="1">
        <v>62.5</v>
      </c>
      <c r="J330" s="1">
        <f t="shared" si="10"/>
        <v>405.5</v>
      </c>
      <c r="K330" s="3">
        <f t="shared" si="11"/>
        <v>81.1</v>
      </c>
    </row>
    <row r="331" spans="1:11">
      <c r="A331" s="1">
        <v>10014</v>
      </c>
      <c r="B331" s="1" t="s">
        <v>36</v>
      </c>
      <c r="C331" s="1" t="s">
        <v>17</v>
      </c>
      <c r="D331" s="1" t="s">
        <v>37</v>
      </c>
      <c r="E331" s="1">
        <v>67</v>
      </c>
      <c r="F331" s="1">
        <v>86</v>
      </c>
      <c r="G331" s="1">
        <v>70.5</v>
      </c>
      <c r="H331" s="1">
        <v>68.5</v>
      </c>
      <c r="I331" s="1">
        <v>62.5</v>
      </c>
      <c r="J331" s="1">
        <f t="shared" si="10"/>
        <v>354.5</v>
      </c>
      <c r="K331" s="3">
        <f t="shared" si="11"/>
        <v>70.9</v>
      </c>
    </row>
    <row r="332" spans="1:11">
      <c r="A332" s="1">
        <v>10031</v>
      </c>
      <c r="B332" s="1" t="s">
        <v>54</v>
      </c>
      <c r="C332" s="1" t="s">
        <v>17</v>
      </c>
      <c r="D332" s="1" t="s">
        <v>37</v>
      </c>
      <c r="E332" s="1">
        <v>77.5</v>
      </c>
      <c r="F332" s="1">
        <v>75.5</v>
      </c>
      <c r="G332" s="1">
        <v>79</v>
      </c>
      <c r="H332" s="1">
        <v>77</v>
      </c>
      <c r="I332" s="1">
        <v>80</v>
      </c>
      <c r="J332" s="1">
        <f t="shared" si="10"/>
        <v>389</v>
      </c>
      <c r="K332" s="3">
        <f t="shared" si="11"/>
        <v>77.8</v>
      </c>
    </row>
    <row r="333" spans="1:11">
      <c r="A333" s="1">
        <v>10045</v>
      </c>
      <c r="B333" s="1" t="s">
        <v>68</v>
      </c>
      <c r="C333" s="1" t="s">
        <v>14</v>
      </c>
      <c r="D333" s="1" t="s">
        <v>37</v>
      </c>
      <c r="E333" s="1">
        <v>60.5</v>
      </c>
      <c r="F333" s="1">
        <v>80</v>
      </c>
      <c r="G333" s="1">
        <v>80.5</v>
      </c>
      <c r="H333" s="1">
        <v>78.5</v>
      </c>
      <c r="I333" s="1">
        <v>76</v>
      </c>
      <c r="J333" s="1">
        <f t="shared" si="10"/>
        <v>375.5</v>
      </c>
      <c r="K333" s="3">
        <f t="shared" si="11"/>
        <v>75.1</v>
      </c>
    </row>
    <row r="334" spans="1:11">
      <c r="A334" s="1">
        <v>10046</v>
      </c>
      <c r="B334" s="1" t="s">
        <v>69</v>
      </c>
      <c r="C334" s="1" t="s">
        <v>17</v>
      </c>
      <c r="D334" s="1" t="s">
        <v>37</v>
      </c>
      <c r="E334" s="1">
        <v>92</v>
      </c>
      <c r="F334" s="1">
        <v>93</v>
      </c>
      <c r="G334" s="1">
        <v>92</v>
      </c>
      <c r="H334" s="1">
        <v>63.5</v>
      </c>
      <c r="I334" s="1">
        <v>65</v>
      </c>
      <c r="J334" s="1">
        <f t="shared" si="10"/>
        <v>405.5</v>
      </c>
      <c r="K334" s="3">
        <f t="shared" si="11"/>
        <v>81.1</v>
      </c>
    </row>
    <row r="335" spans="1:11">
      <c r="A335" s="1">
        <v>10049</v>
      </c>
      <c r="B335" s="1" t="s">
        <v>72</v>
      </c>
      <c r="C335" s="1" t="s">
        <v>14</v>
      </c>
      <c r="D335" s="1" t="s">
        <v>37</v>
      </c>
      <c r="E335" s="1">
        <v>63.5</v>
      </c>
      <c r="F335" s="1">
        <v>83</v>
      </c>
      <c r="G335" s="1">
        <v>63.5</v>
      </c>
      <c r="H335" s="1">
        <v>61.5</v>
      </c>
      <c r="I335" s="1">
        <v>70</v>
      </c>
      <c r="J335" s="1">
        <f t="shared" si="10"/>
        <v>341.5</v>
      </c>
      <c r="K335" s="3">
        <f t="shared" si="11"/>
        <v>68.3</v>
      </c>
    </row>
    <row r="336" spans="1:11">
      <c r="A336" s="1">
        <v>10054</v>
      </c>
      <c r="B336" s="1" t="s">
        <v>77</v>
      </c>
      <c r="C336" s="1" t="s">
        <v>17</v>
      </c>
      <c r="D336" s="1" t="s">
        <v>37</v>
      </c>
      <c r="E336" s="1">
        <v>96</v>
      </c>
      <c r="F336" s="1">
        <v>88</v>
      </c>
      <c r="G336" s="1">
        <v>93</v>
      </c>
      <c r="H336" s="1">
        <v>88</v>
      </c>
      <c r="I336" s="1">
        <v>92</v>
      </c>
      <c r="J336" s="1">
        <f t="shared" si="10"/>
        <v>457</v>
      </c>
      <c r="K336" s="3">
        <f t="shared" si="11"/>
        <v>91.4</v>
      </c>
    </row>
    <row r="337" spans="1:11">
      <c r="A337" s="1">
        <v>10056</v>
      </c>
      <c r="B337" s="1" t="s">
        <v>79</v>
      </c>
      <c r="C337" s="1" t="s">
        <v>17</v>
      </c>
      <c r="D337" s="1" t="s">
        <v>37</v>
      </c>
      <c r="E337" s="1">
        <v>79.5</v>
      </c>
      <c r="F337" s="1">
        <v>87.5</v>
      </c>
      <c r="G337" s="1">
        <v>74.5</v>
      </c>
      <c r="H337" s="1">
        <v>72.5</v>
      </c>
      <c r="I337" s="1">
        <v>75</v>
      </c>
      <c r="J337" s="1">
        <f t="shared" si="10"/>
        <v>389</v>
      </c>
      <c r="K337" s="3">
        <f t="shared" si="11"/>
        <v>77.8</v>
      </c>
    </row>
    <row r="338" spans="1:11">
      <c r="A338" s="1">
        <v>10066</v>
      </c>
      <c r="B338" s="1" t="s">
        <v>89</v>
      </c>
      <c r="C338" s="1" t="s">
        <v>14</v>
      </c>
      <c r="D338" s="1" t="s">
        <v>37</v>
      </c>
      <c r="E338" s="1">
        <v>68</v>
      </c>
      <c r="F338" s="1">
        <v>81</v>
      </c>
      <c r="G338" s="1">
        <v>85.5</v>
      </c>
      <c r="H338" s="1">
        <v>83.5</v>
      </c>
      <c r="I338" s="1">
        <v>65.5</v>
      </c>
      <c r="J338" s="1">
        <f t="shared" si="10"/>
        <v>383.5</v>
      </c>
      <c r="K338" s="3">
        <f t="shared" si="11"/>
        <v>76.7</v>
      </c>
    </row>
    <row r="339" spans="1:11">
      <c r="A339" s="1">
        <v>10076</v>
      </c>
      <c r="B339" s="1" t="s">
        <v>99</v>
      </c>
      <c r="C339" s="1" t="s">
        <v>14</v>
      </c>
      <c r="D339" s="1" t="s">
        <v>37</v>
      </c>
      <c r="E339" s="1">
        <v>81</v>
      </c>
      <c r="F339" s="1">
        <v>83</v>
      </c>
      <c r="G339" s="1">
        <v>75.5</v>
      </c>
      <c r="H339" s="1">
        <v>73.5</v>
      </c>
      <c r="I339" s="1">
        <v>62.5</v>
      </c>
      <c r="J339" s="1">
        <f t="shared" si="10"/>
        <v>375.5</v>
      </c>
      <c r="K339" s="3">
        <f t="shared" si="11"/>
        <v>75.1</v>
      </c>
    </row>
    <row r="340" spans="1:11">
      <c r="A340" s="1">
        <v>10077</v>
      </c>
      <c r="B340" s="1" t="s">
        <v>100</v>
      </c>
      <c r="C340" s="1" t="s">
        <v>17</v>
      </c>
      <c r="D340" s="1" t="s">
        <v>37</v>
      </c>
      <c r="E340" s="1">
        <v>71.5</v>
      </c>
      <c r="F340" s="1">
        <v>79.5</v>
      </c>
      <c r="G340" s="1">
        <v>75.5</v>
      </c>
      <c r="H340" s="1">
        <v>73.5</v>
      </c>
      <c r="I340" s="1">
        <v>87.5</v>
      </c>
      <c r="J340" s="1">
        <f t="shared" si="10"/>
        <v>387.5</v>
      </c>
      <c r="K340" s="3">
        <f t="shared" si="11"/>
        <v>77.5</v>
      </c>
    </row>
    <row r="341" spans="1:11">
      <c r="A341" s="1">
        <v>10081</v>
      </c>
      <c r="B341" s="1" t="s">
        <v>104</v>
      </c>
      <c r="C341" s="1" t="s">
        <v>17</v>
      </c>
      <c r="D341" s="1" t="s">
        <v>37</v>
      </c>
      <c r="E341" s="1">
        <v>87.5</v>
      </c>
      <c r="F341" s="1">
        <v>73</v>
      </c>
      <c r="G341" s="1">
        <v>91</v>
      </c>
      <c r="H341" s="1">
        <v>89</v>
      </c>
      <c r="I341" s="1">
        <v>69.5</v>
      </c>
      <c r="J341" s="1">
        <f t="shared" si="10"/>
        <v>410</v>
      </c>
      <c r="K341" s="3">
        <f t="shared" si="11"/>
        <v>82</v>
      </c>
    </row>
    <row r="342" spans="1:11">
      <c r="A342" s="1">
        <v>10087</v>
      </c>
      <c r="B342" s="1" t="s">
        <v>110</v>
      </c>
      <c r="C342" s="1" t="s">
        <v>17</v>
      </c>
      <c r="D342" s="1" t="s">
        <v>37</v>
      </c>
      <c r="E342" s="1">
        <v>88</v>
      </c>
      <c r="F342" s="1">
        <v>81.5</v>
      </c>
      <c r="G342" s="1">
        <v>83</v>
      </c>
      <c r="H342" s="1">
        <v>81</v>
      </c>
      <c r="I342" s="1">
        <v>73.5</v>
      </c>
      <c r="J342" s="1">
        <f t="shared" si="10"/>
        <v>407</v>
      </c>
      <c r="K342" s="3">
        <f t="shared" si="11"/>
        <v>81.4</v>
      </c>
    </row>
    <row r="343" spans="1:11">
      <c r="A343" s="1">
        <v>10096</v>
      </c>
      <c r="B343" s="1" t="s">
        <v>119</v>
      </c>
      <c r="C343" s="1" t="s">
        <v>14</v>
      </c>
      <c r="D343" s="1" t="s">
        <v>37</v>
      </c>
      <c r="E343" s="1">
        <v>81.5</v>
      </c>
      <c r="F343" s="1">
        <v>74</v>
      </c>
      <c r="G343" s="1">
        <v>71</v>
      </c>
      <c r="H343" s="1">
        <v>69</v>
      </c>
      <c r="I343" s="1">
        <v>64</v>
      </c>
      <c r="J343" s="1">
        <f t="shared" si="10"/>
        <v>359.5</v>
      </c>
      <c r="K343" s="3">
        <f t="shared" si="11"/>
        <v>71.9</v>
      </c>
    </row>
    <row r="344" spans="1:11">
      <c r="A344" s="1">
        <v>10099</v>
      </c>
      <c r="B344" s="1" t="s">
        <v>122</v>
      </c>
      <c r="C344" s="1" t="s">
        <v>17</v>
      </c>
      <c r="D344" s="1" t="s">
        <v>37</v>
      </c>
      <c r="E344" s="1">
        <v>81</v>
      </c>
      <c r="F344" s="1">
        <v>85</v>
      </c>
      <c r="G344" s="1">
        <v>79.5</v>
      </c>
      <c r="H344" s="1">
        <v>77.5</v>
      </c>
      <c r="I344" s="1">
        <v>83</v>
      </c>
      <c r="J344" s="1">
        <f t="shared" si="10"/>
        <v>406</v>
      </c>
      <c r="K344" s="3">
        <f t="shared" si="11"/>
        <v>81.2</v>
      </c>
    </row>
    <row r="345" spans="1:11">
      <c r="A345" s="1">
        <v>10100</v>
      </c>
      <c r="B345" s="1" t="s">
        <v>123</v>
      </c>
      <c r="C345" s="1" t="s">
        <v>17</v>
      </c>
      <c r="D345" s="1" t="s">
        <v>37</v>
      </c>
      <c r="E345" s="1">
        <v>63</v>
      </c>
      <c r="F345" s="1">
        <v>79.5</v>
      </c>
      <c r="G345" s="1">
        <v>88.5</v>
      </c>
      <c r="H345" s="1">
        <v>86.5</v>
      </c>
      <c r="I345" s="1">
        <v>93</v>
      </c>
      <c r="J345" s="1">
        <f t="shared" si="10"/>
        <v>410.5</v>
      </c>
      <c r="K345" s="3">
        <f t="shared" si="11"/>
        <v>82.1</v>
      </c>
    </row>
    <row r="346" spans="1:11">
      <c r="A346" s="1">
        <v>10101</v>
      </c>
      <c r="B346" s="1" t="s">
        <v>124</v>
      </c>
      <c r="C346" s="1" t="s">
        <v>17</v>
      </c>
      <c r="D346" s="1" t="s">
        <v>37</v>
      </c>
      <c r="E346" s="1">
        <v>64</v>
      </c>
      <c r="F346" s="1">
        <v>82.5</v>
      </c>
      <c r="G346" s="1">
        <v>72</v>
      </c>
      <c r="H346" s="1">
        <v>70</v>
      </c>
      <c r="I346" s="1">
        <v>62.5</v>
      </c>
      <c r="J346" s="1">
        <f t="shared" si="10"/>
        <v>351</v>
      </c>
      <c r="K346" s="3">
        <f t="shared" si="11"/>
        <v>70.2</v>
      </c>
    </row>
    <row r="347" spans="1:11">
      <c r="A347" s="1">
        <v>10108</v>
      </c>
      <c r="B347" s="1" t="s">
        <v>131</v>
      </c>
      <c r="C347" s="1" t="s">
        <v>14</v>
      </c>
      <c r="D347" s="1" t="s">
        <v>37</v>
      </c>
      <c r="E347" s="1">
        <v>73</v>
      </c>
      <c r="F347" s="1">
        <v>76</v>
      </c>
      <c r="G347" s="1">
        <v>67.5</v>
      </c>
      <c r="H347" s="1">
        <v>65.5</v>
      </c>
      <c r="I347" s="1">
        <v>76.5</v>
      </c>
      <c r="J347" s="1">
        <f t="shared" si="10"/>
        <v>358.5</v>
      </c>
      <c r="K347" s="3">
        <f t="shared" si="11"/>
        <v>71.7</v>
      </c>
    </row>
    <row r="348" spans="1:11">
      <c r="A348" s="1">
        <v>10115</v>
      </c>
      <c r="B348" s="1" t="s">
        <v>138</v>
      </c>
      <c r="C348" s="1" t="s">
        <v>17</v>
      </c>
      <c r="D348" s="1" t="s">
        <v>37</v>
      </c>
      <c r="E348" s="1">
        <v>61</v>
      </c>
      <c r="F348" s="1">
        <v>58.5</v>
      </c>
      <c r="G348" s="1">
        <v>47</v>
      </c>
      <c r="H348" s="1">
        <v>75</v>
      </c>
      <c r="I348" s="1">
        <v>73</v>
      </c>
      <c r="J348" s="1">
        <f t="shared" si="10"/>
        <v>314.5</v>
      </c>
      <c r="K348" s="3">
        <f t="shared" si="11"/>
        <v>62.9</v>
      </c>
    </row>
    <row r="349" spans="1:11">
      <c r="A349" s="1">
        <v>10125</v>
      </c>
      <c r="B349" s="1" t="s">
        <v>148</v>
      </c>
      <c r="C349" s="1" t="s">
        <v>17</v>
      </c>
      <c r="D349" s="1" t="s">
        <v>37</v>
      </c>
      <c r="E349" s="1">
        <v>91.5</v>
      </c>
      <c r="F349" s="1">
        <v>90</v>
      </c>
      <c r="G349" s="1">
        <v>91.5</v>
      </c>
      <c r="H349" s="1">
        <v>89.5</v>
      </c>
      <c r="I349" s="1">
        <v>88</v>
      </c>
      <c r="J349" s="1">
        <f t="shared" si="10"/>
        <v>450.5</v>
      </c>
      <c r="K349" s="3">
        <f t="shared" si="11"/>
        <v>90.1</v>
      </c>
    </row>
    <row r="350" spans="1:11">
      <c r="A350" s="1">
        <v>10126</v>
      </c>
      <c r="B350" s="1" t="s">
        <v>149</v>
      </c>
      <c r="C350" s="1" t="s">
        <v>14</v>
      </c>
      <c r="D350" s="1" t="s">
        <v>37</v>
      </c>
      <c r="E350" s="1">
        <v>80</v>
      </c>
      <c r="F350" s="1">
        <v>82</v>
      </c>
      <c r="G350" s="1">
        <v>86.5</v>
      </c>
      <c r="H350" s="1">
        <v>84.5</v>
      </c>
      <c r="I350" s="1">
        <v>76</v>
      </c>
      <c r="J350" s="1">
        <f t="shared" si="10"/>
        <v>409</v>
      </c>
      <c r="K350" s="3">
        <f t="shared" si="11"/>
        <v>81.8</v>
      </c>
    </row>
    <row r="351" spans="1:11">
      <c r="A351" s="1">
        <v>10129</v>
      </c>
      <c r="B351" s="1" t="s">
        <v>152</v>
      </c>
      <c r="C351" s="1" t="s">
        <v>17</v>
      </c>
      <c r="D351" s="1" t="s">
        <v>37</v>
      </c>
      <c r="E351" s="1">
        <v>78</v>
      </c>
      <c r="F351" s="1">
        <v>80</v>
      </c>
      <c r="G351" s="1">
        <v>68</v>
      </c>
      <c r="H351" s="1">
        <v>66</v>
      </c>
      <c r="I351" s="1">
        <v>70.5</v>
      </c>
      <c r="J351" s="1">
        <f t="shared" si="10"/>
        <v>362.5</v>
      </c>
      <c r="K351" s="3">
        <f t="shared" si="11"/>
        <v>72.5</v>
      </c>
    </row>
    <row r="352" spans="1:11">
      <c r="A352" s="1">
        <v>10134</v>
      </c>
      <c r="B352" s="1" t="s">
        <v>157</v>
      </c>
      <c r="C352" s="1" t="s">
        <v>14</v>
      </c>
      <c r="D352" s="1" t="s">
        <v>37</v>
      </c>
      <c r="E352" s="1">
        <v>61</v>
      </c>
      <c r="F352" s="1">
        <v>68</v>
      </c>
      <c r="G352" s="1">
        <v>79</v>
      </c>
      <c r="H352" s="1">
        <v>77</v>
      </c>
      <c r="I352" s="1">
        <v>94</v>
      </c>
      <c r="J352" s="1">
        <f t="shared" si="10"/>
        <v>379</v>
      </c>
      <c r="K352" s="3">
        <f t="shared" si="11"/>
        <v>75.8</v>
      </c>
    </row>
    <row r="353" spans="1:11">
      <c r="A353" s="1">
        <v>10138</v>
      </c>
      <c r="B353" s="1" t="s">
        <v>161</v>
      </c>
      <c r="C353" s="1" t="s">
        <v>17</v>
      </c>
      <c r="D353" s="1" t="s">
        <v>37</v>
      </c>
      <c r="E353" s="1">
        <v>90</v>
      </c>
      <c r="F353" s="1">
        <v>94.5</v>
      </c>
      <c r="G353" s="1">
        <v>66</v>
      </c>
      <c r="H353" s="1">
        <v>64</v>
      </c>
      <c r="I353" s="1">
        <v>71</v>
      </c>
      <c r="J353" s="1">
        <f t="shared" si="10"/>
        <v>385.5</v>
      </c>
      <c r="K353" s="3">
        <f t="shared" si="11"/>
        <v>77.1</v>
      </c>
    </row>
    <row r="354" spans="1:11">
      <c r="A354" s="1">
        <v>10139</v>
      </c>
      <c r="B354" s="1" t="s">
        <v>162</v>
      </c>
      <c r="C354" s="1" t="s">
        <v>14</v>
      </c>
      <c r="D354" s="1" t="s">
        <v>37</v>
      </c>
      <c r="E354" s="1">
        <v>81</v>
      </c>
      <c r="F354" s="1">
        <v>95.5</v>
      </c>
      <c r="G354" s="1">
        <v>81.5</v>
      </c>
      <c r="H354" s="1">
        <v>79.5</v>
      </c>
      <c r="I354" s="1">
        <v>75.5</v>
      </c>
      <c r="J354" s="1">
        <f t="shared" si="10"/>
        <v>413</v>
      </c>
      <c r="K354" s="3">
        <f t="shared" si="11"/>
        <v>82.6</v>
      </c>
    </row>
    <row r="355" spans="1:11">
      <c r="A355" s="1">
        <v>10153</v>
      </c>
      <c r="B355" s="1" t="s">
        <v>176</v>
      </c>
      <c r="C355" s="1" t="s">
        <v>17</v>
      </c>
      <c r="D355" s="1" t="s">
        <v>37</v>
      </c>
      <c r="E355" s="1">
        <v>81</v>
      </c>
      <c r="F355" s="1">
        <v>71.5</v>
      </c>
      <c r="G355" s="1">
        <v>75.5</v>
      </c>
      <c r="H355" s="1">
        <v>73.5</v>
      </c>
      <c r="I355" s="1">
        <v>79.5</v>
      </c>
      <c r="J355" s="1">
        <f t="shared" si="10"/>
        <v>381</v>
      </c>
      <c r="K355" s="3">
        <f t="shared" si="11"/>
        <v>76.2</v>
      </c>
    </row>
    <row r="356" spans="1:11">
      <c r="A356" s="1">
        <v>10171</v>
      </c>
      <c r="B356" s="1" t="s">
        <v>194</v>
      </c>
      <c r="C356" s="1" t="s">
        <v>14</v>
      </c>
      <c r="D356" s="1" t="s">
        <v>37</v>
      </c>
      <c r="E356" s="1">
        <v>62.5</v>
      </c>
      <c r="F356" s="1">
        <v>82.5</v>
      </c>
      <c r="G356" s="1">
        <v>83.5</v>
      </c>
      <c r="H356" s="1">
        <v>81.5</v>
      </c>
      <c r="I356" s="1">
        <v>87</v>
      </c>
      <c r="J356" s="1">
        <f t="shared" si="10"/>
        <v>397</v>
      </c>
      <c r="K356" s="3">
        <f t="shared" si="11"/>
        <v>79.4</v>
      </c>
    </row>
    <row r="357" spans="1:11">
      <c r="A357" s="1">
        <v>10177</v>
      </c>
      <c r="B357" s="1" t="s">
        <v>200</v>
      </c>
      <c r="C357" s="1" t="s">
        <v>14</v>
      </c>
      <c r="D357" s="1" t="s">
        <v>37</v>
      </c>
      <c r="E357" s="1">
        <v>77.5</v>
      </c>
      <c r="F357" s="1">
        <v>80.5</v>
      </c>
      <c r="G357" s="1">
        <v>94</v>
      </c>
      <c r="H357" s="1">
        <v>92</v>
      </c>
      <c r="I357" s="1">
        <v>83.5</v>
      </c>
      <c r="J357" s="1">
        <f t="shared" si="10"/>
        <v>427.5</v>
      </c>
      <c r="K357" s="3">
        <f t="shared" si="11"/>
        <v>85.5</v>
      </c>
    </row>
    <row r="358" spans="1:11">
      <c r="A358" s="1">
        <v>10180</v>
      </c>
      <c r="B358" s="1" t="s">
        <v>203</v>
      </c>
      <c r="C358" s="1" t="s">
        <v>17</v>
      </c>
      <c r="D358" s="1" t="s">
        <v>37</v>
      </c>
      <c r="E358" s="1">
        <v>79</v>
      </c>
      <c r="F358" s="1">
        <v>83.5</v>
      </c>
      <c r="G358" s="1">
        <v>63</v>
      </c>
      <c r="H358" s="1">
        <v>61</v>
      </c>
      <c r="I358" s="1">
        <v>77</v>
      </c>
      <c r="J358" s="1">
        <f t="shared" si="10"/>
        <v>363.5</v>
      </c>
      <c r="K358" s="3">
        <f t="shared" si="11"/>
        <v>72.7</v>
      </c>
    </row>
    <row r="359" spans="1:11">
      <c r="A359" s="1">
        <v>10186</v>
      </c>
      <c r="B359" s="1" t="s">
        <v>209</v>
      </c>
      <c r="C359" s="1" t="s">
        <v>17</v>
      </c>
      <c r="D359" s="1" t="s">
        <v>37</v>
      </c>
      <c r="E359" s="1">
        <v>75.5</v>
      </c>
      <c r="F359" s="1">
        <v>64.5</v>
      </c>
      <c r="G359" s="1">
        <v>74.5</v>
      </c>
      <c r="H359" s="1">
        <v>72.5</v>
      </c>
      <c r="I359" s="1">
        <v>82</v>
      </c>
      <c r="J359" s="1">
        <f t="shared" si="10"/>
        <v>369</v>
      </c>
      <c r="K359" s="3">
        <f t="shared" si="11"/>
        <v>73.8</v>
      </c>
    </row>
    <row r="360" spans="1:11">
      <c r="A360" s="1">
        <v>10187</v>
      </c>
      <c r="B360" s="1" t="s">
        <v>210</v>
      </c>
      <c r="C360" s="1" t="s">
        <v>14</v>
      </c>
      <c r="D360" s="1" t="s">
        <v>37</v>
      </c>
      <c r="E360" s="1">
        <v>74.5</v>
      </c>
      <c r="F360" s="1">
        <v>68</v>
      </c>
      <c r="G360" s="1">
        <v>83</v>
      </c>
      <c r="H360" s="1">
        <v>81</v>
      </c>
      <c r="I360" s="1">
        <v>65</v>
      </c>
      <c r="J360" s="1">
        <f t="shared" si="10"/>
        <v>371.5</v>
      </c>
      <c r="K360" s="3">
        <f t="shared" si="11"/>
        <v>74.3</v>
      </c>
    </row>
    <row r="361" spans="1:11">
      <c r="A361" s="1">
        <v>10190</v>
      </c>
      <c r="B361" s="1" t="s">
        <v>213</v>
      </c>
      <c r="C361" s="1" t="s">
        <v>14</v>
      </c>
      <c r="D361" s="1" t="s">
        <v>37</v>
      </c>
      <c r="E361" s="1">
        <v>69.5</v>
      </c>
      <c r="F361" s="1">
        <v>62.5</v>
      </c>
      <c r="G361" s="1">
        <v>74.5</v>
      </c>
      <c r="H361" s="1">
        <v>65</v>
      </c>
      <c r="I361" s="1">
        <v>68.5</v>
      </c>
      <c r="J361" s="1">
        <f t="shared" si="10"/>
        <v>340</v>
      </c>
      <c r="K361" s="3">
        <f t="shared" si="11"/>
        <v>68</v>
      </c>
    </row>
    <row r="362" spans="1:11">
      <c r="A362" s="1">
        <v>10193</v>
      </c>
      <c r="B362" s="1" t="s">
        <v>216</v>
      </c>
      <c r="C362" s="1" t="s">
        <v>17</v>
      </c>
      <c r="D362" s="1" t="s">
        <v>37</v>
      </c>
      <c r="E362" s="1">
        <v>84</v>
      </c>
      <c r="F362" s="1">
        <v>67</v>
      </c>
      <c r="G362" s="1">
        <v>79</v>
      </c>
      <c r="H362" s="1">
        <v>87</v>
      </c>
      <c r="I362" s="1">
        <v>83.5</v>
      </c>
      <c r="J362" s="1">
        <f t="shared" si="10"/>
        <v>400.5</v>
      </c>
      <c r="K362" s="3">
        <f t="shared" si="11"/>
        <v>80.1</v>
      </c>
    </row>
    <row r="363" spans="1:11">
      <c r="A363" s="1">
        <v>10201</v>
      </c>
      <c r="B363" s="1" t="s">
        <v>224</v>
      </c>
      <c r="C363" s="1" t="s">
        <v>17</v>
      </c>
      <c r="D363" s="1" t="s">
        <v>37</v>
      </c>
      <c r="E363" s="1">
        <v>91</v>
      </c>
      <c r="F363" s="1">
        <v>85.5</v>
      </c>
      <c r="G363" s="1">
        <v>97</v>
      </c>
      <c r="H363" s="1">
        <v>86</v>
      </c>
      <c r="I363" s="1">
        <v>64</v>
      </c>
      <c r="J363" s="1">
        <f t="shared" si="10"/>
        <v>423.5</v>
      </c>
      <c r="K363" s="3">
        <f t="shared" si="11"/>
        <v>84.7</v>
      </c>
    </row>
    <row r="364" spans="1:11">
      <c r="A364" s="1">
        <v>10210</v>
      </c>
      <c r="B364" s="1" t="s">
        <v>233</v>
      </c>
      <c r="C364" s="1" t="s">
        <v>17</v>
      </c>
      <c r="D364" s="1" t="s">
        <v>37</v>
      </c>
      <c r="E364" s="1">
        <v>74.5</v>
      </c>
      <c r="F364" s="1">
        <v>87</v>
      </c>
      <c r="G364" s="1">
        <v>92.5</v>
      </c>
      <c r="H364" s="1">
        <v>90.5</v>
      </c>
      <c r="I364" s="1">
        <v>74</v>
      </c>
      <c r="J364" s="1">
        <f t="shared" si="10"/>
        <v>418.5</v>
      </c>
      <c r="K364" s="3">
        <f t="shared" si="11"/>
        <v>83.7</v>
      </c>
    </row>
    <row r="365" spans="1:11">
      <c r="A365" s="1">
        <v>10212</v>
      </c>
      <c r="B365" s="1" t="s">
        <v>235</v>
      </c>
      <c r="C365" s="1" t="s">
        <v>17</v>
      </c>
      <c r="D365" s="1" t="s">
        <v>37</v>
      </c>
      <c r="E365" s="1">
        <v>79</v>
      </c>
      <c r="F365" s="1">
        <v>80</v>
      </c>
      <c r="G365" s="1">
        <v>75.5</v>
      </c>
      <c r="H365" s="1">
        <v>90</v>
      </c>
      <c r="I365" s="1">
        <v>84</v>
      </c>
      <c r="J365" s="1">
        <f t="shared" si="10"/>
        <v>408.5</v>
      </c>
      <c r="K365" s="3">
        <f t="shared" si="11"/>
        <v>81.7</v>
      </c>
    </row>
    <row r="366" spans="1:11">
      <c r="A366" s="1">
        <v>10218</v>
      </c>
      <c r="B366" s="1" t="s">
        <v>241</v>
      </c>
      <c r="C366" s="1" t="s">
        <v>14</v>
      </c>
      <c r="D366" s="1" t="s">
        <v>37</v>
      </c>
      <c r="E366" s="1">
        <v>68.5</v>
      </c>
      <c r="F366" s="1">
        <v>92</v>
      </c>
      <c r="G366" s="1">
        <v>72</v>
      </c>
      <c r="H366" s="1">
        <v>70</v>
      </c>
      <c r="I366" s="1">
        <v>81.5</v>
      </c>
      <c r="J366" s="1">
        <f t="shared" si="10"/>
        <v>384</v>
      </c>
      <c r="K366" s="3">
        <f t="shared" si="11"/>
        <v>76.8</v>
      </c>
    </row>
    <row r="367" spans="1:11">
      <c r="A367" s="1">
        <v>10220</v>
      </c>
      <c r="B367" s="1" t="s">
        <v>243</v>
      </c>
      <c r="C367" s="1" t="s">
        <v>17</v>
      </c>
      <c r="D367" s="1" t="s">
        <v>37</v>
      </c>
      <c r="E367" s="1">
        <v>79</v>
      </c>
      <c r="F367" s="1">
        <v>68.5</v>
      </c>
      <c r="G367" s="1">
        <v>80</v>
      </c>
      <c r="H367" s="1">
        <v>78</v>
      </c>
      <c r="I367" s="1">
        <v>64</v>
      </c>
      <c r="J367" s="1">
        <f t="shared" si="10"/>
        <v>369.5</v>
      </c>
      <c r="K367" s="3">
        <f t="shared" si="11"/>
        <v>73.9</v>
      </c>
    </row>
    <row r="368" spans="1:11">
      <c r="A368" s="1">
        <v>10223</v>
      </c>
      <c r="B368" s="1" t="s">
        <v>246</v>
      </c>
      <c r="C368" s="1" t="s">
        <v>14</v>
      </c>
      <c r="D368" s="1" t="s">
        <v>37</v>
      </c>
      <c r="E368" s="1">
        <v>67.5</v>
      </c>
      <c r="F368" s="1">
        <v>57.5</v>
      </c>
      <c r="G368" s="1">
        <v>64.5</v>
      </c>
      <c r="H368" s="1">
        <v>62.5</v>
      </c>
      <c r="I368" s="1">
        <v>90.5</v>
      </c>
      <c r="J368" s="1">
        <f t="shared" si="10"/>
        <v>342.5</v>
      </c>
      <c r="K368" s="3">
        <f t="shared" si="11"/>
        <v>68.5</v>
      </c>
    </row>
    <row r="369" spans="1:11">
      <c r="A369" s="1">
        <v>10236</v>
      </c>
      <c r="B369" s="1" t="s">
        <v>259</v>
      </c>
      <c r="C369" s="1" t="s">
        <v>14</v>
      </c>
      <c r="D369" s="1" t="s">
        <v>37</v>
      </c>
      <c r="E369" s="1">
        <v>76.5</v>
      </c>
      <c r="F369" s="1">
        <v>61</v>
      </c>
      <c r="G369" s="1">
        <v>88</v>
      </c>
      <c r="H369" s="1">
        <v>86</v>
      </c>
      <c r="I369" s="1">
        <v>90</v>
      </c>
      <c r="J369" s="1">
        <f t="shared" si="10"/>
        <v>401.5</v>
      </c>
      <c r="K369" s="3">
        <f t="shared" si="11"/>
        <v>80.3</v>
      </c>
    </row>
    <row r="370" spans="1:11">
      <c r="A370" s="1">
        <v>10238</v>
      </c>
      <c r="B370" s="1" t="s">
        <v>261</v>
      </c>
      <c r="C370" s="1" t="s">
        <v>14</v>
      </c>
      <c r="D370" s="1" t="s">
        <v>37</v>
      </c>
      <c r="E370" s="1">
        <v>74</v>
      </c>
      <c r="F370" s="1">
        <v>82</v>
      </c>
      <c r="G370" s="1">
        <v>70</v>
      </c>
      <c r="H370" s="1">
        <v>68</v>
      </c>
      <c r="I370" s="1">
        <v>71</v>
      </c>
      <c r="J370" s="1">
        <f t="shared" si="10"/>
        <v>365</v>
      </c>
      <c r="K370" s="3">
        <f t="shared" si="11"/>
        <v>73</v>
      </c>
    </row>
    <row r="371" spans="1:11">
      <c r="A371" s="1">
        <v>10250</v>
      </c>
      <c r="B371" s="1" t="s">
        <v>273</v>
      </c>
      <c r="C371" s="1" t="s">
        <v>17</v>
      </c>
      <c r="D371" s="1" t="s">
        <v>37</v>
      </c>
      <c r="E371" s="1">
        <v>81.5</v>
      </c>
      <c r="F371" s="1">
        <v>72</v>
      </c>
      <c r="G371" s="1">
        <v>79</v>
      </c>
      <c r="H371" s="1">
        <v>89</v>
      </c>
      <c r="I371" s="1">
        <v>87</v>
      </c>
      <c r="J371" s="1">
        <f t="shared" si="10"/>
        <v>408.5</v>
      </c>
      <c r="K371" s="3">
        <f t="shared" si="11"/>
        <v>81.7</v>
      </c>
    </row>
    <row r="372" spans="1:11">
      <c r="A372" s="1">
        <v>10255</v>
      </c>
      <c r="B372" s="1" t="s">
        <v>277</v>
      </c>
      <c r="C372" s="1" t="s">
        <v>14</v>
      </c>
      <c r="D372" s="1" t="s">
        <v>37</v>
      </c>
      <c r="E372" s="1">
        <v>93</v>
      </c>
      <c r="F372" s="1">
        <v>58</v>
      </c>
      <c r="G372" s="1">
        <v>92</v>
      </c>
      <c r="H372" s="1">
        <v>90</v>
      </c>
      <c r="I372" s="1">
        <v>92.5</v>
      </c>
      <c r="J372" s="1">
        <f t="shared" si="10"/>
        <v>425.5</v>
      </c>
      <c r="K372" s="3">
        <f t="shared" si="11"/>
        <v>85.1</v>
      </c>
    </row>
    <row r="373" spans="1:11">
      <c r="A373" s="1">
        <v>10257</v>
      </c>
      <c r="B373" s="1" t="s">
        <v>279</v>
      </c>
      <c r="C373" s="1" t="s">
        <v>17</v>
      </c>
      <c r="D373" s="1" t="s">
        <v>37</v>
      </c>
      <c r="E373" s="1">
        <v>65</v>
      </c>
      <c r="F373" s="1">
        <v>83</v>
      </c>
      <c r="G373" s="1">
        <v>57</v>
      </c>
      <c r="H373" s="1">
        <v>55</v>
      </c>
      <c r="I373" s="1">
        <v>72.5</v>
      </c>
      <c r="J373" s="1">
        <f t="shared" si="10"/>
        <v>332.5</v>
      </c>
      <c r="K373" s="3">
        <f t="shared" si="11"/>
        <v>66.5</v>
      </c>
    </row>
    <row r="374" spans="1:11">
      <c r="A374" s="1">
        <v>10260</v>
      </c>
      <c r="B374" s="1" t="s">
        <v>282</v>
      </c>
      <c r="C374" s="1" t="s">
        <v>17</v>
      </c>
      <c r="D374" s="1" t="s">
        <v>37</v>
      </c>
      <c r="E374" s="1">
        <v>69</v>
      </c>
      <c r="F374" s="1">
        <v>85</v>
      </c>
      <c r="G374" s="1">
        <v>80</v>
      </c>
      <c r="H374" s="1">
        <v>78</v>
      </c>
      <c r="I374" s="1">
        <v>90.5</v>
      </c>
      <c r="J374" s="1">
        <f t="shared" si="10"/>
        <v>402.5</v>
      </c>
      <c r="K374" s="3">
        <f t="shared" si="11"/>
        <v>80.5</v>
      </c>
    </row>
    <row r="375" spans="1:11">
      <c r="A375" s="1">
        <v>10267</v>
      </c>
      <c r="B375" s="1" t="s">
        <v>288</v>
      </c>
      <c r="C375" s="1" t="s">
        <v>14</v>
      </c>
      <c r="D375" s="1" t="s">
        <v>37</v>
      </c>
      <c r="E375" s="1">
        <v>72</v>
      </c>
      <c r="F375" s="1">
        <v>53.5</v>
      </c>
      <c r="G375" s="1">
        <v>75.5</v>
      </c>
      <c r="H375" s="1">
        <v>73.5</v>
      </c>
      <c r="I375" s="1">
        <v>59</v>
      </c>
      <c r="J375" s="1">
        <f t="shared" si="10"/>
        <v>333.5</v>
      </c>
      <c r="K375" s="3">
        <f t="shared" si="11"/>
        <v>66.7</v>
      </c>
    </row>
    <row r="376" spans="1:11">
      <c r="A376" s="1">
        <v>10289</v>
      </c>
      <c r="B376" s="1" t="s">
        <v>310</v>
      </c>
      <c r="C376" s="1" t="s">
        <v>14</v>
      </c>
      <c r="D376" s="1" t="s">
        <v>37</v>
      </c>
      <c r="E376" s="1">
        <v>82</v>
      </c>
      <c r="F376" s="1">
        <v>65</v>
      </c>
      <c r="G376" s="1">
        <v>87.5</v>
      </c>
      <c r="H376" s="1">
        <v>85.5</v>
      </c>
      <c r="I376" s="1">
        <v>91</v>
      </c>
      <c r="J376" s="1">
        <f t="shared" si="10"/>
        <v>411</v>
      </c>
      <c r="K376" s="3">
        <f t="shared" si="11"/>
        <v>82.2</v>
      </c>
    </row>
    <row r="377" spans="1:11">
      <c r="A377" s="1">
        <v>10292</v>
      </c>
      <c r="B377" s="1" t="s">
        <v>313</v>
      </c>
      <c r="C377" s="1" t="s">
        <v>17</v>
      </c>
      <c r="D377" s="1" t="s">
        <v>37</v>
      </c>
      <c r="E377" s="1">
        <v>80.5</v>
      </c>
      <c r="F377" s="1">
        <v>65</v>
      </c>
      <c r="G377" s="1">
        <v>73.5</v>
      </c>
      <c r="H377" s="1">
        <v>71.5</v>
      </c>
      <c r="I377" s="1">
        <v>81</v>
      </c>
      <c r="J377" s="1">
        <f t="shared" si="10"/>
        <v>371.5</v>
      </c>
      <c r="K377" s="3">
        <f t="shared" si="11"/>
        <v>74.3</v>
      </c>
    </row>
    <row r="378" spans="1:11">
      <c r="A378" s="1">
        <v>10307</v>
      </c>
      <c r="B378" s="1" t="s">
        <v>328</v>
      </c>
      <c r="C378" s="1" t="s">
        <v>17</v>
      </c>
      <c r="D378" s="1" t="s">
        <v>37</v>
      </c>
      <c r="E378" s="1">
        <v>85</v>
      </c>
      <c r="F378" s="1">
        <v>73</v>
      </c>
      <c r="G378" s="1">
        <v>93</v>
      </c>
      <c r="H378" s="1">
        <v>96.5</v>
      </c>
      <c r="I378" s="1">
        <v>82</v>
      </c>
      <c r="J378" s="1">
        <f t="shared" si="10"/>
        <v>429.5</v>
      </c>
      <c r="K378" s="3">
        <f t="shared" si="11"/>
        <v>85.9</v>
      </c>
    </row>
    <row r="379" spans="1:11">
      <c r="A379" s="1">
        <v>10316</v>
      </c>
      <c r="B379" s="1" t="s">
        <v>337</v>
      </c>
      <c r="C379" s="1" t="s">
        <v>17</v>
      </c>
      <c r="D379" s="1" t="s">
        <v>37</v>
      </c>
      <c r="E379" s="1">
        <v>66</v>
      </c>
      <c r="F379" s="1">
        <v>73</v>
      </c>
      <c r="G379" s="1">
        <v>77</v>
      </c>
      <c r="H379" s="1">
        <v>63</v>
      </c>
      <c r="I379" s="1">
        <v>65</v>
      </c>
      <c r="J379" s="1">
        <f t="shared" si="10"/>
        <v>344</v>
      </c>
      <c r="K379" s="3">
        <f t="shared" si="11"/>
        <v>68.8</v>
      </c>
    </row>
    <row r="380" spans="1:11">
      <c r="A380" s="1">
        <v>10323</v>
      </c>
      <c r="B380" s="1" t="s">
        <v>344</v>
      </c>
      <c r="C380" s="1" t="s">
        <v>14</v>
      </c>
      <c r="D380" s="1" t="s">
        <v>37</v>
      </c>
      <c r="E380" s="1">
        <v>75.5</v>
      </c>
      <c r="F380" s="1">
        <v>62.5</v>
      </c>
      <c r="G380" s="1">
        <v>74.5</v>
      </c>
      <c r="H380" s="1">
        <v>63</v>
      </c>
      <c r="I380" s="1">
        <v>67</v>
      </c>
      <c r="J380" s="1">
        <f t="shared" si="10"/>
        <v>342.5</v>
      </c>
      <c r="K380" s="3">
        <f t="shared" si="11"/>
        <v>68.5</v>
      </c>
    </row>
    <row r="381" spans="1:11">
      <c r="A381" s="1">
        <v>10339</v>
      </c>
      <c r="B381" s="1" t="s">
        <v>360</v>
      </c>
      <c r="C381" s="1" t="s">
        <v>14</v>
      </c>
      <c r="D381" s="1" t="s">
        <v>37</v>
      </c>
      <c r="E381" s="1">
        <v>61.5</v>
      </c>
      <c r="F381" s="1">
        <v>95.5</v>
      </c>
      <c r="G381" s="1">
        <v>65.5</v>
      </c>
      <c r="H381" s="1">
        <v>63.5</v>
      </c>
      <c r="I381" s="1">
        <v>89.5</v>
      </c>
      <c r="J381" s="1">
        <f t="shared" si="10"/>
        <v>375.5</v>
      </c>
      <c r="K381" s="3">
        <f t="shared" si="11"/>
        <v>75.1</v>
      </c>
    </row>
    <row r="382" spans="1:11">
      <c r="A382" s="1">
        <v>10341</v>
      </c>
      <c r="B382" s="1" t="s">
        <v>362</v>
      </c>
      <c r="C382" s="1" t="s">
        <v>17</v>
      </c>
      <c r="D382" s="1" t="s">
        <v>37</v>
      </c>
      <c r="E382" s="1">
        <v>69</v>
      </c>
      <c r="F382" s="1">
        <v>61</v>
      </c>
      <c r="G382" s="1">
        <v>58.5</v>
      </c>
      <c r="H382" s="1">
        <v>56.5</v>
      </c>
      <c r="I382" s="1">
        <v>75.5</v>
      </c>
      <c r="J382" s="1">
        <f t="shared" si="10"/>
        <v>320.5</v>
      </c>
      <c r="K382" s="3">
        <f t="shared" si="11"/>
        <v>64.1</v>
      </c>
    </row>
    <row r="383" spans="1:11">
      <c r="A383" s="1">
        <v>10345</v>
      </c>
      <c r="B383" s="1" t="s">
        <v>366</v>
      </c>
      <c r="C383" s="1" t="s">
        <v>14</v>
      </c>
      <c r="D383" s="1" t="s">
        <v>37</v>
      </c>
      <c r="E383" s="1">
        <v>55.5</v>
      </c>
      <c r="F383" s="1">
        <v>59.5</v>
      </c>
      <c r="G383" s="1">
        <v>71.5</v>
      </c>
      <c r="H383" s="1">
        <v>69.5</v>
      </c>
      <c r="I383" s="1">
        <v>69.5</v>
      </c>
      <c r="J383" s="1">
        <f t="shared" si="10"/>
        <v>325.5</v>
      </c>
      <c r="K383" s="3">
        <f t="shared" si="11"/>
        <v>65.1</v>
      </c>
    </row>
    <row r="384" spans="1:11">
      <c r="A384" s="1">
        <v>10353</v>
      </c>
      <c r="B384" s="1" t="s">
        <v>374</v>
      </c>
      <c r="C384" s="1" t="s">
        <v>17</v>
      </c>
      <c r="D384" s="1" t="s">
        <v>37</v>
      </c>
      <c r="E384" s="1">
        <v>57</v>
      </c>
      <c r="F384" s="1">
        <v>66.5</v>
      </c>
      <c r="G384" s="1">
        <v>79.5</v>
      </c>
      <c r="H384" s="1">
        <v>68</v>
      </c>
      <c r="I384" s="1">
        <v>65</v>
      </c>
      <c r="J384" s="1">
        <f t="shared" si="10"/>
        <v>336</v>
      </c>
      <c r="K384" s="3">
        <f t="shared" si="11"/>
        <v>67.2</v>
      </c>
    </row>
    <row r="385" spans="1:11">
      <c r="A385" s="1">
        <v>10354</v>
      </c>
      <c r="B385" s="1" t="s">
        <v>375</v>
      </c>
      <c r="C385" s="1" t="s">
        <v>17</v>
      </c>
      <c r="D385" s="1" t="s">
        <v>37</v>
      </c>
      <c r="E385" s="1">
        <v>72</v>
      </c>
      <c r="F385" s="1">
        <v>82</v>
      </c>
      <c r="G385" s="1">
        <v>66</v>
      </c>
      <c r="H385" s="1">
        <v>64</v>
      </c>
      <c r="I385" s="1">
        <v>73.5</v>
      </c>
      <c r="J385" s="1">
        <f t="shared" si="10"/>
        <v>357.5</v>
      </c>
      <c r="K385" s="3">
        <f t="shared" si="11"/>
        <v>71.5</v>
      </c>
    </row>
    <row r="386" spans="1:11">
      <c r="A386" s="1">
        <v>10364</v>
      </c>
      <c r="B386" s="1" t="s">
        <v>385</v>
      </c>
      <c r="C386" s="1" t="s">
        <v>14</v>
      </c>
      <c r="D386" s="1" t="s">
        <v>37</v>
      </c>
      <c r="E386" s="1">
        <v>79</v>
      </c>
      <c r="F386" s="1">
        <v>68.5</v>
      </c>
      <c r="G386" s="1">
        <v>77</v>
      </c>
      <c r="H386" s="1">
        <v>75</v>
      </c>
      <c r="I386" s="1">
        <v>80</v>
      </c>
      <c r="J386" s="1">
        <f t="shared" ref="J386:J449" si="12">SUM(E386:I386)</f>
        <v>379.5</v>
      </c>
      <c r="K386" s="3">
        <f t="shared" ref="K386:K449" si="13">AVERAGE(E386:I386)</f>
        <v>75.9</v>
      </c>
    </row>
    <row r="387" spans="1:11">
      <c r="A387" s="1">
        <v>10372</v>
      </c>
      <c r="B387" s="1" t="s">
        <v>393</v>
      </c>
      <c r="C387" s="1" t="s">
        <v>17</v>
      </c>
      <c r="D387" s="1" t="s">
        <v>37</v>
      </c>
      <c r="E387" s="1">
        <v>71.5</v>
      </c>
      <c r="F387" s="1">
        <v>63</v>
      </c>
      <c r="G387" s="1">
        <v>67</v>
      </c>
      <c r="H387" s="1">
        <v>65</v>
      </c>
      <c r="I387" s="1">
        <v>71.5</v>
      </c>
      <c r="J387" s="1">
        <f t="shared" si="12"/>
        <v>338</v>
      </c>
      <c r="K387" s="3">
        <f t="shared" si="13"/>
        <v>67.6</v>
      </c>
    </row>
    <row r="388" spans="1:11">
      <c r="A388" s="1">
        <v>10373</v>
      </c>
      <c r="B388" s="1" t="s">
        <v>394</v>
      </c>
      <c r="C388" s="1" t="s">
        <v>17</v>
      </c>
      <c r="D388" s="1" t="s">
        <v>37</v>
      </c>
      <c r="E388" s="1">
        <v>84.5</v>
      </c>
      <c r="F388" s="1">
        <v>74.5</v>
      </c>
      <c r="G388" s="1">
        <v>73</v>
      </c>
      <c r="H388" s="1">
        <v>71</v>
      </c>
      <c r="I388" s="1">
        <v>75.5</v>
      </c>
      <c r="J388" s="1">
        <f t="shared" si="12"/>
        <v>378.5</v>
      </c>
      <c r="K388" s="3">
        <f t="shared" si="13"/>
        <v>75.7</v>
      </c>
    </row>
    <row r="389" spans="1:11">
      <c r="A389" s="1">
        <v>10375</v>
      </c>
      <c r="B389" s="1" t="s">
        <v>396</v>
      </c>
      <c r="C389" s="1" t="s">
        <v>14</v>
      </c>
      <c r="D389" s="1" t="s">
        <v>37</v>
      </c>
      <c r="E389" s="1">
        <v>74</v>
      </c>
      <c r="F389" s="1">
        <v>85.5</v>
      </c>
      <c r="G389" s="1">
        <v>74</v>
      </c>
      <c r="H389" s="1">
        <v>92</v>
      </c>
      <c r="I389" s="1">
        <v>85</v>
      </c>
      <c r="J389" s="1">
        <f t="shared" si="12"/>
        <v>410.5</v>
      </c>
      <c r="K389" s="3">
        <f t="shared" si="13"/>
        <v>82.1</v>
      </c>
    </row>
    <row r="390" spans="1:11">
      <c r="A390" s="1">
        <v>10383</v>
      </c>
      <c r="B390" s="1" t="s">
        <v>404</v>
      </c>
      <c r="C390" s="1" t="s">
        <v>14</v>
      </c>
      <c r="D390" s="1" t="s">
        <v>37</v>
      </c>
      <c r="E390" s="1">
        <v>75.5</v>
      </c>
      <c r="F390" s="1">
        <v>75</v>
      </c>
      <c r="G390" s="1">
        <v>86.5</v>
      </c>
      <c r="H390" s="1">
        <v>84.5</v>
      </c>
      <c r="I390" s="1">
        <v>84.5</v>
      </c>
      <c r="J390" s="1">
        <f t="shared" si="12"/>
        <v>406</v>
      </c>
      <c r="K390" s="3">
        <f t="shared" si="13"/>
        <v>81.2</v>
      </c>
    </row>
    <row r="391" spans="1:11">
      <c r="A391" s="1">
        <v>10408</v>
      </c>
      <c r="B391" s="1" t="s">
        <v>429</v>
      </c>
      <c r="C391" s="1" t="s">
        <v>14</v>
      </c>
      <c r="D391" s="1" t="s">
        <v>37</v>
      </c>
      <c r="E391" s="1">
        <v>81</v>
      </c>
      <c r="F391" s="1">
        <v>67.5</v>
      </c>
      <c r="G391" s="1">
        <v>83.5</v>
      </c>
      <c r="H391" s="1">
        <v>81.5</v>
      </c>
      <c r="I391" s="1">
        <v>73.5</v>
      </c>
      <c r="J391" s="1">
        <f t="shared" si="12"/>
        <v>387</v>
      </c>
      <c r="K391" s="3">
        <f t="shared" si="13"/>
        <v>77.4</v>
      </c>
    </row>
    <row r="392" spans="1:11">
      <c r="A392" s="1">
        <v>10410</v>
      </c>
      <c r="B392" s="1" t="s">
        <v>431</v>
      </c>
      <c r="C392" s="1" t="s">
        <v>17</v>
      </c>
      <c r="D392" s="1" t="s">
        <v>37</v>
      </c>
      <c r="E392" s="1">
        <v>77</v>
      </c>
      <c r="F392" s="1">
        <v>70.5</v>
      </c>
      <c r="G392" s="1">
        <v>75.5</v>
      </c>
      <c r="H392" s="1">
        <v>73.5</v>
      </c>
      <c r="I392" s="1">
        <v>74.5</v>
      </c>
      <c r="J392" s="1">
        <f t="shared" si="12"/>
        <v>371</v>
      </c>
      <c r="K392" s="3">
        <f t="shared" si="13"/>
        <v>74.2</v>
      </c>
    </row>
    <row r="393" spans="1:11">
      <c r="A393" s="1">
        <v>10415</v>
      </c>
      <c r="B393" s="1" t="s">
        <v>436</v>
      </c>
      <c r="C393" s="1" t="s">
        <v>14</v>
      </c>
      <c r="D393" s="1" t="s">
        <v>37</v>
      </c>
      <c r="E393" s="1">
        <v>73.5</v>
      </c>
      <c r="F393" s="1">
        <v>67.5</v>
      </c>
      <c r="G393" s="1">
        <v>88</v>
      </c>
      <c r="H393" s="1">
        <v>86</v>
      </c>
      <c r="I393" s="1">
        <v>62.5</v>
      </c>
      <c r="J393" s="1">
        <f t="shared" si="12"/>
        <v>377.5</v>
      </c>
      <c r="K393" s="3">
        <f t="shared" si="13"/>
        <v>75.5</v>
      </c>
    </row>
    <row r="394" spans="1:11">
      <c r="A394" s="1">
        <v>10427</v>
      </c>
      <c r="B394" s="1" t="s">
        <v>448</v>
      </c>
      <c r="C394" s="1" t="s">
        <v>14</v>
      </c>
      <c r="D394" s="1" t="s">
        <v>37</v>
      </c>
      <c r="E394" s="1">
        <v>74</v>
      </c>
      <c r="F394" s="1">
        <v>59</v>
      </c>
      <c r="G394" s="1">
        <v>65</v>
      </c>
      <c r="H394" s="1">
        <v>63</v>
      </c>
      <c r="I394" s="1">
        <v>56</v>
      </c>
      <c r="J394" s="1">
        <f t="shared" si="12"/>
        <v>317</v>
      </c>
      <c r="K394" s="3">
        <f t="shared" si="13"/>
        <v>63.4</v>
      </c>
    </row>
    <row r="395" spans="1:11">
      <c r="A395" s="1">
        <v>10432</v>
      </c>
      <c r="B395" s="1" t="s">
        <v>453</v>
      </c>
      <c r="C395" s="1" t="s">
        <v>14</v>
      </c>
      <c r="D395" s="1" t="s">
        <v>37</v>
      </c>
      <c r="E395" s="1">
        <v>87</v>
      </c>
      <c r="F395" s="1">
        <v>94</v>
      </c>
      <c r="G395" s="1">
        <v>92</v>
      </c>
      <c r="H395" s="1">
        <v>84.5</v>
      </c>
      <c r="I395" s="1">
        <v>93</v>
      </c>
      <c r="J395" s="1">
        <f t="shared" si="12"/>
        <v>450.5</v>
      </c>
      <c r="K395" s="3">
        <f t="shared" si="13"/>
        <v>90.1</v>
      </c>
    </row>
    <row r="396" spans="1:11">
      <c r="A396" s="1">
        <v>10433</v>
      </c>
      <c r="B396" s="1" t="s">
        <v>454</v>
      </c>
      <c r="C396" s="1" t="s">
        <v>17</v>
      </c>
      <c r="D396" s="1" t="s">
        <v>37</v>
      </c>
      <c r="E396" s="1">
        <v>72</v>
      </c>
      <c r="F396" s="1">
        <v>70.5</v>
      </c>
      <c r="G396" s="1">
        <v>59</v>
      </c>
      <c r="H396" s="1">
        <v>57</v>
      </c>
      <c r="I396" s="1">
        <v>77</v>
      </c>
      <c r="J396" s="1">
        <f t="shared" si="12"/>
        <v>335.5</v>
      </c>
      <c r="K396" s="3">
        <f t="shared" si="13"/>
        <v>67.1</v>
      </c>
    </row>
    <row r="397" spans="1:11">
      <c r="A397" s="1">
        <v>10436</v>
      </c>
      <c r="B397" s="1" t="s">
        <v>457</v>
      </c>
      <c r="C397" s="1" t="s">
        <v>14</v>
      </c>
      <c r="D397" s="1" t="s">
        <v>37</v>
      </c>
      <c r="E397" s="1">
        <v>87</v>
      </c>
      <c r="F397" s="1">
        <v>66</v>
      </c>
      <c r="G397" s="1">
        <v>72</v>
      </c>
      <c r="H397" s="1">
        <v>70</v>
      </c>
      <c r="I397" s="1">
        <v>91</v>
      </c>
      <c r="J397" s="1">
        <f t="shared" si="12"/>
        <v>386</v>
      </c>
      <c r="K397" s="3">
        <f t="shared" si="13"/>
        <v>77.2</v>
      </c>
    </row>
    <row r="398" spans="1:11">
      <c r="A398" s="1">
        <v>10438</v>
      </c>
      <c r="B398" s="1" t="s">
        <v>459</v>
      </c>
      <c r="C398" s="1" t="s">
        <v>17</v>
      </c>
      <c r="D398" s="1" t="s">
        <v>37</v>
      </c>
      <c r="E398" s="1">
        <v>61.5</v>
      </c>
      <c r="F398" s="1">
        <v>69.5</v>
      </c>
      <c r="G398" s="1">
        <v>78.5</v>
      </c>
      <c r="H398" s="1">
        <v>76.5</v>
      </c>
      <c r="I398" s="1">
        <v>83</v>
      </c>
      <c r="J398" s="1">
        <f t="shared" si="12"/>
        <v>369</v>
      </c>
      <c r="K398" s="3">
        <f t="shared" si="13"/>
        <v>73.8</v>
      </c>
    </row>
    <row r="399" spans="1:11">
      <c r="A399" s="1">
        <v>10440</v>
      </c>
      <c r="B399" s="1" t="s">
        <v>461</v>
      </c>
      <c r="C399" s="1" t="s">
        <v>17</v>
      </c>
      <c r="D399" s="1" t="s">
        <v>37</v>
      </c>
      <c r="E399" s="1">
        <v>64</v>
      </c>
      <c r="F399" s="1">
        <v>91</v>
      </c>
      <c r="G399" s="1">
        <v>93.5</v>
      </c>
      <c r="H399" s="1">
        <v>91.5</v>
      </c>
      <c r="I399" s="1">
        <v>75.5</v>
      </c>
      <c r="J399" s="1">
        <f t="shared" si="12"/>
        <v>415.5</v>
      </c>
      <c r="K399" s="3">
        <f t="shared" si="13"/>
        <v>83.1</v>
      </c>
    </row>
    <row r="400" spans="1:11">
      <c r="A400" s="1">
        <v>10442</v>
      </c>
      <c r="B400" s="1" t="s">
        <v>463</v>
      </c>
      <c r="C400" s="1" t="s">
        <v>14</v>
      </c>
      <c r="D400" s="1" t="s">
        <v>37</v>
      </c>
      <c r="E400" s="1">
        <v>72</v>
      </c>
      <c r="F400" s="1">
        <v>91</v>
      </c>
      <c r="G400" s="1">
        <v>56</v>
      </c>
      <c r="H400" s="1">
        <v>54</v>
      </c>
      <c r="I400" s="1">
        <v>67</v>
      </c>
      <c r="J400" s="1">
        <f t="shared" si="12"/>
        <v>340</v>
      </c>
      <c r="K400" s="3">
        <f t="shared" si="13"/>
        <v>68</v>
      </c>
    </row>
    <row r="401" spans="1:11">
      <c r="A401" s="1">
        <v>10443</v>
      </c>
      <c r="B401" s="1" t="s">
        <v>464</v>
      </c>
      <c r="C401" s="1" t="s">
        <v>17</v>
      </c>
      <c r="D401" s="1" t="s">
        <v>37</v>
      </c>
      <c r="E401" s="1">
        <v>90</v>
      </c>
      <c r="F401" s="1">
        <v>70.5</v>
      </c>
      <c r="G401" s="1">
        <v>84.5</v>
      </c>
      <c r="H401" s="1">
        <v>82.5</v>
      </c>
      <c r="I401" s="1">
        <v>75.5</v>
      </c>
      <c r="J401" s="1">
        <f t="shared" si="12"/>
        <v>403</v>
      </c>
      <c r="K401" s="3">
        <f t="shared" si="13"/>
        <v>80.6</v>
      </c>
    </row>
    <row r="402" spans="1:11">
      <c r="A402" s="1">
        <v>10446</v>
      </c>
      <c r="B402" s="1" t="s">
        <v>467</v>
      </c>
      <c r="C402" s="1" t="s">
        <v>14</v>
      </c>
      <c r="D402" s="1" t="s">
        <v>37</v>
      </c>
      <c r="E402" s="1">
        <v>84.5</v>
      </c>
      <c r="F402" s="1">
        <v>76</v>
      </c>
      <c r="G402" s="1">
        <v>85</v>
      </c>
      <c r="H402" s="1">
        <v>78.5</v>
      </c>
      <c r="I402" s="1">
        <v>86</v>
      </c>
      <c r="J402" s="1">
        <f t="shared" si="12"/>
        <v>410</v>
      </c>
      <c r="K402" s="3">
        <f t="shared" si="13"/>
        <v>82</v>
      </c>
    </row>
    <row r="403" spans="1:11">
      <c r="A403" s="1">
        <v>10449</v>
      </c>
      <c r="B403" s="1" t="s">
        <v>470</v>
      </c>
      <c r="C403" s="1" t="s">
        <v>17</v>
      </c>
      <c r="D403" s="1" t="s">
        <v>37</v>
      </c>
      <c r="E403" s="1">
        <v>67</v>
      </c>
      <c r="F403" s="1">
        <v>92</v>
      </c>
      <c r="G403" s="1">
        <v>91</v>
      </c>
      <c r="H403" s="1">
        <v>89</v>
      </c>
      <c r="I403" s="1">
        <v>76</v>
      </c>
      <c r="J403" s="1">
        <f t="shared" si="12"/>
        <v>415</v>
      </c>
      <c r="K403" s="3">
        <f t="shared" si="13"/>
        <v>83</v>
      </c>
    </row>
    <row r="404" spans="1:11">
      <c r="A404" s="1">
        <v>10461</v>
      </c>
      <c r="B404" s="1" t="s">
        <v>482</v>
      </c>
      <c r="C404" s="1" t="s">
        <v>17</v>
      </c>
      <c r="D404" s="1" t="s">
        <v>37</v>
      </c>
      <c r="E404" s="1">
        <v>96</v>
      </c>
      <c r="F404" s="1">
        <v>74.5</v>
      </c>
      <c r="G404" s="1">
        <v>87.5</v>
      </c>
      <c r="H404" s="1">
        <v>85.5</v>
      </c>
      <c r="I404" s="1">
        <v>73</v>
      </c>
      <c r="J404" s="1">
        <f t="shared" si="12"/>
        <v>416.5</v>
      </c>
      <c r="K404" s="3">
        <f t="shared" si="13"/>
        <v>83.3</v>
      </c>
    </row>
    <row r="405" spans="1:11">
      <c r="A405" s="1">
        <v>10467</v>
      </c>
      <c r="B405" s="1" t="s">
        <v>488</v>
      </c>
      <c r="C405" s="1" t="s">
        <v>17</v>
      </c>
      <c r="D405" s="1" t="s">
        <v>37</v>
      </c>
      <c r="E405" s="1">
        <v>57</v>
      </c>
      <c r="F405" s="1">
        <v>82</v>
      </c>
      <c r="G405" s="1">
        <v>67.5</v>
      </c>
      <c r="H405" s="1">
        <v>65.5</v>
      </c>
      <c r="I405" s="1">
        <v>78.5</v>
      </c>
      <c r="J405" s="1">
        <f t="shared" si="12"/>
        <v>350.5</v>
      </c>
      <c r="K405" s="3">
        <f t="shared" si="13"/>
        <v>70.1</v>
      </c>
    </row>
    <row r="406" spans="1:11">
      <c r="A406" s="1">
        <v>10472</v>
      </c>
      <c r="B406" s="1" t="s">
        <v>493</v>
      </c>
      <c r="C406" s="1" t="s">
        <v>17</v>
      </c>
      <c r="D406" s="1" t="s">
        <v>37</v>
      </c>
      <c r="E406" s="1">
        <v>94.5</v>
      </c>
      <c r="F406" s="1">
        <v>81.5</v>
      </c>
      <c r="G406" s="1">
        <v>71.5</v>
      </c>
      <c r="H406" s="1">
        <v>69.5</v>
      </c>
      <c r="I406" s="1">
        <v>56</v>
      </c>
      <c r="J406" s="1">
        <f t="shared" si="12"/>
        <v>373</v>
      </c>
      <c r="K406" s="3">
        <f t="shared" si="13"/>
        <v>74.6</v>
      </c>
    </row>
    <row r="407" spans="1:11">
      <c r="A407" s="1">
        <v>10475</v>
      </c>
      <c r="B407" s="1" t="s">
        <v>496</v>
      </c>
      <c r="C407" s="1" t="s">
        <v>17</v>
      </c>
      <c r="D407" s="1" t="s">
        <v>37</v>
      </c>
      <c r="E407" s="1">
        <v>61.5</v>
      </c>
      <c r="F407" s="1">
        <v>74.5</v>
      </c>
      <c r="G407" s="1">
        <v>72</v>
      </c>
      <c r="H407" s="1">
        <v>70</v>
      </c>
      <c r="I407" s="1">
        <v>87.5</v>
      </c>
      <c r="J407" s="1">
        <f t="shared" si="12"/>
        <v>365.5</v>
      </c>
      <c r="K407" s="3">
        <f t="shared" si="13"/>
        <v>73.1</v>
      </c>
    </row>
    <row r="408" spans="1:11">
      <c r="A408" s="1">
        <v>10477</v>
      </c>
      <c r="B408" s="1" t="s">
        <v>498</v>
      </c>
      <c r="C408" s="1" t="s">
        <v>17</v>
      </c>
      <c r="D408" s="1" t="s">
        <v>37</v>
      </c>
      <c r="E408" s="1">
        <v>90</v>
      </c>
      <c r="F408" s="1">
        <v>68</v>
      </c>
      <c r="G408" s="1">
        <v>88.5</v>
      </c>
      <c r="H408" s="1">
        <v>86.5</v>
      </c>
      <c r="I408" s="1">
        <v>84.5</v>
      </c>
      <c r="J408" s="1">
        <f t="shared" si="12"/>
        <v>417.5</v>
      </c>
      <c r="K408" s="3">
        <f t="shared" si="13"/>
        <v>83.5</v>
      </c>
    </row>
    <row r="409" spans="1:11">
      <c r="A409" s="1">
        <v>10490</v>
      </c>
      <c r="B409" s="1" t="s">
        <v>511</v>
      </c>
      <c r="C409" s="1" t="s">
        <v>14</v>
      </c>
      <c r="D409" s="1" t="s">
        <v>37</v>
      </c>
      <c r="E409" s="1">
        <v>70</v>
      </c>
      <c r="F409" s="1">
        <v>67.5</v>
      </c>
      <c r="G409" s="1">
        <v>68.5</v>
      </c>
      <c r="H409" s="1">
        <v>66.5</v>
      </c>
      <c r="I409" s="1">
        <v>62</v>
      </c>
      <c r="J409" s="1">
        <f t="shared" si="12"/>
        <v>334.5</v>
      </c>
      <c r="K409" s="3">
        <f t="shared" si="13"/>
        <v>66.9</v>
      </c>
    </row>
    <row r="410" spans="1:11">
      <c r="A410" s="1">
        <v>10499</v>
      </c>
      <c r="B410" s="1" t="s">
        <v>520</v>
      </c>
      <c r="C410" s="1" t="s">
        <v>14</v>
      </c>
      <c r="D410" s="1" t="s">
        <v>37</v>
      </c>
      <c r="E410" s="1">
        <v>64.5</v>
      </c>
      <c r="F410" s="1">
        <v>74.5</v>
      </c>
      <c r="G410" s="1">
        <v>68</v>
      </c>
      <c r="H410" s="1">
        <v>66</v>
      </c>
      <c r="I410" s="1">
        <v>88</v>
      </c>
      <c r="J410" s="1">
        <f t="shared" si="12"/>
        <v>361</v>
      </c>
      <c r="K410" s="3">
        <f t="shared" si="13"/>
        <v>72.2</v>
      </c>
    </row>
    <row r="411" spans="1:11">
      <c r="A411" s="1">
        <v>10500</v>
      </c>
      <c r="B411" s="1" t="s">
        <v>521</v>
      </c>
      <c r="C411" s="1" t="s">
        <v>17</v>
      </c>
      <c r="D411" s="1" t="s">
        <v>37</v>
      </c>
      <c r="E411" s="1">
        <v>61</v>
      </c>
      <c r="F411" s="1">
        <v>65</v>
      </c>
      <c r="G411" s="1">
        <v>80.5</v>
      </c>
      <c r="H411" s="1">
        <v>88</v>
      </c>
      <c r="I411" s="1">
        <v>92.5</v>
      </c>
      <c r="J411" s="1">
        <f t="shared" si="12"/>
        <v>387</v>
      </c>
      <c r="K411" s="3">
        <f t="shared" si="13"/>
        <v>77.4</v>
      </c>
    </row>
    <row r="412" spans="1:11">
      <c r="A412" s="1">
        <v>10003</v>
      </c>
      <c r="B412" s="1" t="s">
        <v>19</v>
      </c>
      <c r="C412" s="1" t="s">
        <v>14</v>
      </c>
      <c r="D412" s="1" t="s">
        <v>20</v>
      </c>
      <c r="E412" s="1">
        <v>66</v>
      </c>
      <c r="F412" s="1">
        <v>66</v>
      </c>
      <c r="G412" s="1">
        <v>74</v>
      </c>
      <c r="H412" s="1">
        <v>72</v>
      </c>
      <c r="I412" s="1">
        <v>83</v>
      </c>
      <c r="J412" s="1">
        <f t="shared" si="12"/>
        <v>361</v>
      </c>
      <c r="K412" s="3">
        <f t="shared" si="13"/>
        <v>72.2</v>
      </c>
    </row>
    <row r="413" spans="1:11">
      <c r="A413" s="1">
        <v>10007</v>
      </c>
      <c r="B413" s="1" t="s">
        <v>28</v>
      </c>
      <c r="C413" s="1" t="s">
        <v>17</v>
      </c>
      <c r="D413" s="1" t="s">
        <v>20</v>
      </c>
      <c r="E413" s="1">
        <v>84</v>
      </c>
      <c r="F413" s="1">
        <v>70.5</v>
      </c>
      <c r="G413" s="1">
        <v>75</v>
      </c>
      <c r="H413" s="1">
        <v>73</v>
      </c>
      <c r="I413" s="1">
        <v>75</v>
      </c>
      <c r="J413" s="1">
        <f t="shared" si="12"/>
        <v>377.5</v>
      </c>
      <c r="K413" s="3">
        <f t="shared" si="13"/>
        <v>75.5</v>
      </c>
    </row>
    <row r="414" spans="1:11">
      <c r="A414" s="1">
        <v>10013</v>
      </c>
      <c r="B414" s="1" t="s">
        <v>35</v>
      </c>
      <c r="C414" s="1" t="s">
        <v>17</v>
      </c>
      <c r="D414" s="1" t="s">
        <v>20</v>
      </c>
      <c r="E414" s="1">
        <v>65</v>
      </c>
      <c r="F414" s="1">
        <v>64</v>
      </c>
      <c r="G414" s="1">
        <v>75.5</v>
      </c>
      <c r="H414" s="1">
        <v>73.5</v>
      </c>
      <c r="I414" s="1">
        <v>83.5</v>
      </c>
      <c r="J414" s="1">
        <f t="shared" si="12"/>
        <v>361.5</v>
      </c>
      <c r="K414" s="3">
        <f t="shared" si="13"/>
        <v>72.3</v>
      </c>
    </row>
    <row r="415" spans="1:11">
      <c r="A415" s="1">
        <v>10021</v>
      </c>
      <c r="B415" s="1" t="s">
        <v>44</v>
      </c>
      <c r="C415" s="1" t="s">
        <v>17</v>
      </c>
      <c r="D415" s="1" t="s">
        <v>20</v>
      </c>
      <c r="E415" s="1">
        <v>91</v>
      </c>
      <c r="F415" s="1">
        <v>68.5</v>
      </c>
      <c r="G415" s="1">
        <v>64.5</v>
      </c>
      <c r="H415" s="1">
        <v>62.5</v>
      </c>
      <c r="I415" s="1">
        <v>76.5</v>
      </c>
      <c r="J415" s="1">
        <f t="shared" si="12"/>
        <v>363</v>
      </c>
      <c r="K415" s="3">
        <f t="shared" si="13"/>
        <v>72.6</v>
      </c>
    </row>
    <row r="416" spans="1:11">
      <c r="A416" s="1">
        <v>10028</v>
      </c>
      <c r="B416" s="1" t="s">
        <v>51</v>
      </c>
      <c r="C416" s="1" t="s">
        <v>14</v>
      </c>
      <c r="D416" s="1" t="s">
        <v>20</v>
      </c>
      <c r="E416" s="1">
        <v>69</v>
      </c>
      <c r="F416" s="1">
        <v>68.5</v>
      </c>
      <c r="G416" s="1">
        <v>92</v>
      </c>
      <c r="H416" s="1">
        <v>90</v>
      </c>
      <c r="I416" s="1">
        <v>94.5</v>
      </c>
      <c r="J416" s="1">
        <f t="shared" si="12"/>
        <v>414</v>
      </c>
      <c r="K416" s="3">
        <f t="shared" si="13"/>
        <v>82.8</v>
      </c>
    </row>
    <row r="417" spans="1:11">
      <c r="A417" s="1">
        <v>10030</v>
      </c>
      <c r="B417" s="1" t="s">
        <v>53</v>
      </c>
      <c r="C417" s="1" t="s">
        <v>14</v>
      </c>
      <c r="D417" s="1" t="s">
        <v>20</v>
      </c>
      <c r="E417" s="1">
        <v>69</v>
      </c>
      <c r="F417" s="1">
        <v>75</v>
      </c>
      <c r="G417" s="1">
        <v>89</v>
      </c>
      <c r="H417" s="1">
        <v>80</v>
      </c>
      <c r="I417" s="1">
        <v>75</v>
      </c>
      <c r="J417" s="1">
        <f t="shared" si="12"/>
        <v>388</v>
      </c>
      <c r="K417" s="3">
        <f t="shared" si="13"/>
        <v>77.6</v>
      </c>
    </row>
    <row r="418" spans="1:11">
      <c r="A418" s="1">
        <v>10032</v>
      </c>
      <c r="B418" s="1" t="s">
        <v>55</v>
      </c>
      <c r="C418" s="1" t="s">
        <v>17</v>
      </c>
      <c r="D418" s="1" t="s">
        <v>20</v>
      </c>
      <c r="E418" s="1">
        <v>77</v>
      </c>
      <c r="F418" s="1">
        <v>85.5</v>
      </c>
      <c r="G418" s="1">
        <v>63.5</v>
      </c>
      <c r="H418" s="1">
        <v>61.5</v>
      </c>
      <c r="I418" s="1">
        <v>72</v>
      </c>
      <c r="J418" s="1">
        <f t="shared" si="12"/>
        <v>359.5</v>
      </c>
      <c r="K418" s="3">
        <f t="shared" si="13"/>
        <v>71.9</v>
      </c>
    </row>
    <row r="419" spans="1:11">
      <c r="A419" s="1">
        <v>10033</v>
      </c>
      <c r="B419" s="1" t="s">
        <v>56</v>
      </c>
      <c r="C419" s="1" t="s">
        <v>14</v>
      </c>
      <c r="D419" s="1" t="s">
        <v>20</v>
      </c>
      <c r="E419" s="1">
        <v>85</v>
      </c>
      <c r="F419" s="1">
        <v>95</v>
      </c>
      <c r="G419" s="1">
        <v>94</v>
      </c>
      <c r="H419" s="1">
        <v>86.5</v>
      </c>
      <c r="I419" s="1">
        <v>92</v>
      </c>
      <c r="J419" s="1">
        <f t="shared" si="12"/>
        <v>452.5</v>
      </c>
      <c r="K419" s="3">
        <f t="shared" si="13"/>
        <v>90.5</v>
      </c>
    </row>
    <row r="420" spans="1:11">
      <c r="A420" s="1">
        <v>10034</v>
      </c>
      <c r="B420" s="1" t="s">
        <v>57</v>
      </c>
      <c r="C420" s="1" t="s">
        <v>17</v>
      </c>
      <c r="D420" s="1" t="s">
        <v>20</v>
      </c>
      <c r="E420" s="1">
        <v>80</v>
      </c>
      <c r="F420" s="1">
        <v>76.5</v>
      </c>
      <c r="G420" s="1">
        <v>89.5</v>
      </c>
      <c r="H420" s="1">
        <v>87.5</v>
      </c>
      <c r="I420" s="1">
        <v>80</v>
      </c>
      <c r="J420" s="1">
        <f t="shared" si="12"/>
        <v>413.5</v>
      </c>
      <c r="K420" s="3">
        <f t="shared" si="13"/>
        <v>82.7</v>
      </c>
    </row>
    <row r="421" spans="1:11">
      <c r="A421" s="1">
        <v>10035</v>
      </c>
      <c r="B421" s="1" t="s">
        <v>58</v>
      </c>
      <c r="C421" s="1" t="s">
        <v>17</v>
      </c>
      <c r="D421" s="1" t="s">
        <v>20</v>
      </c>
      <c r="E421" s="1">
        <v>65</v>
      </c>
      <c r="F421" s="1">
        <v>60</v>
      </c>
      <c r="G421" s="1">
        <v>50</v>
      </c>
      <c r="H421" s="1">
        <v>52.5</v>
      </c>
      <c r="I421" s="1">
        <v>62</v>
      </c>
      <c r="J421" s="1">
        <f t="shared" si="12"/>
        <v>289.5</v>
      </c>
      <c r="K421" s="3">
        <f t="shared" si="13"/>
        <v>57.9</v>
      </c>
    </row>
    <row r="422" spans="1:11">
      <c r="A422" s="1">
        <v>10039</v>
      </c>
      <c r="B422" s="1" t="s">
        <v>62</v>
      </c>
      <c r="C422" s="1" t="s">
        <v>17</v>
      </c>
      <c r="D422" s="1" t="s">
        <v>20</v>
      </c>
      <c r="E422" s="1">
        <v>85.5</v>
      </c>
      <c r="F422" s="1">
        <v>91.5</v>
      </c>
      <c r="G422" s="1">
        <v>56.5</v>
      </c>
      <c r="H422" s="1">
        <v>54.5</v>
      </c>
      <c r="I422" s="1">
        <v>76.5</v>
      </c>
      <c r="J422" s="1">
        <f t="shared" si="12"/>
        <v>364.5</v>
      </c>
      <c r="K422" s="3">
        <f t="shared" si="13"/>
        <v>72.9</v>
      </c>
    </row>
    <row r="423" spans="1:11">
      <c r="A423" s="1">
        <v>10044</v>
      </c>
      <c r="B423" s="1" t="s">
        <v>67</v>
      </c>
      <c r="C423" s="1" t="s">
        <v>14</v>
      </c>
      <c r="D423" s="1" t="s">
        <v>20</v>
      </c>
      <c r="E423" s="1">
        <v>71.5</v>
      </c>
      <c r="F423" s="1">
        <v>60</v>
      </c>
      <c r="G423" s="1">
        <v>52</v>
      </c>
      <c r="H423" s="1">
        <v>50</v>
      </c>
      <c r="I423" s="1">
        <v>58</v>
      </c>
      <c r="J423" s="1">
        <f t="shared" si="12"/>
        <v>291.5</v>
      </c>
      <c r="K423" s="3">
        <f t="shared" si="13"/>
        <v>58.3</v>
      </c>
    </row>
    <row r="424" spans="1:11">
      <c r="A424" s="1">
        <v>10055</v>
      </c>
      <c r="B424" s="1" t="s">
        <v>78</v>
      </c>
      <c r="C424" s="1" t="s">
        <v>14</v>
      </c>
      <c r="D424" s="1" t="s">
        <v>20</v>
      </c>
      <c r="E424" s="1">
        <v>81.5</v>
      </c>
      <c r="F424" s="1">
        <v>94</v>
      </c>
      <c r="G424" s="1">
        <v>94</v>
      </c>
      <c r="H424" s="1">
        <v>90</v>
      </c>
      <c r="I424" s="1">
        <v>95</v>
      </c>
      <c r="J424" s="1">
        <f t="shared" si="12"/>
        <v>454.5</v>
      </c>
      <c r="K424" s="3">
        <f t="shared" si="13"/>
        <v>90.9</v>
      </c>
    </row>
    <row r="425" spans="1:11">
      <c r="A425" s="1">
        <v>10060</v>
      </c>
      <c r="B425" s="1" t="s">
        <v>83</v>
      </c>
      <c r="C425" s="1" t="s">
        <v>17</v>
      </c>
      <c r="D425" s="1" t="s">
        <v>20</v>
      </c>
      <c r="E425" s="1">
        <v>96</v>
      </c>
      <c r="F425" s="1">
        <v>84</v>
      </c>
      <c r="G425" s="1">
        <v>98</v>
      </c>
      <c r="H425" s="1">
        <v>96</v>
      </c>
      <c r="I425" s="1">
        <v>69.5</v>
      </c>
      <c r="J425" s="1">
        <f t="shared" si="12"/>
        <v>443.5</v>
      </c>
      <c r="K425" s="3">
        <f t="shared" si="13"/>
        <v>88.7</v>
      </c>
    </row>
    <row r="426" spans="1:11">
      <c r="A426" s="1">
        <v>10067</v>
      </c>
      <c r="B426" s="1" t="s">
        <v>90</v>
      </c>
      <c r="C426" s="1" t="s">
        <v>17</v>
      </c>
      <c r="D426" s="1" t="s">
        <v>20</v>
      </c>
      <c r="E426" s="1">
        <v>71.5</v>
      </c>
      <c r="F426" s="1">
        <v>73</v>
      </c>
      <c r="G426" s="1">
        <v>77</v>
      </c>
      <c r="H426" s="1">
        <v>75</v>
      </c>
      <c r="I426" s="1">
        <v>78.5</v>
      </c>
      <c r="J426" s="1">
        <f t="shared" si="12"/>
        <v>375</v>
      </c>
      <c r="K426" s="3">
        <f t="shared" si="13"/>
        <v>75</v>
      </c>
    </row>
    <row r="427" spans="1:11">
      <c r="A427" s="1">
        <v>10070</v>
      </c>
      <c r="B427" s="1" t="s">
        <v>93</v>
      </c>
      <c r="C427" s="1" t="s">
        <v>14</v>
      </c>
      <c r="D427" s="1" t="s">
        <v>20</v>
      </c>
      <c r="E427" s="1">
        <v>68.5</v>
      </c>
      <c r="F427" s="1">
        <v>63</v>
      </c>
      <c r="G427" s="1">
        <v>88</v>
      </c>
      <c r="H427" s="1">
        <v>86</v>
      </c>
      <c r="I427" s="1">
        <v>73</v>
      </c>
      <c r="J427" s="1">
        <f t="shared" si="12"/>
        <v>378.5</v>
      </c>
      <c r="K427" s="3">
        <f t="shared" si="13"/>
        <v>75.7</v>
      </c>
    </row>
    <row r="428" spans="1:11">
      <c r="A428" s="1">
        <v>10073</v>
      </c>
      <c r="B428" s="1" t="s">
        <v>96</v>
      </c>
      <c r="C428" s="1" t="s">
        <v>14</v>
      </c>
      <c r="D428" s="1" t="s">
        <v>20</v>
      </c>
      <c r="E428" s="1">
        <v>82</v>
      </c>
      <c r="F428" s="1">
        <v>81</v>
      </c>
      <c r="G428" s="1">
        <v>62.5</v>
      </c>
      <c r="H428" s="1">
        <v>60.5</v>
      </c>
      <c r="I428" s="1">
        <v>92</v>
      </c>
      <c r="J428" s="1">
        <f t="shared" si="12"/>
        <v>378</v>
      </c>
      <c r="K428" s="3">
        <f t="shared" si="13"/>
        <v>75.6</v>
      </c>
    </row>
    <row r="429" spans="1:11">
      <c r="A429" s="1">
        <v>10082</v>
      </c>
      <c r="B429" s="1" t="s">
        <v>105</v>
      </c>
      <c r="C429" s="1" t="s">
        <v>17</v>
      </c>
      <c r="D429" s="1" t="s">
        <v>20</v>
      </c>
      <c r="E429" s="1">
        <v>81</v>
      </c>
      <c r="F429" s="1">
        <v>91.5</v>
      </c>
      <c r="G429" s="1">
        <v>97</v>
      </c>
      <c r="H429" s="1">
        <v>95</v>
      </c>
      <c r="I429" s="1">
        <v>92</v>
      </c>
      <c r="J429" s="1">
        <f t="shared" si="12"/>
        <v>456.5</v>
      </c>
      <c r="K429" s="3">
        <f t="shared" si="13"/>
        <v>91.3</v>
      </c>
    </row>
    <row r="430" spans="1:11">
      <c r="A430" s="1">
        <v>10086</v>
      </c>
      <c r="B430" s="1" t="s">
        <v>109</v>
      </c>
      <c r="C430" s="1" t="s">
        <v>14</v>
      </c>
      <c r="D430" s="1" t="s">
        <v>20</v>
      </c>
      <c r="E430" s="1">
        <v>93</v>
      </c>
      <c r="F430" s="1">
        <v>88</v>
      </c>
      <c r="G430" s="1">
        <v>98</v>
      </c>
      <c r="H430" s="1">
        <v>85</v>
      </c>
      <c r="I430" s="1">
        <v>94</v>
      </c>
      <c r="J430" s="1">
        <f t="shared" si="12"/>
        <v>458</v>
      </c>
      <c r="K430" s="3">
        <f t="shared" si="13"/>
        <v>91.6</v>
      </c>
    </row>
    <row r="431" spans="1:11">
      <c r="A431" s="1">
        <v>10091</v>
      </c>
      <c r="B431" s="1" t="s">
        <v>114</v>
      </c>
      <c r="C431" s="1" t="s">
        <v>17</v>
      </c>
      <c r="D431" s="1" t="s">
        <v>20</v>
      </c>
      <c r="E431" s="1">
        <v>66</v>
      </c>
      <c r="F431" s="1">
        <v>69.5</v>
      </c>
      <c r="G431" s="1">
        <v>79.5</v>
      </c>
      <c r="H431" s="1">
        <v>77.5</v>
      </c>
      <c r="I431" s="1">
        <v>83</v>
      </c>
      <c r="J431" s="1">
        <f t="shared" si="12"/>
        <v>375.5</v>
      </c>
      <c r="K431" s="3">
        <f t="shared" si="13"/>
        <v>75.1</v>
      </c>
    </row>
    <row r="432" spans="1:11">
      <c r="A432" s="1">
        <v>10095</v>
      </c>
      <c r="B432" s="1" t="s">
        <v>118</v>
      </c>
      <c r="C432" s="1" t="s">
        <v>17</v>
      </c>
      <c r="D432" s="1" t="s">
        <v>20</v>
      </c>
      <c r="E432" s="1">
        <v>76.5</v>
      </c>
      <c r="F432" s="1">
        <v>62.5</v>
      </c>
      <c r="G432" s="1">
        <v>79.5</v>
      </c>
      <c r="H432" s="1">
        <v>77.5</v>
      </c>
      <c r="I432" s="1">
        <v>83</v>
      </c>
      <c r="J432" s="1">
        <f t="shared" si="12"/>
        <v>379</v>
      </c>
      <c r="K432" s="3">
        <f t="shared" si="13"/>
        <v>75.8</v>
      </c>
    </row>
    <row r="433" spans="1:11">
      <c r="A433" s="1">
        <v>10103</v>
      </c>
      <c r="B433" s="1" t="s">
        <v>126</v>
      </c>
      <c r="C433" s="1" t="s">
        <v>14</v>
      </c>
      <c r="D433" s="1" t="s">
        <v>20</v>
      </c>
      <c r="E433" s="1">
        <v>89</v>
      </c>
      <c r="F433" s="1">
        <v>91</v>
      </c>
      <c r="G433" s="1">
        <v>96</v>
      </c>
      <c r="H433" s="1">
        <v>96.5</v>
      </c>
      <c r="I433" s="1">
        <v>88</v>
      </c>
      <c r="J433" s="1">
        <f t="shared" si="12"/>
        <v>460.5</v>
      </c>
      <c r="K433" s="3">
        <f t="shared" si="13"/>
        <v>92.1</v>
      </c>
    </row>
    <row r="434" spans="1:11">
      <c r="A434" s="1">
        <v>10111</v>
      </c>
      <c r="B434" s="1" t="s">
        <v>134</v>
      </c>
      <c r="C434" s="1" t="s">
        <v>17</v>
      </c>
      <c r="D434" s="1" t="s">
        <v>20</v>
      </c>
      <c r="E434" s="1">
        <v>97</v>
      </c>
      <c r="F434" s="1">
        <v>57</v>
      </c>
      <c r="G434" s="1">
        <v>73.5</v>
      </c>
      <c r="H434" s="1">
        <v>71.5</v>
      </c>
      <c r="I434" s="1">
        <v>78.5</v>
      </c>
      <c r="J434" s="1">
        <f t="shared" si="12"/>
        <v>377.5</v>
      </c>
      <c r="K434" s="3">
        <f t="shared" si="13"/>
        <v>75.5</v>
      </c>
    </row>
    <row r="435" spans="1:11">
      <c r="A435" s="1">
        <v>10117</v>
      </c>
      <c r="B435" s="1" t="s">
        <v>140</v>
      </c>
      <c r="C435" s="1" t="s">
        <v>14</v>
      </c>
      <c r="D435" s="1" t="s">
        <v>20</v>
      </c>
      <c r="E435" s="1">
        <v>65.5</v>
      </c>
      <c r="F435" s="1">
        <v>62</v>
      </c>
      <c r="G435" s="1">
        <v>83.5</v>
      </c>
      <c r="H435" s="1">
        <v>81.5</v>
      </c>
      <c r="I435" s="1">
        <v>89.5</v>
      </c>
      <c r="J435" s="1">
        <f t="shared" si="12"/>
        <v>382</v>
      </c>
      <c r="K435" s="3">
        <f t="shared" si="13"/>
        <v>76.4</v>
      </c>
    </row>
    <row r="436" spans="1:11">
      <c r="A436" s="1">
        <v>10123</v>
      </c>
      <c r="B436" s="1" t="s">
        <v>146</v>
      </c>
      <c r="C436" s="1" t="s">
        <v>17</v>
      </c>
      <c r="D436" s="1" t="s">
        <v>20</v>
      </c>
      <c r="E436" s="1">
        <v>85</v>
      </c>
      <c r="F436" s="1">
        <v>72.5</v>
      </c>
      <c r="G436" s="1">
        <v>87</v>
      </c>
      <c r="H436" s="1">
        <v>85</v>
      </c>
      <c r="I436" s="1">
        <v>82</v>
      </c>
      <c r="J436" s="1">
        <f t="shared" si="12"/>
        <v>411.5</v>
      </c>
      <c r="K436" s="3">
        <f t="shared" si="13"/>
        <v>82.3</v>
      </c>
    </row>
    <row r="437" spans="1:11">
      <c r="A437" s="1">
        <v>10130</v>
      </c>
      <c r="B437" s="1" t="s">
        <v>153</v>
      </c>
      <c r="C437" s="1" t="s">
        <v>14</v>
      </c>
      <c r="D437" s="1" t="s">
        <v>20</v>
      </c>
      <c r="E437" s="1">
        <v>76.5</v>
      </c>
      <c r="F437" s="1">
        <v>84.5</v>
      </c>
      <c r="G437" s="1">
        <v>97</v>
      </c>
      <c r="H437" s="1">
        <v>95</v>
      </c>
      <c r="I437" s="1">
        <v>79.5</v>
      </c>
      <c r="J437" s="1">
        <f t="shared" si="12"/>
        <v>432.5</v>
      </c>
      <c r="K437" s="3">
        <f t="shared" si="13"/>
        <v>86.5</v>
      </c>
    </row>
    <row r="438" spans="1:11">
      <c r="A438" s="1">
        <v>10132</v>
      </c>
      <c r="B438" s="1" t="s">
        <v>155</v>
      </c>
      <c r="C438" s="1" t="s">
        <v>14</v>
      </c>
      <c r="D438" s="1" t="s">
        <v>20</v>
      </c>
      <c r="E438" s="1">
        <v>85</v>
      </c>
      <c r="F438" s="1">
        <v>84.5</v>
      </c>
      <c r="G438" s="1">
        <v>76</v>
      </c>
      <c r="H438" s="1">
        <v>74</v>
      </c>
      <c r="I438" s="1">
        <v>74.5</v>
      </c>
      <c r="J438" s="1">
        <f t="shared" si="12"/>
        <v>394</v>
      </c>
      <c r="K438" s="3">
        <f t="shared" si="13"/>
        <v>78.8</v>
      </c>
    </row>
    <row r="439" spans="1:11">
      <c r="A439" s="1">
        <v>10133</v>
      </c>
      <c r="B439" s="1" t="s">
        <v>156</v>
      </c>
      <c r="C439" s="1" t="s">
        <v>17</v>
      </c>
      <c r="D439" s="1" t="s">
        <v>20</v>
      </c>
      <c r="E439" s="1">
        <v>75.5</v>
      </c>
      <c r="F439" s="1">
        <v>60.5</v>
      </c>
      <c r="G439" s="1">
        <v>75.5</v>
      </c>
      <c r="H439" s="1">
        <v>73.5</v>
      </c>
      <c r="I439" s="1">
        <v>81</v>
      </c>
      <c r="J439" s="1">
        <f t="shared" si="12"/>
        <v>366</v>
      </c>
      <c r="K439" s="3">
        <f t="shared" si="13"/>
        <v>73.2</v>
      </c>
    </row>
    <row r="440" spans="1:11">
      <c r="A440" s="1">
        <v>10135</v>
      </c>
      <c r="B440" s="1" t="s">
        <v>158</v>
      </c>
      <c r="C440" s="1" t="s">
        <v>17</v>
      </c>
      <c r="D440" s="1" t="s">
        <v>20</v>
      </c>
      <c r="E440" s="1">
        <v>74.5</v>
      </c>
      <c r="F440" s="1">
        <v>72</v>
      </c>
      <c r="G440" s="1">
        <v>65</v>
      </c>
      <c r="H440" s="1">
        <v>63</v>
      </c>
      <c r="I440" s="1">
        <v>64</v>
      </c>
      <c r="J440" s="1">
        <f t="shared" si="12"/>
        <v>338.5</v>
      </c>
      <c r="K440" s="3">
        <f t="shared" si="13"/>
        <v>67.7</v>
      </c>
    </row>
    <row r="441" spans="1:11">
      <c r="A441" s="1">
        <v>10144</v>
      </c>
      <c r="B441" s="1" t="s">
        <v>167</v>
      </c>
      <c r="C441" s="1" t="s">
        <v>17</v>
      </c>
      <c r="D441" s="1" t="s">
        <v>20</v>
      </c>
      <c r="E441" s="1">
        <v>68.5</v>
      </c>
      <c r="F441" s="1">
        <v>65</v>
      </c>
      <c r="G441" s="1">
        <v>96.5</v>
      </c>
      <c r="H441" s="1">
        <v>94.5</v>
      </c>
      <c r="I441" s="1">
        <v>88</v>
      </c>
      <c r="J441" s="1">
        <f t="shared" si="12"/>
        <v>412.5</v>
      </c>
      <c r="K441" s="3">
        <f t="shared" si="13"/>
        <v>82.5</v>
      </c>
    </row>
    <row r="442" spans="1:11">
      <c r="A442" s="1">
        <v>10146</v>
      </c>
      <c r="B442" s="1" t="s">
        <v>169</v>
      </c>
      <c r="C442" s="1" t="s">
        <v>14</v>
      </c>
      <c r="D442" s="1" t="s">
        <v>20</v>
      </c>
      <c r="E442" s="1">
        <v>70.5</v>
      </c>
      <c r="F442" s="1">
        <v>83.5</v>
      </c>
      <c r="G442" s="1">
        <v>69.5</v>
      </c>
      <c r="H442" s="1">
        <v>67.5</v>
      </c>
      <c r="I442" s="1">
        <v>78</v>
      </c>
      <c r="J442" s="1">
        <f t="shared" si="12"/>
        <v>369</v>
      </c>
      <c r="K442" s="3">
        <f t="shared" si="13"/>
        <v>73.8</v>
      </c>
    </row>
    <row r="443" spans="1:11">
      <c r="A443" s="1">
        <v>10147</v>
      </c>
      <c r="B443" s="1" t="s">
        <v>170</v>
      </c>
      <c r="C443" s="1" t="s">
        <v>17</v>
      </c>
      <c r="D443" s="1" t="s">
        <v>20</v>
      </c>
      <c r="E443" s="1">
        <v>80</v>
      </c>
      <c r="F443" s="1">
        <v>78</v>
      </c>
      <c r="G443" s="1">
        <v>56</v>
      </c>
      <c r="H443" s="1">
        <v>54</v>
      </c>
      <c r="I443" s="1">
        <v>66.5</v>
      </c>
      <c r="J443" s="1">
        <f t="shared" si="12"/>
        <v>334.5</v>
      </c>
      <c r="K443" s="3">
        <f t="shared" si="13"/>
        <v>66.9</v>
      </c>
    </row>
    <row r="444" spans="1:11">
      <c r="A444" s="1">
        <v>10148</v>
      </c>
      <c r="B444" s="1" t="s">
        <v>171</v>
      </c>
      <c r="C444" s="1" t="s">
        <v>17</v>
      </c>
      <c r="D444" s="1" t="s">
        <v>20</v>
      </c>
      <c r="E444" s="1">
        <v>58</v>
      </c>
      <c r="F444" s="1">
        <v>51</v>
      </c>
      <c r="G444" s="1">
        <v>63.5</v>
      </c>
      <c r="H444" s="1">
        <v>61.5</v>
      </c>
      <c r="I444" s="1">
        <v>56.5</v>
      </c>
      <c r="J444" s="1">
        <f t="shared" si="12"/>
        <v>290.5</v>
      </c>
      <c r="K444" s="3">
        <f t="shared" si="13"/>
        <v>58.1</v>
      </c>
    </row>
    <row r="445" spans="1:11">
      <c r="A445" s="1">
        <v>10150</v>
      </c>
      <c r="B445" s="1" t="s">
        <v>173</v>
      </c>
      <c r="C445" s="1" t="s">
        <v>17</v>
      </c>
      <c r="D445" s="1" t="s">
        <v>20</v>
      </c>
      <c r="E445" s="1">
        <v>69.5</v>
      </c>
      <c r="F445" s="1">
        <v>76.5</v>
      </c>
      <c r="G445" s="1">
        <v>91.5</v>
      </c>
      <c r="H445" s="1">
        <v>89.5</v>
      </c>
      <c r="I445" s="1">
        <v>69.5</v>
      </c>
      <c r="J445" s="1">
        <f t="shared" si="12"/>
        <v>396.5</v>
      </c>
      <c r="K445" s="3">
        <f t="shared" si="13"/>
        <v>79.3</v>
      </c>
    </row>
    <row r="446" spans="1:11">
      <c r="A446" s="1">
        <v>10154</v>
      </c>
      <c r="B446" s="1" t="s">
        <v>177</v>
      </c>
      <c r="C446" s="1" t="s">
        <v>17</v>
      </c>
      <c r="D446" s="1" t="s">
        <v>20</v>
      </c>
      <c r="E446" s="1">
        <v>73</v>
      </c>
      <c r="F446" s="1">
        <v>60.5</v>
      </c>
      <c r="G446" s="1">
        <v>73</v>
      </c>
      <c r="H446" s="1">
        <v>71</v>
      </c>
      <c r="I446" s="1">
        <v>78</v>
      </c>
      <c r="J446" s="1">
        <f t="shared" si="12"/>
        <v>355.5</v>
      </c>
      <c r="K446" s="3">
        <f t="shared" si="13"/>
        <v>71.1</v>
      </c>
    </row>
    <row r="447" spans="1:11">
      <c r="A447" s="1">
        <v>10155</v>
      </c>
      <c r="B447" s="1" t="s">
        <v>178</v>
      </c>
      <c r="C447" s="1" t="s">
        <v>17</v>
      </c>
      <c r="D447" s="1" t="s">
        <v>20</v>
      </c>
      <c r="E447" s="1">
        <v>93</v>
      </c>
      <c r="F447" s="1">
        <v>95</v>
      </c>
      <c r="G447" s="1">
        <v>80</v>
      </c>
      <c r="H447" s="1">
        <v>68</v>
      </c>
      <c r="I447" s="1">
        <v>53.5</v>
      </c>
      <c r="J447" s="1">
        <f t="shared" si="12"/>
        <v>389.5</v>
      </c>
      <c r="K447" s="3">
        <f t="shared" si="13"/>
        <v>77.9</v>
      </c>
    </row>
    <row r="448" spans="1:11">
      <c r="A448" s="1">
        <v>10159</v>
      </c>
      <c r="B448" s="1" t="s">
        <v>182</v>
      </c>
      <c r="C448" s="1" t="s">
        <v>17</v>
      </c>
      <c r="D448" s="1" t="s">
        <v>20</v>
      </c>
      <c r="E448" s="1">
        <v>77.5</v>
      </c>
      <c r="F448" s="1">
        <v>67</v>
      </c>
      <c r="G448" s="1">
        <v>62</v>
      </c>
      <c r="H448" s="1">
        <v>60</v>
      </c>
      <c r="I448" s="1">
        <v>84.5</v>
      </c>
      <c r="J448" s="1">
        <f t="shared" si="12"/>
        <v>351</v>
      </c>
      <c r="K448" s="3">
        <f t="shared" si="13"/>
        <v>70.2</v>
      </c>
    </row>
    <row r="449" spans="1:11">
      <c r="A449" s="1">
        <v>10168</v>
      </c>
      <c r="B449" s="1" t="s">
        <v>191</v>
      </c>
      <c r="C449" s="1" t="s">
        <v>17</v>
      </c>
      <c r="D449" s="1" t="s">
        <v>20</v>
      </c>
      <c r="E449" s="1">
        <v>82.5</v>
      </c>
      <c r="F449" s="1">
        <v>70</v>
      </c>
      <c r="G449" s="1">
        <v>82.5</v>
      </c>
      <c r="H449" s="1">
        <v>80.5</v>
      </c>
      <c r="I449" s="1">
        <v>86.5</v>
      </c>
      <c r="J449" s="1">
        <f t="shared" si="12"/>
        <v>402</v>
      </c>
      <c r="K449" s="3">
        <f t="shared" si="13"/>
        <v>80.4</v>
      </c>
    </row>
    <row r="450" spans="1:11">
      <c r="A450" s="1">
        <v>10178</v>
      </c>
      <c r="B450" s="1" t="s">
        <v>201</v>
      </c>
      <c r="C450" s="1" t="s">
        <v>17</v>
      </c>
      <c r="D450" s="1" t="s">
        <v>20</v>
      </c>
      <c r="E450" s="1">
        <v>64</v>
      </c>
      <c r="F450" s="1">
        <v>85</v>
      </c>
      <c r="G450" s="1">
        <v>77</v>
      </c>
      <c r="H450" s="1">
        <v>75</v>
      </c>
      <c r="I450" s="1">
        <v>85.5</v>
      </c>
      <c r="J450" s="1">
        <f t="shared" ref="J450:J503" si="14">SUM(E450:I450)</f>
        <v>386.5</v>
      </c>
      <c r="K450" s="3">
        <f t="shared" ref="K450:K503" si="15">AVERAGE(E450:I450)</f>
        <v>77.3</v>
      </c>
    </row>
    <row r="451" spans="1:11">
      <c r="A451" s="1">
        <v>10181</v>
      </c>
      <c r="B451" s="1" t="s">
        <v>204</v>
      </c>
      <c r="C451" s="1" t="s">
        <v>14</v>
      </c>
      <c r="D451" s="1" t="s">
        <v>20</v>
      </c>
      <c r="E451" s="1">
        <v>68.5</v>
      </c>
      <c r="F451" s="1">
        <v>71</v>
      </c>
      <c r="G451" s="1">
        <v>76.5</v>
      </c>
      <c r="H451" s="1">
        <v>74.5</v>
      </c>
      <c r="I451" s="1">
        <v>71.5</v>
      </c>
      <c r="J451" s="1">
        <f t="shared" si="14"/>
        <v>362</v>
      </c>
      <c r="K451" s="3">
        <f t="shared" si="15"/>
        <v>72.4</v>
      </c>
    </row>
    <row r="452" spans="1:11">
      <c r="A452" s="1">
        <v>10182</v>
      </c>
      <c r="B452" s="1" t="s">
        <v>205</v>
      </c>
      <c r="C452" s="1" t="s">
        <v>17</v>
      </c>
      <c r="D452" s="1" t="s">
        <v>20</v>
      </c>
      <c r="E452" s="1">
        <v>69.5</v>
      </c>
      <c r="F452" s="1">
        <v>69.5</v>
      </c>
      <c r="G452" s="1">
        <v>76</v>
      </c>
      <c r="H452" s="1">
        <v>74</v>
      </c>
      <c r="I452" s="1">
        <v>93.5</v>
      </c>
      <c r="J452" s="1">
        <f t="shared" si="14"/>
        <v>382.5</v>
      </c>
      <c r="K452" s="3">
        <f t="shared" si="15"/>
        <v>76.5</v>
      </c>
    </row>
    <row r="453" spans="1:11">
      <c r="A453" s="1">
        <v>10189</v>
      </c>
      <c r="B453" s="1" t="s">
        <v>212</v>
      </c>
      <c r="C453" s="1" t="s">
        <v>14</v>
      </c>
      <c r="D453" s="1" t="s">
        <v>20</v>
      </c>
      <c r="E453" s="1">
        <v>56</v>
      </c>
      <c r="F453" s="1">
        <v>67.5</v>
      </c>
      <c r="G453" s="1">
        <v>65</v>
      </c>
      <c r="H453" s="1">
        <v>63</v>
      </c>
      <c r="I453" s="1">
        <v>65</v>
      </c>
      <c r="J453" s="1">
        <f t="shared" si="14"/>
        <v>316.5</v>
      </c>
      <c r="K453" s="3">
        <f t="shared" si="15"/>
        <v>63.3</v>
      </c>
    </row>
    <row r="454" spans="1:11">
      <c r="A454" s="1">
        <v>10194</v>
      </c>
      <c r="B454" s="1" t="s">
        <v>217</v>
      </c>
      <c r="C454" s="1" t="s">
        <v>17</v>
      </c>
      <c r="D454" s="1" t="s">
        <v>20</v>
      </c>
      <c r="E454" s="1">
        <v>69</v>
      </c>
      <c r="F454" s="1">
        <v>91.5</v>
      </c>
      <c r="G454" s="1">
        <v>74.5</v>
      </c>
      <c r="H454" s="1">
        <v>72.5</v>
      </c>
      <c r="I454" s="1">
        <v>72</v>
      </c>
      <c r="J454" s="1">
        <f t="shared" si="14"/>
        <v>379.5</v>
      </c>
      <c r="K454" s="3">
        <f t="shared" si="15"/>
        <v>75.9</v>
      </c>
    </row>
    <row r="455" spans="1:11">
      <c r="A455" s="1">
        <v>10198</v>
      </c>
      <c r="B455" s="1" t="s">
        <v>221</v>
      </c>
      <c r="C455" s="1" t="s">
        <v>17</v>
      </c>
      <c r="D455" s="1" t="s">
        <v>20</v>
      </c>
      <c r="E455" s="1">
        <v>85</v>
      </c>
      <c r="F455" s="1">
        <v>73</v>
      </c>
      <c r="G455" s="1">
        <v>83.5</v>
      </c>
      <c r="H455" s="1">
        <v>81.5</v>
      </c>
      <c r="I455" s="1">
        <v>77.5</v>
      </c>
      <c r="J455" s="1">
        <f t="shared" si="14"/>
        <v>400.5</v>
      </c>
      <c r="K455" s="3">
        <f t="shared" si="15"/>
        <v>80.1</v>
      </c>
    </row>
    <row r="456" spans="1:11">
      <c r="A456" s="1">
        <v>10200</v>
      </c>
      <c r="B456" s="1" t="s">
        <v>223</v>
      </c>
      <c r="C456" s="1" t="s">
        <v>14</v>
      </c>
      <c r="D456" s="1" t="s">
        <v>20</v>
      </c>
      <c r="E456" s="1">
        <v>76.5</v>
      </c>
      <c r="F456" s="1">
        <v>80.5</v>
      </c>
      <c r="G456" s="1">
        <v>81.5</v>
      </c>
      <c r="H456" s="1">
        <v>79.5</v>
      </c>
      <c r="I456" s="1">
        <v>81</v>
      </c>
      <c r="J456" s="1">
        <f t="shared" si="14"/>
        <v>399</v>
      </c>
      <c r="K456" s="3">
        <f t="shared" si="15"/>
        <v>79.8</v>
      </c>
    </row>
    <row r="457" spans="1:11">
      <c r="A457" s="1">
        <v>10211</v>
      </c>
      <c r="B457" s="1" t="s">
        <v>234</v>
      </c>
      <c r="C457" s="1" t="s">
        <v>14</v>
      </c>
      <c r="D457" s="1" t="s">
        <v>20</v>
      </c>
      <c r="E457" s="1">
        <v>69.5</v>
      </c>
      <c r="F457" s="1">
        <v>69</v>
      </c>
      <c r="G457" s="1">
        <v>78</v>
      </c>
      <c r="H457" s="1">
        <v>76</v>
      </c>
      <c r="I457" s="1">
        <v>70.5</v>
      </c>
      <c r="J457" s="1">
        <f t="shared" si="14"/>
        <v>363</v>
      </c>
      <c r="K457" s="3">
        <f t="shared" si="15"/>
        <v>72.6</v>
      </c>
    </row>
    <row r="458" spans="1:11">
      <c r="A458" s="1">
        <v>10227</v>
      </c>
      <c r="B458" s="1" t="s">
        <v>250</v>
      </c>
      <c r="C458" s="1" t="s">
        <v>14</v>
      </c>
      <c r="D458" s="1" t="s">
        <v>20</v>
      </c>
      <c r="E458" s="1">
        <v>70.5</v>
      </c>
      <c r="F458" s="1">
        <v>74.5</v>
      </c>
      <c r="G458" s="1">
        <v>65</v>
      </c>
      <c r="H458" s="1">
        <v>63</v>
      </c>
      <c r="I458" s="1">
        <v>66</v>
      </c>
      <c r="J458" s="1">
        <f t="shared" si="14"/>
        <v>339</v>
      </c>
      <c r="K458" s="3">
        <f t="shared" si="15"/>
        <v>67.8</v>
      </c>
    </row>
    <row r="459" spans="1:11">
      <c r="A459" s="1">
        <v>10239</v>
      </c>
      <c r="B459" s="1" t="s">
        <v>262</v>
      </c>
      <c r="C459" s="1" t="s">
        <v>17</v>
      </c>
      <c r="D459" s="1" t="s">
        <v>20</v>
      </c>
      <c r="E459" s="1">
        <v>88.5</v>
      </c>
      <c r="F459" s="1">
        <v>66.5</v>
      </c>
      <c r="G459" s="1">
        <v>68.5</v>
      </c>
      <c r="H459" s="1">
        <v>66.5</v>
      </c>
      <c r="I459" s="1">
        <v>81.5</v>
      </c>
      <c r="J459" s="1">
        <f t="shared" si="14"/>
        <v>371.5</v>
      </c>
      <c r="K459" s="3">
        <f t="shared" si="15"/>
        <v>74.3</v>
      </c>
    </row>
    <row r="460" spans="1:11">
      <c r="A460" s="1">
        <v>10242</v>
      </c>
      <c r="B460" s="1" t="s">
        <v>265</v>
      </c>
      <c r="C460" s="1" t="s">
        <v>14</v>
      </c>
      <c r="D460" s="1" t="s">
        <v>20</v>
      </c>
      <c r="E460" s="1">
        <v>71.5</v>
      </c>
      <c r="F460" s="1">
        <v>90</v>
      </c>
      <c r="G460" s="1">
        <v>86</v>
      </c>
      <c r="H460" s="1">
        <v>84</v>
      </c>
      <c r="I460" s="1">
        <v>84.5</v>
      </c>
      <c r="J460" s="1">
        <f t="shared" si="14"/>
        <v>416</v>
      </c>
      <c r="K460" s="3">
        <f t="shared" si="15"/>
        <v>83.2</v>
      </c>
    </row>
    <row r="461" spans="1:11">
      <c r="A461" s="1">
        <v>10244</v>
      </c>
      <c r="B461" s="1" t="s">
        <v>267</v>
      </c>
      <c r="C461" s="1" t="s">
        <v>14</v>
      </c>
      <c r="D461" s="1" t="s">
        <v>20</v>
      </c>
      <c r="E461" s="1">
        <v>96</v>
      </c>
      <c r="F461" s="1">
        <v>82</v>
      </c>
      <c r="G461" s="1">
        <v>70</v>
      </c>
      <c r="H461" s="1">
        <v>68</v>
      </c>
      <c r="I461" s="1">
        <v>51</v>
      </c>
      <c r="J461" s="1">
        <f t="shared" si="14"/>
        <v>367</v>
      </c>
      <c r="K461" s="3">
        <f t="shared" si="15"/>
        <v>73.4</v>
      </c>
    </row>
    <row r="462" spans="1:11">
      <c r="A462" s="1">
        <v>10245</v>
      </c>
      <c r="B462" s="1" t="s">
        <v>268</v>
      </c>
      <c r="C462" s="1" t="s">
        <v>14</v>
      </c>
      <c r="D462" s="1" t="s">
        <v>20</v>
      </c>
      <c r="E462" s="1">
        <v>67</v>
      </c>
      <c r="F462" s="1">
        <v>68.5</v>
      </c>
      <c r="G462" s="1">
        <v>73.5</v>
      </c>
      <c r="H462" s="1">
        <v>60</v>
      </c>
      <c r="I462" s="1">
        <v>72.5</v>
      </c>
      <c r="J462" s="1">
        <f t="shared" si="14"/>
        <v>341.5</v>
      </c>
      <c r="K462" s="3">
        <f t="shared" si="15"/>
        <v>68.3</v>
      </c>
    </row>
    <row r="463" spans="1:11">
      <c r="A463" s="1">
        <v>10248</v>
      </c>
      <c r="B463" s="1" t="s">
        <v>271</v>
      </c>
      <c r="C463" s="1" t="s">
        <v>17</v>
      </c>
      <c r="D463" s="1" t="s">
        <v>20</v>
      </c>
      <c r="E463" s="1">
        <v>74.5</v>
      </c>
      <c r="F463" s="1">
        <v>72.5</v>
      </c>
      <c r="G463" s="1">
        <v>71</v>
      </c>
      <c r="H463" s="1">
        <v>62</v>
      </c>
      <c r="I463" s="1">
        <v>62</v>
      </c>
      <c r="J463" s="1">
        <f t="shared" si="14"/>
        <v>342</v>
      </c>
      <c r="K463" s="3">
        <f t="shared" si="15"/>
        <v>68.4</v>
      </c>
    </row>
    <row r="464" spans="1:11">
      <c r="A464" s="1">
        <v>10251</v>
      </c>
      <c r="B464" s="1" t="s">
        <v>230</v>
      </c>
      <c r="C464" s="1" t="s">
        <v>17</v>
      </c>
      <c r="D464" s="1" t="s">
        <v>20</v>
      </c>
      <c r="E464" s="1">
        <v>65.5</v>
      </c>
      <c r="F464" s="1">
        <v>85</v>
      </c>
      <c r="G464" s="1">
        <v>83</v>
      </c>
      <c r="H464" s="1">
        <v>81</v>
      </c>
      <c r="I464" s="1">
        <v>97</v>
      </c>
      <c r="J464" s="1">
        <f t="shared" si="14"/>
        <v>411.5</v>
      </c>
      <c r="K464" s="3">
        <f t="shared" si="15"/>
        <v>82.3</v>
      </c>
    </row>
    <row r="465" spans="1:11">
      <c r="A465" s="1">
        <v>10254</v>
      </c>
      <c r="B465" s="1" t="s">
        <v>276</v>
      </c>
      <c r="C465" s="1" t="s">
        <v>17</v>
      </c>
      <c r="D465" s="1" t="s">
        <v>20</v>
      </c>
      <c r="E465" s="1">
        <v>92.5</v>
      </c>
      <c r="F465" s="1">
        <v>57.5</v>
      </c>
      <c r="G465" s="1">
        <v>88</v>
      </c>
      <c r="H465" s="1">
        <v>86</v>
      </c>
      <c r="I465" s="1">
        <v>81</v>
      </c>
      <c r="J465" s="1">
        <f t="shared" si="14"/>
        <v>405</v>
      </c>
      <c r="K465" s="3">
        <f t="shared" si="15"/>
        <v>81</v>
      </c>
    </row>
    <row r="466" spans="1:11">
      <c r="A466" s="1">
        <v>10256</v>
      </c>
      <c r="B466" s="1" t="s">
        <v>278</v>
      </c>
      <c r="C466" s="1" t="s">
        <v>17</v>
      </c>
      <c r="D466" s="1" t="s">
        <v>20</v>
      </c>
      <c r="E466" s="1">
        <v>82.5</v>
      </c>
      <c r="F466" s="1">
        <v>95.5</v>
      </c>
      <c r="G466" s="1">
        <v>72.5</v>
      </c>
      <c r="H466" s="1">
        <v>85</v>
      </c>
      <c r="I466" s="1">
        <v>69</v>
      </c>
      <c r="J466" s="1">
        <f t="shared" si="14"/>
        <v>404.5</v>
      </c>
      <c r="K466" s="3">
        <f t="shared" si="15"/>
        <v>80.9</v>
      </c>
    </row>
    <row r="467" spans="1:11">
      <c r="A467" s="1">
        <v>10258</v>
      </c>
      <c r="B467" s="1" t="s">
        <v>280</v>
      </c>
      <c r="C467" s="1" t="s">
        <v>17</v>
      </c>
      <c r="D467" s="1" t="s">
        <v>20</v>
      </c>
      <c r="E467" s="1">
        <v>66</v>
      </c>
      <c r="F467" s="1">
        <v>68.5</v>
      </c>
      <c r="G467" s="1">
        <v>76.5</v>
      </c>
      <c r="H467" s="1">
        <v>74.5</v>
      </c>
      <c r="I467" s="1">
        <v>74.5</v>
      </c>
      <c r="J467" s="1">
        <f t="shared" si="14"/>
        <v>360</v>
      </c>
      <c r="K467" s="3">
        <f t="shared" si="15"/>
        <v>72</v>
      </c>
    </row>
    <row r="468" spans="1:11">
      <c r="A468" s="1">
        <v>10263</v>
      </c>
      <c r="B468" s="1" t="s">
        <v>285</v>
      </c>
      <c r="C468" s="1" t="s">
        <v>17</v>
      </c>
      <c r="D468" s="1" t="s">
        <v>20</v>
      </c>
      <c r="E468" s="1">
        <v>74</v>
      </c>
      <c r="F468" s="1">
        <v>81</v>
      </c>
      <c r="G468" s="1">
        <v>82</v>
      </c>
      <c r="H468" s="1">
        <v>80</v>
      </c>
      <c r="I468" s="1">
        <v>91</v>
      </c>
      <c r="J468" s="1">
        <f t="shared" si="14"/>
        <v>408</v>
      </c>
      <c r="K468" s="3">
        <f t="shared" si="15"/>
        <v>81.6</v>
      </c>
    </row>
    <row r="469" spans="1:11">
      <c r="A469" s="1">
        <v>10278</v>
      </c>
      <c r="B469" s="1" t="s">
        <v>299</v>
      </c>
      <c r="C469" s="1" t="s">
        <v>17</v>
      </c>
      <c r="D469" s="1" t="s">
        <v>20</v>
      </c>
      <c r="E469" s="1">
        <v>86.5</v>
      </c>
      <c r="F469" s="1">
        <v>94</v>
      </c>
      <c r="G469" s="1">
        <v>67.5</v>
      </c>
      <c r="H469" s="1">
        <v>65.5</v>
      </c>
      <c r="I469" s="1">
        <v>74.5</v>
      </c>
      <c r="J469" s="1">
        <f t="shared" si="14"/>
        <v>388</v>
      </c>
      <c r="K469" s="3">
        <f t="shared" si="15"/>
        <v>77.6</v>
      </c>
    </row>
    <row r="470" spans="1:11">
      <c r="A470" s="1">
        <v>10279</v>
      </c>
      <c r="B470" s="1" t="s">
        <v>300</v>
      </c>
      <c r="C470" s="1" t="s">
        <v>17</v>
      </c>
      <c r="D470" s="1" t="s">
        <v>20</v>
      </c>
      <c r="E470" s="1">
        <v>82</v>
      </c>
      <c r="F470" s="1">
        <v>82.5</v>
      </c>
      <c r="G470" s="1">
        <v>79</v>
      </c>
      <c r="H470" s="1">
        <v>77</v>
      </c>
      <c r="I470" s="1">
        <v>81</v>
      </c>
      <c r="J470" s="1">
        <f t="shared" si="14"/>
        <v>401.5</v>
      </c>
      <c r="K470" s="3">
        <f t="shared" si="15"/>
        <v>80.3</v>
      </c>
    </row>
    <row r="471" spans="1:11">
      <c r="A471" s="1">
        <v>10280</v>
      </c>
      <c r="B471" s="1" t="s">
        <v>301</v>
      </c>
      <c r="C471" s="1" t="s">
        <v>14</v>
      </c>
      <c r="D471" s="1" t="s">
        <v>20</v>
      </c>
      <c r="E471" s="1">
        <v>69</v>
      </c>
      <c r="F471" s="1">
        <v>83</v>
      </c>
      <c r="G471" s="1">
        <v>69.5</v>
      </c>
      <c r="H471" s="1">
        <v>67.5</v>
      </c>
      <c r="I471" s="1">
        <v>78</v>
      </c>
      <c r="J471" s="1">
        <f t="shared" si="14"/>
        <v>367</v>
      </c>
      <c r="K471" s="3">
        <f t="shared" si="15"/>
        <v>73.4</v>
      </c>
    </row>
    <row r="472" spans="1:11">
      <c r="A472" s="1">
        <v>10282</v>
      </c>
      <c r="B472" s="1" t="s">
        <v>303</v>
      </c>
      <c r="C472" s="1" t="s">
        <v>14</v>
      </c>
      <c r="D472" s="1" t="s">
        <v>20</v>
      </c>
      <c r="E472" s="1">
        <v>95</v>
      </c>
      <c r="F472" s="1">
        <v>87</v>
      </c>
      <c r="G472" s="1">
        <v>90.5</v>
      </c>
      <c r="H472" s="1">
        <v>88.5</v>
      </c>
      <c r="I472" s="1">
        <v>92</v>
      </c>
      <c r="J472" s="1">
        <f t="shared" si="14"/>
        <v>453</v>
      </c>
      <c r="K472" s="3">
        <f t="shared" si="15"/>
        <v>90.6</v>
      </c>
    </row>
    <row r="473" spans="1:11">
      <c r="A473" s="1">
        <v>10286</v>
      </c>
      <c r="B473" s="1" t="s">
        <v>307</v>
      </c>
      <c r="C473" s="1" t="s">
        <v>17</v>
      </c>
      <c r="D473" s="1" t="s">
        <v>20</v>
      </c>
      <c r="E473" s="1">
        <v>77</v>
      </c>
      <c r="F473" s="1">
        <v>57</v>
      </c>
      <c r="G473" s="1">
        <v>68.5</v>
      </c>
      <c r="H473" s="1">
        <v>66.5</v>
      </c>
      <c r="I473" s="1">
        <v>72</v>
      </c>
      <c r="J473" s="1">
        <f t="shared" si="14"/>
        <v>341</v>
      </c>
      <c r="K473" s="3">
        <f t="shared" si="15"/>
        <v>68.2</v>
      </c>
    </row>
    <row r="474" spans="1:11">
      <c r="A474" s="1">
        <v>10297</v>
      </c>
      <c r="B474" s="1" t="s">
        <v>318</v>
      </c>
      <c r="C474" s="1" t="s">
        <v>14</v>
      </c>
      <c r="D474" s="1" t="s">
        <v>20</v>
      </c>
      <c r="E474" s="1">
        <v>84.5</v>
      </c>
      <c r="F474" s="1">
        <v>58.5</v>
      </c>
      <c r="G474" s="1">
        <v>63</v>
      </c>
      <c r="H474" s="1">
        <v>61</v>
      </c>
      <c r="I474" s="1">
        <v>64</v>
      </c>
      <c r="J474" s="1">
        <f t="shared" si="14"/>
        <v>331</v>
      </c>
      <c r="K474" s="3">
        <f t="shared" si="15"/>
        <v>66.2</v>
      </c>
    </row>
    <row r="475" spans="1:11">
      <c r="A475" s="1">
        <v>10302</v>
      </c>
      <c r="B475" s="1" t="s">
        <v>323</v>
      </c>
      <c r="C475" s="1" t="s">
        <v>17</v>
      </c>
      <c r="D475" s="1" t="s">
        <v>20</v>
      </c>
      <c r="E475" s="1">
        <v>82.5</v>
      </c>
      <c r="F475" s="1">
        <v>88</v>
      </c>
      <c r="G475" s="1">
        <v>86</v>
      </c>
      <c r="H475" s="1">
        <v>84</v>
      </c>
      <c r="I475" s="1">
        <v>81.5</v>
      </c>
      <c r="J475" s="1">
        <f t="shared" si="14"/>
        <v>422</v>
      </c>
      <c r="K475" s="3">
        <f t="shared" si="15"/>
        <v>84.4</v>
      </c>
    </row>
    <row r="476" spans="1:11">
      <c r="A476" s="1">
        <v>10306</v>
      </c>
      <c r="B476" s="1" t="s">
        <v>327</v>
      </c>
      <c r="C476" s="1" t="s">
        <v>14</v>
      </c>
      <c r="D476" s="1" t="s">
        <v>20</v>
      </c>
      <c r="E476" s="1">
        <v>74.5</v>
      </c>
      <c r="F476" s="1">
        <v>71.5</v>
      </c>
      <c r="G476" s="1">
        <v>65</v>
      </c>
      <c r="H476" s="1">
        <v>63</v>
      </c>
      <c r="I476" s="1">
        <v>72</v>
      </c>
      <c r="J476" s="1">
        <f t="shared" si="14"/>
        <v>346</v>
      </c>
      <c r="K476" s="3">
        <f t="shared" si="15"/>
        <v>69.2</v>
      </c>
    </row>
    <row r="477" spans="1:11">
      <c r="A477" s="1">
        <v>10310</v>
      </c>
      <c r="B477" s="1" t="s">
        <v>331</v>
      </c>
      <c r="C477" s="1" t="s">
        <v>17</v>
      </c>
      <c r="D477" s="1" t="s">
        <v>20</v>
      </c>
      <c r="E477" s="1">
        <v>77</v>
      </c>
      <c r="F477" s="1">
        <v>90</v>
      </c>
      <c r="G477" s="1">
        <v>76</v>
      </c>
      <c r="H477" s="1">
        <v>74</v>
      </c>
      <c r="I477" s="1">
        <v>74</v>
      </c>
      <c r="J477" s="1">
        <f t="shared" si="14"/>
        <v>391</v>
      </c>
      <c r="K477" s="3">
        <f t="shared" si="15"/>
        <v>78.2</v>
      </c>
    </row>
    <row r="478" spans="1:11">
      <c r="A478" s="1">
        <v>10315</v>
      </c>
      <c r="B478" s="1" t="s">
        <v>336</v>
      </c>
      <c r="C478" s="1" t="s">
        <v>17</v>
      </c>
      <c r="D478" s="1" t="s">
        <v>20</v>
      </c>
      <c r="E478" s="1">
        <v>64.5</v>
      </c>
      <c r="F478" s="1">
        <v>62</v>
      </c>
      <c r="G478" s="1">
        <v>76.5</v>
      </c>
      <c r="H478" s="1">
        <v>74.5</v>
      </c>
      <c r="I478" s="1">
        <v>65.5</v>
      </c>
      <c r="J478" s="1">
        <f t="shared" si="14"/>
        <v>343</v>
      </c>
      <c r="K478" s="3">
        <f t="shared" si="15"/>
        <v>68.6</v>
      </c>
    </row>
    <row r="479" spans="1:11">
      <c r="A479" s="1">
        <v>10321</v>
      </c>
      <c r="B479" s="1" t="s">
        <v>342</v>
      </c>
      <c r="C479" s="1" t="s">
        <v>14</v>
      </c>
      <c r="D479" s="1" t="s">
        <v>20</v>
      </c>
      <c r="E479" s="1">
        <v>71.5</v>
      </c>
      <c r="F479" s="1">
        <v>74</v>
      </c>
      <c r="G479" s="1">
        <v>67.5</v>
      </c>
      <c r="H479" s="1">
        <v>65.5</v>
      </c>
      <c r="I479" s="1">
        <v>65</v>
      </c>
      <c r="J479" s="1">
        <f t="shared" si="14"/>
        <v>343.5</v>
      </c>
      <c r="K479" s="3">
        <f t="shared" si="15"/>
        <v>68.7</v>
      </c>
    </row>
    <row r="480" spans="1:11">
      <c r="A480" s="1">
        <v>10335</v>
      </c>
      <c r="B480" s="1" t="s">
        <v>356</v>
      </c>
      <c r="C480" s="1" t="s">
        <v>14</v>
      </c>
      <c r="D480" s="1" t="s">
        <v>20</v>
      </c>
      <c r="E480" s="1">
        <v>69.5</v>
      </c>
      <c r="F480" s="1">
        <v>87</v>
      </c>
      <c r="G480" s="1">
        <v>79.5</v>
      </c>
      <c r="H480" s="1">
        <v>77.5</v>
      </c>
      <c r="I480" s="1">
        <v>88</v>
      </c>
      <c r="J480" s="1">
        <f t="shared" si="14"/>
        <v>401.5</v>
      </c>
      <c r="K480" s="3">
        <f t="shared" si="15"/>
        <v>80.3</v>
      </c>
    </row>
    <row r="481" spans="1:11">
      <c r="A481" s="1">
        <v>10338</v>
      </c>
      <c r="B481" s="1" t="s">
        <v>359</v>
      </c>
      <c r="C481" s="1" t="s">
        <v>17</v>
      </c>
      <c r="D481" s="1" t="s">
        <v>20</v>
      </c>
      <c r="E481" s="1">
        <v>85.5</v>
      </c>
      <c r="F481" s="1">
        <v>79</v>
      </c>
      <c r="G481" s="1">
        <v>83</v>
      </c>
      <c r="H481" s="1">
        <v>81</v>
      </c>
      <c r="I481" s="1">
        <v>75</v>
      </c>
      <c r="J481" s="1">
        <f t="shared" si="14"/>
        <v>403.5</v>
      </c>
      <c r="K481" s="3">
        <f t="shared" si="15"/>
        <v>80.7</v>
      </c>
    </row>
    <row r="482" spans="1:11">
      <c r="A482" s="1">
        <v>10347</v>
      </c>
      <c r="B482" s="1" t="s">
        <v>368</v>
      </c>
      <c r="C482" s="1" t="s">
        <v>14</v>
      </c>
      <c r="D482" s="1" t="s">
        <v>20</v>
      </c>
      <c r="E482" s="1">
        <v>75</v>
      </c>
      <c r="F482" s="1">
        <v>67.5</v>
      </c>
      <c r="G482" s="1">
        <v>71.5</v>
      </c>
      <c r="H482" s="1">
        <v>69.5</v>
      </c>
      <c r="I482" s="1">
        <v>59.5</v>
      </c>
      <c r="J482" s="1">
        <f t="shared" si="14"/>
        <v>343</v>
      </c>
      <c r="K482" s="3">
        <f t="shared" si="15"/>
        <v>68.6</v>
      </c>
    </row>
    <row r="483" spans="1:11">
      <c r="A483" s="1">
        <v>10356</v>
      </c>
      <c r="B483" s="1" t="s">
        <v>377</v>
      </c>
      <c r="C483" s="1" t="s">
        <v>17</v>
      </c>
      <c r="D483" s="1" t="s">
        <v>20</v>
      </c>
      <c r="E483" s="1">
        <v>66</v>
      </c>
      <c r="F483" s="1">
        <v>68.5</v>
      </c>
      <c r="G483" s="1">
        <v>83</v>
      </c>
      <c r="H483" s="1">
        <v>81</v>
      </c>
      <c r="I483" s="1">
        <v>93</v>
      </c>
      <c r="J483" s="1">
        <f t="shared" si="14"/>
        <v>391.5</v>
      </c>
      <c r="K483" s="3">
        <f t="shared" si="15"/>
        <v>78.3</v>
      </c>
    </row>
    <row r="484" spans="1:11">
      <c r="A484" s="1">
        <v>10359</v>
      </c>
      <c r="B484" s="1" t="s">
        <v>380</v>
      </c>
      <c r="C484" s="1" t="s">
        <v>14</v>
      </c>
      <c r="D484" s="1" t="s">
        <v>20</v>
      </c>
      <c r="E484" s="1">
        <v>85</v>
      </c>
      <c r="F484" s="1">
        <v>52</v>
      </c>
      <c r="G484" s="1">
        <v>97</v>
      </c>
      <c r="H484" s="1">
        <v>95</v>
      </c>
      <c r="I484" s="1">
        <v>89.5</v>
      </c>
      <c r="J484" s="1">
        <f t="shared" si="14"/>
        <v>418.5</v>
      </c>
      <c r="K484" s="3">
        <f t="shared" si="15"/>
        <v>83.7</v>
      </c>
    </row>
    <row r="485" spans="1:11">
      <c r="A485" s="1">
        <v>10365</v>
      </c>
      <c r="B485" s="1" t="s">
        <v>386</v>
      </c>
      <c r="C485" s="1" t="s">
        <v>14</v>
      </c>
      <c r="D485" s="1" t="s">
        <v>20</v>
      </c>
      <c r="E485" s="1">
        <v>78</v>
      </c>
      <c r="F485" s="1">
        <v>66</v>
      </c>
      <c r="G485" s="1">
        <v>91.5</v>
      </c>
      <c r="H485" s="1">
        <v>89.5</v>
      </c>
      <c r="I485" s="1">
        <v>90</v>
      </c>
      <c r="J485" s="1">
        <f t="shared" si="14"/>
        <v>415</v>
      </c>
      <c r="K485" s="3">
        <f t="shared" si="15"/>
        <v>83</v>
      </c>
    </row>
    <row r="486" spans="1:11">
      <c r="A486" s="1">
        <v>10371</v>
      </c>
      <c r="B486" s="1" t="s">
        <v>392</v>
      </c>
      <c r="C486" s="1" t="s">
        <v>14</v>
      </c>
      <c r="D486" s="1" t="s">
        <v>20</v>
      </c>
      <c r="E486" s="1">
        <v>80</v>
      </c>
      <c r="F486" s="1">
        <v>80.5</v>
      </c>
      <c r="G486" s="1">
        <v>76.5</v>
      </c>
      <c r="H486" s="1">
        <v>74.5</v>
      </c>
      <c r="I486" s="1">
        <v>73.5</v>
      </c>
      <c r="J486" s="1">
        <f t="shared" si="14"/>
        <v>385</v>
      </c>
      <c r="K486" s="3">
        <f t="shared" si="15"/>
        <v>77</v>
      </c>
    </row>
    <row r="487" spans="1:11">
      <c r="A487" s="1">
        <v>10379</v>
      </c>
      <c r="B487" s="1" t="s">
        <v>400</v>
      </c>
      <c r="C487" s="1" t="s">
        <v>17</v>
      </c>
      <c r="D487" s="1" t="s">
        <v>20</v>
      </c>
      <c r="E487" s="1">
        <v>96</v>
      </c>
      <c r="F487" s="1">
        <v>75</v>
      </c>
      <c r="G487" s="1">
        <v>77</v>
      </c>
      <c r="H487" s="1">
        <v>75</v>
      </c>
      <c r="I487" s="1">
        <v>87</v>
      </c>
      <c r="J487" s="1">
        <f t="shared" si="14"/>
        <v>410</v>
      </c>
      <c r="K487" s="3">
        <f t="shared" si="15"/>
        <v>82</v>
      </c>
    </row>
    <row r="488" spans="1:11">
      <c r="A488" s="1">
        <v>10388</v>
      </c>
      <c r="B488" s="1" t="s">
        <v>409</v>
      </c>
      <c r="C488" s="1" t="s">
        <v>17</v>
      </c>
      <c r="D488" s="1" t="s">
        <v>20</v>
      </c>
      <c r="E488" s="1">
        <v>68</v>
      </c>
      <c r="F488" s="1">
        <v>85</v>
      </c>
      <c r="G488" s="1">
        <v>87.5</v>
      </c>
      <c r="H488" s="1">
        <v>85.5</v>
      </c>
      <c r="I488" s="1">
        <v>83</v>
      </c>
      <c r="J488" s="1">
        <f t="shared" si="14"/>
        <v>409</v>
      </c>
      <c r="K488" s="3">
        <f t="shared" si="15"/>
        <v>81.8</v>
      </c>
    </row>
    <row r="489" spans="1:11">
      <c r="A489" s="1">
        <v>10402</v>
      </c>
      <c r="B489" s="1" t="s">
        <v>423</v>
      </c>
      <c r="C489" s="1" t="s">
        <v>14</v>
      </c>
      <c r="D489" s="1" t="s">
        <v>20</v>
      </c>
      <c r="E489" s="1">
        <v>87</v>
      </c>
      <c r="F489" s="1">
        <v>63</v>
      </c>
      <c r="G489" s="1">
        <v>79</v>
      </c>
      <c r="H489" s="1">
        <v>77</v>
      </c>
      <c r="I489" s="1">
        <v>84</v>
      </c>
      <c r="J489" s="1">
        <f t="shared" si="14"/>
        <v>390</v>
      </c>
      <c r="K489" s="3">
        <f t="shared" si="15"/>
        <v>78</v>
      </c>
    </row>
    <row r="490" spans="1:11">
      <c r="A490" s="1">
        <v>10406</v>
      </c>
      <c r="B490" s="1" t="s">
        <v>427</v>
      </c>
      <c r="C490" s="1" t="s">
        <v>14</v>
      </c>
      <c r="D490" s="1" t="s">
        <v>20</v>
      </c>
      <c r="E490" s="1">
        <v>70</v>
      </c>
      <c r="F490" s="1">
        <v>58.5</v>
      </c>
      <c r="G490" s="1">
        <v>91</v>
      </c>
      <c r="H490" s="1">
        <v>89</v>
      </c>
      <c r="I490" s="1">
        <v>70</v>
      </c>
      <c r="J490" s="1">
        <f t="shared" si="14"/>
        <v>378.5</v>
      </c>
      <c r="K490" s="3">
        <f t="shared" si="15"/>
        <v>75.7</v>
      </c>
    </row>
    <row r="491" spans="1:11">
      <c r="A491" s="1">
        <v>10419</v>
      </c>
      <c r="B491" s="1" t="s">
        <v>440</v>
      </c>
      <c r="C491" s="1" t="s">
        <v>14</v>
      </c>
      <c r="D491" s="1" t="s">
        <v>20</v>
      </c>
      <c r="E491" s="1">
        <v>93.5</v>
      </c>
      <c r="F491" s="1">
        <v>74</v>
      </c>
      <c r="G491" s="1">
        <v>78.5</v>
      </c>
      <c r="H491" s="1">
        <v>76.5</v>
      </c>
      <c r="I491" s="1">
        <v>84.5</v>
      </c>
      <c r="J491" s="1">
        <f t="shared" si="14"/>
        <v>407</v>
      </c>
      <c r="K491" s="3">
        <f t="shared" si="15"/>
        <v>81.4</v>
      </c>
    </row>
    <row r="492" spans="1:11">
      <c r="A492" s="1">
        <v>10423</v>
      </c>
      <c r="B492" s="1" t="s">
        <v>444</v>
      </c>
      <c r="C492" s="1" t="s">
        <v>14</v>
      </c>
      <c r="D492" s="1" t="s">
        <v>20</v>
      </c>
      <c r="E492" s="1">
        <v>80.5</v>
      </c>
      <c r="F492" s="1">
        <v>86</v>
      </c>
      <c r="G492" s="1">
        <v>63.5</v>
      </c>
      <c r="H492" s="1">
        <v>61.5</v>
      </c>
      <c r="I492" s="1">
        <v>79.5</v>
      </c>
      <c r="J492" s="1">
        <f t="shared" si="14"/>
        <v>371</v>
      </c>
      <c r="K492" s="3">
        <f t="shared" si="15"/>
        <v>74.2</v>
      </c>
    </row>
    <row r="493" spans="1:11">
      <c r="A493" s="1">
        <v>10430</v>
      </c>
      <c r="B493" s="1" t="s">
        <v>451</v>
      </c>
      <c r="C493" s="1" t="s">
        <v>14</v>
      </c>
      <c r="D493" s="1" t="s">
        <v>20</v>
      </c>
      <c r="E493" s="1">
        <v>83</v>
      </c>
      <c r="F493" s="1">
        <v>85</v>
      </c>
      <c r="G493" s="1">
        <v>64</v>
      </c>
      <c r="H493" s="1">
        <v>62</v>
      </c>
      <c r="I493" s="1">
        <v>82.5</v>
      </c>
      <c r="J493" s="1">
        <f t="shared" si="14"/>
        <v>376.5</v>
      </c>
      <c r="K493" s="3">
        <f t="shared" si="15"/>
        <v>75.3</v>
      </c>
    </row>
    <row r="494" spans="1:11">
      <c r="A494" s="1">
        <v>10434</v>
      </c>
      <c r="B494" s="1" t="s">
        <v>455</v>
      </c>
      <c r="C494" s="1" t="s">
        <v>14</v>
      </c>
      <c r="D494" s="1" t="s">
        <v>20</v>
      </c>
      <c r="E494" s="1">
        <v>73.5</v>
      </c>
      <c r="F494" s="1">
        <v>73.5</v>
      </c>
      <c r="G494" s="1">
        <v>79.5</v>
      </c>
      <c r="H494" s="1">
        <v>77.5</v>
      </c>
      <c r="I494" s="1">
        <v>79</v>
      </c>
      <c r="J494" s="1">
        <f t="shared" si="14"/>
        <v>383</v>
      </c>
      <c r="K494" s="3">
        <f t="shared" si="15"/>
        <v>76.6</v>
      </c>
    </row>
    <row r="495" spans="1:11">
      <c r="A495" s="1">
        <v>10439</v>
      </c>
      <c r="B495" s="1" t="s">
        <v>460</v>
      </c>
      <c r="C495" s="1" t="s">
        <v>14</v>
      </c>
      <c r="D495" s="1" t="s">
        <v>20</v>
      </c>
      <c r="E495" s="1">
        <v>66</v>
      </c>
      <c r="F495" s="1">
        <v>55.5</v>
      </c>
      <c r="G495" s="1">
        <v>64</v>
      </c>
      <c r="H495" s="1">
        <v>62</v>
      </c>
      <c r="I495" s="1">
        <v>78</v>
      </c>
      <c r="J495" s="1">
        <f t="shared" si="14"/>
        <v>325.5</v>
      </c>
      <c r="K495" s="3">
        <f t="shared" si="15"/>
        <v>65.1</v>
      </c>
    </row>
    <row r="496" spans="1:11">
      <c r="A496" s="1">
        <v>10445</v>
      </c>
      <c r="B496" s="1" t="s">
        <v>466</v>
      </c>
      <c r="C496" s="1" t="s">
        <v>17</v>
      </c>
      <c r="D496" s="1" t="s">
        <v>20</v>
      </c>
      <c r="E496" s="1">
        <v>70.5</v>
      </c>
      <c r="F496" s="1">
        <v>78</v>
      </c>
      <c r="G496" s="1">
        <v>78.5</v>
      </c>
      <c r="H496" s="1">
        <v>88</v>
      </c>
      <c r="I496" s="1">
        <v>90</v>
      </c>
      <c r="J496" s="1">
        <f t="shared" si="14"/>
        <v>405</v>
      </c>
      <c r="K496" s="3">
        <f t="shared" si="15"/>
        <v>81</v>
      </c>
    </row>
    <row r="497" spans="1:11">
      <c r="A497" s="1">
        <v>10456</v>
      </c>
      <c r="B497" s="1" t="s">
        <v>477</v>
      </c>
      <c r="C497" s="1" t="s">
        <v>17</v>
      </c>
      <c r="D497" s="1" t="s">
        <v>20</v>
      </c>
      <c r="E497" s="1">
        <v>84.5</v>
      </c>
      <c r="F497" s="1">
        <v>73</v>
      </c>
      <c r="G497" s="1">
        <v>80</v>
      </c>
      <c r="H497" s="1">
        <v>78</v>
      </c>
      <c r="I497" s="1">
        <v>84</v>
      </c>
      <c r="J497" s="1">
        <f t="shared" si="14"/>
        <v>399.5</v>
      </c>
      <c r="K497" s="3">
        <f t="shared" si="15"/>
        <v>79.9</v>
      </c>
    </row>
    <row r="498" spans="1:11">
      <c r="A498" s="1">
        <v>10460</v>
      </c>
      <c r="B498" s="1" t="s">
        <v>481</v>
      </c>
      <c r="C498" s="1" t="s">
        <v>14</v>
      </c>
      <c r="D498" s="1" t="s">
        <v>20</v>
      </c>
      <c r="E498" s="1">
        <v>65</v>
      </c>
      <c r="F498" s="1">
        <v>63.5</v>
      </c>
      <c r="G498" s="1">
        <v>71</v>
      </c>
      <c r="H498" s="1">
        <v>69</v>
      </c>
      <c r="I498" s="1">
        <v>72.5</v>
      </c>
      <c r="J498" s="1">
        <f t="shared" si="14"/>
        <v>341</v>
      </c>
      <c r="K498" s="3">
        <f t="shared" si="15"/>
        <v>68.2</v>
      </c>
    </row>
    <row r="499" spans="1:11">
      <c r="A499" s="1">
        <v>10471</v>
      </c>
      <c r="B499" s="1" t="s">
        <v>492</v>
      </c>
      <c r="C499" s="1" t="s">
        <v>17</v>
      </c>
      <c r="D499" s="1" t="s">
        <v>20</v>
      </c>
      <c r="E499" s="1">
        <v>72</v>
      </c>
      <c r="F499" s="1">
        <v>74.5</v>
      </c>
      <c r="G499" s="1">
        <v>65</v>
      </c>
      <c r="H499" s="1">
        <v>67</v>
      </c>
      <c r="I499" s="1">
        <v>62</v>
      </c>
      <c r="J499" s="1">
        <f t="shared" si="14"/>
        <v>340.5</v>
      </c>
      <c r="K499" s="3">
        <f t="shared" si="15"/>
        <v>68.1</v>
      </c>
    </row>
    <row r="500" spans="1:11">
      <c r="A500" s="1">
        <v>10474</v>
      </c>
      <c r="B500" s="1" t="s">
        <v>495</v>
      </c>
      <c r="C500" s="1" t="s">
        <v>14</v>
      </c>
      <c r="D500" s="1" t="s">
        <v>20</v>
      </c>
      <c r="E500" s="1">
        <v>62</v>
      </c>
      <c r="F500" s="1">
        <v>60</v>
      </c>
      <c r="G500" s="1">
        <v>56</v>
      </c>
      <c r="H500" s="1">
        <v>54</v>
      </c>
      <c r="I500" s="1">
        <v>86.5</v>
      </c>
      <c r="J500" s="1">
        <f t="shared" si="14"/>
        <v>318.5</v>
      </c>
      <c r="K500" s="3">
        <f t="shared" si="15"/>
        <v>63.7</v>
      </c>
    </row>
    <row r="501" spans="1:11">
      <c r="A501" s="1">
        <v>10476</v>
      </c>
      <c r="B501" s="1" t="s">
        <v>497</v>
      </c>
      <c r="C501" s="1" t="s">
        <v>14</v>
      </c>
      <c r="D501" s="1" t="s">
        <v>20</v>
      </c>
      <c r="E501" s="1">
        <v>88</v>
      </c>
      <c r="F501" s="1">
        <v>96.5</v>
      </c>
      <c r="G501" s="1">
        <v>90</v>
      </c>
      <c r="H501" s="1">
        <v>79.5</v>
      </c>
      <c r="I501" s="1">
        <v>68.5</v>
      </c>
      <c r="J501" s="1">
        <f t="shared" si="14"/>
        <v>422.5</v>
      </c>
      <c r="K501" s="3">
        <f t="shared" si="15"/>
        <v>84.5</v>
      </c>
    </row>
    <row r="502" spans="1:11">
      <c r="A502" s="1">
        <v>10480</v>
      </c>
      <c r="B502" s="1" t="s">
        <v>501</v>
      </c>
      <c r="C502" s="1" t="s">
        <v>17</v>
      </c>
      <c r="D502" s="1" t="s">
        <v>20</v>
      </c>
      <c r="E502" s="1">
        <v>81</v>
      </c>
      <c r="F502" s="1">
        <v>74</v>
      </c>
      <c r="G502" s="1">
        <v>75</v>
      </c>
      <c r="H502" s="1">
        <v>90</v>
      </c>
      <c r="I502" s="1">
        <v>89.5</v>
      </c>
      <c r="J502" s="1">
        <f t="shared" si="14"/>
        <v>409.5</v>
      </c>
      <c r="K502" s="3">
        <f t="shared" si="15"/>
        <v>81.9</v>
      </c>
    </row>
    <row r="503" spans="1:11">
      <c r="A503" s="1">
        <v>10481</v>
      </c>
      <c r="B503" s="1" t="s">
        <v>502</v>
      </c>
      <c r="C503" s="1" t="s">
        <v>17</v>
      </c>
      <c r="D503" s="1" t="s">
        <v>20</v>
      </c>
      <c r="E503" s="1">
        <v>95.5</v>
      </c>
      <c r="F503" s="1">
        <v>68.5</v>
      </c>
      <c r="G503" s="1">
        <v>77.5</v>
      </c>
      <c r="H503" s="1">
        <v>85</v>
      </c>
      <c r="I503" s="1">
        <v>81.5</v>
      </c>
      <c r="J503" s="1">
        <f t="shared" si="14"/>
        <v>408</v>
      </c>
      <c r="K503" s="3">
        <f t="shared" si="15"/>
        <v>81.6</v>
      </c>
    </row>
  </sheetData>
  <sortState ref="A2:K503">
    <sortCondition ref="D2:D503" customList="一班,二班,三班,四班,五班,六班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08"/>
  <sheetViews>
    <sheetView workbookViewId="0">
      <selection activeCell="B7" sqref="B7"/>
    </sheetView>
  </sheetViews>
  <sheetFormatPr defaultColWidth="9" defaultRowHeight="14"/>
  <cols>
    <col min="1" max="1" width="6.37272727272727" customWidth="1"/>
    <col min="2" max="2" width="7" customWidth="1"/>
    <col min="3" max="4" width="5.12727272727273" customWidth="1"/>
    <col min="5" max="6" width="8.87272727272727" customWidth="1"/>
    <col min="7" max="7" width="7" customWidth="1"/>
    <col min="8" max="8" width="10.8727272727273" customWidth="1"/>
    <col min="9" max="9" width="12.8727272727273" customWidth="1"/>
  </cols>
  <sheetData>
    <row r="1" spans="1:2">
      <c r="A1" t="s">
        <v>3</v>
      </c>
      <c r="B1" t="s">
        <v>4</v>
      </c>
    </row>
    <row r="2" spans="1:2">
      <c r="A2" t="s">
        <v>15</v>
      </c>
      <c r="B2" t="s">
        <v>527</v>
      </c>
    </row>
    <row r="3" spans="1:2">
      <c r="A3" t="s">
        <v>20</v>
      </c>
      <c r="B3" t="s">
        <v>527</v>
      </c>
    </row>
    <row r="6" spans="1:9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</row>
    <row r="7" hidden="1" spans="1:9">
      <c r="A7">
        <v>10001</v>
      </c>
      <c r="B7" t="s">
        <v>13</v>
      </c>
      <c r="C7" t="s">
        <v>14</v>
      </c>
      <c r="D7" t="s">
        <v>15</v>
      </c>
      <c r="E7">
        <v>91</v>
      </c>
      <c r="F7">
        <v>98</v>
      </c>
      <c r="G7">
        <v>94</v>
      </c>
      <c r="H7">
        <v>92</v>
      </c>
      <c r="I7">
        <v>82</v>
      </c>
    </row>
    <row r="8" hidden="1" spans="1:9">
      <c r="A8">
        <v>10002</v>
      </c>
      <c r="B8" t="s">
        <v>16</v>
      </c>
      <c r="C8" t="s">
        <v>17</v>
      </c>
      <c r="D8" t="s">
        <v>18</v>
      </c>
      <c r="E8">
        <v>87</v>
      </c>
      <c r="F8">
        <v>90</v>
      </c>
      <c r="G8">
        <v>97</v>
      </c>
      <c r="H8">
        <v>69.5</v>
      </c>
      <c r="I8">
        <v>88.5</v>
      </c>
    </row>
    <row r="9" hidden="1" spans="1:9">
      <c r="A9">
        <v>10003</v>
      </c>
      <c r="B9" t="s">
        <v>19</v>
      </c>
      <c r="C9" t="s">
        <v>14</v>
      </c>
      <c r="D9" t="s">
        <v>20</v>
      </c>
      <c r="E9">
        <v>66</v>
      </c>
      <c r="F9">
        <v>66</v>
      </c>
      <c r="G9">
        <v>74</v>
      </c>
      <c r="H9">
        <v>72</v>
      </c>
      <c r="I9">
        <v>83</v>
      </c>
    </row>
    <row r="10" hidden="1" spans="1:9">
      <c r="A10">
        <v>10004</v>
      </c>
      <c r="B10" t="s">
        <v>22</v>
      </c>
      <c r="C10" t="s">
        <v>14</v>
      </c>
      <c r="D10" t="s">
        <v>23</v>
      </c>
      <c r="E10">
        <v>90.5</v>
      </c>
      <c r="F10">
        <v>50</v>
      </c>
      <c r="G10">
        <v>88</v>
      </c>
      <c r="H10">
        <v>72</v>
      </c>
      <c r="I10">
        <v>91.5</v>
      </c>
    </row>
    <row r="11" hidden="1" spans="1:9">
      <c r="A11">
        <v>10005</v>
      </c>
      <c r="B11" t="s">
        <v>25</v>
      </c>
      <c r="C11" t="s">
        <v>14</v>
      </c>
      <c r="D11" t="s">
        <v>15</v>
      </c>
      <c r="E11">
        <v>73.5</v>
      </c>
      <c r="F11">
        <v>78</v>
      </c>
      <c r="G11">
        <v>73</v>
      </c>
      <c r="H11">
        <v>71</v>
      </c>
      <c r="I11">
        <v>77.5</v>
      </c>
    </row>
    <row r="12" hidden="1" spans="1:9">
      <c r="A12">
        <v>10006</v>
      </c>
      <c r="B12" t="s">
        <v>27</v>
      </c>
      <c r="C12" t="s">
        <v>17</v>
      </c>
      <c r="D12" t="s">
        <v>15</v>
      </c>
      <c r="E12">
        <v>78</v>
      </c>
      <c r="F12">
        <v>86.5</v>
      </c>
      <c r="G12">
        <v>67</v>
      </c>
      <c r="H12">
        <v>65</v>
      </c>
      <c r="I12">
        <v>68</v>
      </c>
    </row>
    <row r="13" hidden="1" spans="1:9">
      <c r="A13">
        <v>10007</v>
      </c>
      <c r="B13" t="s">
        <v>28</v>
      </c>
      <c r="C13" t="s">
        <v>17</v>
      </c>
      <c r="D13" t="s">
        <v>20</v>
      </c>
      <c r="E13">
        <v>84</v>
      </c>
      <c r="F13">
        <v>70.5</v>
      </c>
      <c r="G13">
        <v>75</v>
      </c>
      <c r="H13">
        <v>73</v>
      </c>
      <c r="I13">
        <v>75</v>
      </c>
    </row>
    <row r="14" hidden="1" spans="1:9">
      <c r="A14">
        <v>10008</v>
      </c>
      <c r="B14" t="s">
        <v>29</v>
      </c>
      <c r="C14" t="s">
        <v>17</v>
      </c>
      <c r="D14" t="s">
        <v>30</v>
      </c>
      <c r="E14">
        <v>86.5</v>
      </c>
      <c r="F14">
        <v>65</v>
      </c>
      <c r="G14">
        <v>62.5</v>
      </c>
      <c r="H14">
        <v>60.5</v>
      </c>
      <c r="I14">
        <v>58.5</v>
      </c>
    </row>
    <row r="15" hidden="1" spans="1:9">
      <c r="A15">
        <v>10009</v>
      </c>
      <c r="B15" t="s">
        <v>31</v>
      </c>
      <c r="C15" t="s">
        <v>17</v>
      </c>
      <c r="D15" t="s">
        <v>23</v>
      </c>
      <c r="E15">
        <v>90.5</v>
      </c>
      <c r="F15">
        <v>88</v>
      </c>
      <c r="G15">
        <v>95</v>
      </c>
      <c r="H15">
        <v>90</v>
      </c>
      <c r="I15">
        <v>94.5</v>
      </c>
    </row>
    <row r="16" hidden="1" spans="1:9">
      <c r="A16">
        <v>10010</v>
      </c>
      <c r="B16" t="s">
        <v>32</v>
      </c>
      <c r="C16" t="s">
        <v>14</v>
      </c>
      <c r="D16" t="s">
        <v>15</v>
      </c>
      <c r="E16">
        <v>77</v>
      </c>
      <c r="F16">
        <v>90</v>
      </c>
      <c r="G16">
        <v>74.5</v>
      </c>
      <c r="H16">
        <v>72.5</v>
      </c>
      <c r="I16">
        <v>77.5</v>
      </c>
    </row>
    <row r="17" hidden="1" spans="1:9">
      <c r="A17">
        <v>10011</v>
      </c>
      <c r="B17" t="s">
        <v>33</v>
      </c>
      <c r="C17" t="s">
        <v>14</v>
      </c>
      <c r="D17" t="s">
        <v>30</v>
      </c>
      <c r="E17">
        <v>73.5</v>
      </c>
      <c r="F17">
        <v>70</v>
      </c>
      <c r="G17">
        <v>80</v>
      </c>
      <c r="H17">
        <v>82.5</v>
      </c>
      <c r="I17">
        <v>84</v>
      </c>
    </row>
    <row r="18" hidden="1" spans="1:9">
      <c r="A18">
        <v>10012</v>
      </c>
      <c r="B18" t="s">
        <v>34</v>
      </c>
      <c r="C18" t="s">
        <v>17</v>
      </c>
      <c r="D18" t="s">
        <v>23</v>
      </c>
      <c r="E18">
        <v>94</v>
      </c>
      <c r="F18">
        <v>90</v>
      </c>
      <c r="G18">
        <v>96</v>
      </c>
      <c r="H18">
        <v>83.5</v>
      </c>
      <c r="I18">
        <v>93</v>
      </c>
    </row>
    <row r="19" hidden="1" spans="1:9">
      <c r="A19">
        <v>10013</v>
      </c>
      <c r="B19" t="s">
        <v>35</v>
      </c>
      <c r="C19" t="s">
        <v>17</v>
      </c>
      <c r="D19" t="s">
        <v>20</v>
      </c>
      <c r="E19">
        <v>65</v>
      </c>
      <c r="F19">
        <v>64</v>
      </c>
      <c r="G19">
        <v>75.5</v>
      </c>
      <c r="H19">
        <v>73.5</v>
      </c>
      <c r="I19">
        <v>83.5</v>
      </c>
    </row>
    <row r="20" hidden="1" spans="1:9">
      <c r="A20">
        <v>10014</v>
      </c>
      <c r="B20" t="s">
        <v>36</v>
      </c>
      <c r="C20" t="s">
        <v>17</v>
      </c>
      <c r="D20" t="s">
        <v>37</v>
      </c>
      <c r="E20">
        <v>67</v>
      </c>
      <c r="F20">
        <v>86</v>
      </c>
      <c r="G20">
        <v>70.5</v>
      </c>
      <c r="H20">
        <v>68.5</v>
      </c>
      <c r="I20">
        <v>62.5</v>
      </c>
    </row>
    <row r="21" hidden="1" spans="1:9">
      <c r="A21">
        <v>10015</v>
      </c>
      <c r="B21" t="s">
        <v>38</v>
      </c>
      <c r="C21" t="s">
        <v>14</v>
      </c>
      <c r="D21" t="s">
        <v>15</v>
      </c>
      <c r="E21">
        <v>82.5</v>
      </c>
      <c r="F21">
        <v>72</v>
      </c>
      <c r="G21">
        <v>67.5</v>
      </c>
      <c r="H21">
        <v>65.5</v>
      </c>
      <c r="I21">
        <v>77.5</v>
      </c>
    </row>
    <row r="22" hidden="1" spans="1:9">
      <c r="A22">
        <v>10016</v>
      </c>
      <c r="B22" t="s">
        <v>39</v>
      </c>
      <c r="C22" t="s">
        <v>17</v>
      </c>
      <c r="D22" t="s">
        <v>18</v>
      </c>
      <c r="E22">
        <v>89</v>
      </c>
      <c r="F22">
        <v>72</v>
      </c>
      <c r="G22">
        <v>79</v>
      </c>
      <c r="H22">
        <v>87</v>
      </c>
      <c r="I22">
        <v>97</v>
      </c>
    </row>
    <row r="23" hidden="1" spans="1:9">
      <c r="A23">
        <v>10017</v>
      </c>
      <c r="B23" t="s">
        <v>40</v>
      </c>
      <c r="C23" t="s">
        <v>17</v>
      </c>
      <c r="D23" t="s">
        <v>30</v>
      </c>
      <c r="E23">
        <v>80</v>
      </c>
      <c r="F23">
        <v>90</v>
      </c>
      <c r="G23">
        <v>83</v>
      </c>
      <c r="H23">
        <v>81</v>
      </c>
      <c r="I23">
        <v>84</v>
      </c>
    </row>
    <row r="24" hidden="1" spans="1:9">
      <c r="A24">
        <v>10018</v>
      </c>
      <c r="B24" t="s">
        <v>41</v>
      </c>
      <c r="C24" t="s">
        <v>14</v>
      </c>
      <c r="D24" t="s">
        <v>23</v>
      </c>
      <c r="E24">
        <v>73</v>
      </c>
      <c r="F24">
        <v>76</v>
      </c>
      <c r="G24">
        <v>56</v>
      </c>
      <c r="H24">
        <v>54</v>
      </c>
      <c r="I24">
        <v>73</v>
      </c>
    </row>
    <row r="25" hidden="1" spans="1:9">
      <c r="A25">
        <v>10019</v>
      </c>
      <c r="B25" t="s">
        <v>42</v>
      </c>
      <c r="C25" t="s">
        <v>14</v>
      </c>
      <c r="D25" t="s">
        <v>30</v>
      </c>
      <c r="E25">
        <v>84</v>
      </c>
      <c r="F25">
        <v>73</v>
      </c>
      <c r="G25">
        <v>70</v>
      </c>
      <c r="H25">
        <v>76</v>
      </c>
      <c r="I25">
        <v>88</v>
      </c>
    </row>
    <row r="26" hidden="1" spans="1:9">
      <c r="A26">
        <v>10020</v>
      </c>
      <c r="B26" t="s">
        <v>43</v>
      </c>
      <c r="C26" t="s">
        <v>17</v>
      </c>
      <c r="D26" t="s">
        <v>30</v>
      </c>
      <c r="E26">
        <v>71</v>
      </c>
      <c r="F26">
        <v>82.5</v>
      </c>
      <c r="G26">
        <v>89</v>
      </c>
      <c r="H26">
        <v>87</v>
      </c>
      <c r="I26">
        <v>79</v>
      </c>
    </row>
    <row r="27" hidden="1" spans="1:9">
      <c r="A27">
        <v>10021</v>
      </c>
      <c r="B27" t="s">
        <v>44</v>
      </c>
      <c r="C27" t="s">
        <v>17</v>
      </c>
      <c r="D27" t="s">
        <v>20</v>
      </c>
      <c r="E27">
        <v>91</v>
      </c>
      <c r="F27">
        <v>68.5</v>
      </c>
      <c r="G27">
        <v>64.5</v>
      </c>
      <c r="H27">
        <v>62.5</v>
      </c>
      <c r="I27">
        <v>76.5</v>
      </c>
    </row>
    <row r="28" hidden="1" spans="1:9">
      <c r="A28">
        <v>10022</v>
      </c>
      <c r="B28" t="s">
        <v>45</v>
      </c>
      <c r="C28" t="s">
        <v>17</v>
      </c>
      <c r="D28" t="s">
        <v>15</v>
      </c>
      <c r="E28">
        <v>78.5</v>
      </c>
      <c r="F28">
        <v>73</v>
      </c>
      <c r="G28">
        <v>83</v>
      </c>
      <c r="H28">
        <v>81</v>
      </c>
      <c r="I28">
        <v>73</v>
      </c>
    </row>
    <row r="29" hidden="1" spans="1:9">
      <c r="A29">
        <v>10023</v>
      </c>
      <c r="B29" t="s">
        <v>46</v>
      </c>
      <c r="C29" t="s">
        <v>17</v>
      </c>
      <c r="D29" t="s">
        <v>18</v>
      </c>
      <c r="E29">
        <v>72.5</v>
      </c>
      <c r="F29">
        <v>74.5</v>
      </c>
      <c r="G29">
        <v>72.5</v>
      </c>
      <c r="H29">
        <v>70.5</v>
      </c>
      <c r="I29">
        <v>67</v>
      </c>
    </row>
    <row r="30" hidden="1" spans="1:9">
      <c r="A30">
        <v>10024</v>
      </c>
      <c r="B30" t="s">
        <v>47</v>
      </c>
      <c r="C30" t="s">
        <v>17</v>
      </c>
      <c r="D30" t="s">
        <v>23</v>
      </c>
      <c r="E30">
        <v>78</v>
      </c>
      <c r="F30">
        <v>61.5</v>
      </c>
      <c r="G30">
        <v>66</v>
      </c>
      <c r="H30">
        <v>64</v>
      </c>
      <c r="I30">
        <v>69</v>
      </c>
    </row>
    <row r="31" hidden="1" spans="1:9">
      <c r="A31">
        <v>10025</v>
      </c>
      <c r="B31" t="s">
        <v>48</v>
      </c>
      <c r="C31" t="s">
        <v>17</v>
      </c>
      <c r="D31" t="s">
        <v>30</v>
      </c>
      <c r="E31">
        <v>93</v>
      </c>
      <c r="F31">
        <v>86</v>
      </c>
      <c r="G31">
        <v>94.5</v>
      </c>
      <c r="H31">
        <v>92.5</v>
      </c>
      <c r="I31">
        <v>93</v>
      </c>
    </row>
    <row r="32" hidden="1" spans="1:9">
      <c r="A32">
        <v>10026</v>
      </c>
      <c r="B32" t="s">
        <v>49</v>
      </c>
      <c r="C32" t="s">
        <v>14</v>
      </c>
      <c r="D32" t="s">
        <v>23</v>
      </c>
      <c r="E32">
        <v>71.5</v>
      </c>
      <c r="F32">
        <v>88</v>
      </c>
      <c r="G32">
        <v>81</v>
      </c>
      <c r="H32">
        <v>85</v>
      </c>
      <c r="I32">
        <v>82.5</v>
      </c>
    </row>
    <row r="33" hidden="1" spans="1:9">
      <c r="A33">
        <v>10027</v>
      </c>
      <c r="B33" t="s">
        <v>50</v>
      </c>
      <c r="C33" t="s">
        <v>17</v>
      </c>
      <c r="D33" t="s">
        <v>15</v>
      </c>
      <c r="E33">
        <v>63.5</v>
      </c>
      <c r="F33">
        <v>77.5</v>
      </c>
      <c r="G33">
        <v>84.5</v>
      </c>
      <c r="H33">
        <v>82.5</v>
      </c>
      <c r="I33">
        <v>80</v>
      </c>
    </row>
    <row r="34" hidden="1" spans="1:9">
      <c r="A34">
        <v>10028</v>
      </c>
      <c r="B34" t="s">
        <v>51</v>
      </c>
      <c r="C34" t="s">
        <v>14</v>
      </c>
      <c r="D34" t="s">
        <v>20</v>
      </c>
      <c r="E34">
        <v>69</v>
      </c>
      <c r="F34">
        <v>68.5</v>
      </c>
      <c r="G34">
        <v>92</v>
      </c>
      <c r="H34">
        <v>90</v>
      </c>
      <c r="I34">
        <v>94.5</v>
      </c>
    </row>
    <row r="35" hidden="1" spans="1:9">
      <c r="A35">
        <v>10029</v>
      </c>
      <c r="B35" t="s">
        <v>52</v>
      </c>
      <c r="C35" t="s">
        <v>17</v>
      </c>
      <c r="D35" t="s">
        <v>15</v>
      </c>
      <c r="E35">
        <v>52.5</v>
      </c>
      <c r="F35">
        <v>50</v>
      </c>
      <c r="G35">
        <v>64</v>
      </c>
      <c r="H35">
        <v>62</v>
      </c>
      <c r="I35">
        <v>60</v>
      </c>
    </row>
    <row r="36" hidden="1" spans="1:9">
      <c r="A36">
        <v>10030</v>
      </c>
      <c r="B36" t="s">
        <v>53</v>
      </c>
      <c r="C36" t="s">
        <v>14</v>
      </c>
      <c r="D36" t="s">
        <v>20</v>
      </c>
      <c r="E36">
        <v>69</v>
      </c>
      <c r="F36">
        <v>75</v>
      </c>
      <c r="G36">
        <v>89</v>
      </c>
      <c r="H36">
        <v>80</v>
      </c>
      <c r="I36">
        <v>75</v>
      </c>
    </row>
    <row r="37" hidden="1" spans="1:9">
      <c r="A37">
        <v>10031</v>
      </c>
      <c r="B37" t="s">
        <v>54</v>
      </c>
      <c r="C37" t="s">
        <v>17</v>
      </c>
      <c r="D37" t="s">
        <v>37</v>
      </c>
      <c r="E37">
        <v>77.5</v>
      </c>
      <c r="F37">
        <v>75.5</v>
      </c>
      <c r="G37">
        <v>79</v>
      </c>
      <c r="H37">
        <v>77</v>
      </c>
      <c r="I37">
        <v>80</v>
      </c>
    </row>
    <row r="38" hidden="1" spans="1:9">
      <c r="A38">
        <v>10032</v>
      </c>
      <c r="B38" t="s">
        <v>55</v>
      </c>
      <c r="C38" t="s">
        <v>17</v>
      </c>
      <c r="D38" t="s">
        <v>20</v>
      </c>
      <c r="E38">
        <v>77</v>
      </c>
      <c r="F38">
        <v>85.5</v>
      </c>
      <c r="G38">
        <v>63.5</v>
      </c>
      <c r="H38">
        <v>61.5</v>
      </c>
      <c r="I38">
        <v>72</v>
      </c>
    </row>
    <row r="39" hidden="1" spans="1:9">
      <c r="A39">
        <v>10033</v>
      </c>
      <c r="B39" t="s">
        <v>56</v>
      </c>
      <c r="C39" t="s">
        <v>14</v>
      </c>
      <c r="D39" t="s">
        <v>20</v>
      </c>
      <c r="E39">
        <v>85</v>
      </c>
      <c r="F39">
        <v>95</v>
      </c>
      <c r="G39">
        <v>94</v>
      </c>
      <c r="H39">
        <v>86.5</v>
      </c>
      <c r="I39">
        <v>92</v>
      </c>
    </row>
    <row r="40" hidden="1" spans="1:9">
      <c r="A40">
        <v>10034</v>
      </c>
      <c r="B40" t="s">
        <v>57</v>
      </c>
      <c r="C40" t="s">
        <v>17</v>
      </c>
      <c r="D40" t="s">
        <v>20</v>
      </c>
      <c r="E40">
        <v>80</v>
      </c>
      <c r="F40">
        <v>76.5</v>
      </c>
      <c r="G40">
        <v>89.5</v>
      </c>
      <c r="H40">
        <v>87.5</v>
      </c>
      <c r="I40">
        <v>80</v>
      </c>
    </row>
    <row r="41" hidden="1" spans="1:9">
      <c r="A41">
        <v>10035</v>
      </c>
      <c r="B41" t="s">
        <v>58</v>
      </c>
      <c r="C41" t="s">
        <v>17</v>
      </c>
      <c r="D41" t="s">
        <v>20</v>
      </c>
      <c r="E41">
        <v>65</v>
      </c>
      <c r="F41">
        <v>60</v>
      </c>
      <c r="G41">
        <v>50</v>
      </c>
      <c r="H41">
        <v>52.5</v>
      </c>
      <c r="I41">
        <v>62</v>
      </c>
    </row>
    <row r="42" hidden="1" spans="1:9">
      <c r="A42">
        <v>10036</v>
      </c>
      <c r="B42" t="s">
        <v>59</v>
      </c>
      <c r="C42" t="s">
        <v>17</v>
      </c>
      <c r="D42" t="s">
        <v>15</v>
      </c>
      <c r="E42">
        <v>93</v>
      </c>
      <c r="F42">
        <v>82</v>
      </c>
      <c r="G42">
        <v>97</v>
      </c>
      <c r="H42">
        <v>97</v>
      </c>
      <c r="I42">
        <v>92</v>
      </c>
    </row>
    <row r="43" hidden="1" spans="1:9">
      <c r="A43">
        <v>10037</v>
      </c>
      <c r="B43" t="s">
        <v>60</v>
      </c>
      <c r="C43" t="s">
        <v>17</v>
      </c>
      <c r="D43" t="s">
        <v>30</v>
      </c>
      <c r="E43">
        <v>76.5</v>
      </c>
      <c r="F43">
        <v>79.5</v>
      </c>
      <c r="G43">
        <v>68</v>
      </c>
      <c r="H43">
        <v>66</v>
      </c>
      <c r="I43">
        <v>71.5</v>
      </c>
    </row>
    <row r="44" hidden="1" spans="1:9">
      <c r="A44">
        <v>10038</v>
      </c>
      <c r="B44" t="s">
        <v>61</v>
      </c>
      <c r="C44" t="s">
        <v>14</v>
      </c>
      <c r="D44" t="s">
        <v>30</v>
      </c>
      <c r="E44">
        <v>77</v>
      </c>
      <c r="F44">
        <v>77</v>
      </c>
      <c r="G44">
        <v>73</v>
      </c>
      <c r="H44">
        <v>71</v>
      </c>
      <c r="I44">
        <v>73</v>
      </c>
    </row>
    <row r="45" hidden="1" spans="1:9">
      <c r="A45">
        <v>10039</v>
      </c>
      <c r="B45" t="s">
        <v>62</v>
      </c>
      <c r="C45" t="s">
        <v>17</v>
      </c>
      <c r="D45" t="s">
        <v>20</v>
      </c>
      <c r="E45">
        <v>85.5</v>
      </c>
      <c r="F45">
        <v>91.5</v>
      </c>
      <c r="G45">
        <v>56.5</v>
      </c>
      <c r="H45">
        <v>54.5</v>
      </c>
      <c r="I45">
        <v>76.5</v>
      </c>
    </row>
    <row r="46" hidden="1" spans="1:9">
      <c r="A46">
        <v>10040</v>
      </c>
      <c r="B46" t="s">
        <v>63</v>
      </c>
      <c r="C46" t="s">
        <v>14</v>
      </c>
      <c r="D46" t="s">
        <v>18</v>
      </c>
      <c r="E46">
        <v>85.5</v>
      </c>
      <c r="F46">
        <v>66</v>
      </c>
      <c r="G46">
        <v>74</v>
      </c>
      <c r="H46">
        <v>72</v>
      </c>
      <c r="I46">
        <v>65.5</v>
      </c>
    </row>
    <row r="47" hidden="1" spans="1:9">
      <c r="A47">
        <v>10041</v>
      </c>
      <c r="B47" t="s">
        <v>64</v>
      </c>
      <c r="C47" t="s">
        <v>14</v>
      </c>
      <c r="D47" t="s">
        <v>15</v>
      </c>
      <c r="E47">
        <v>73.5</v>
      </c>
      <c r="F47">
        <v>69</v>
      </c>
      <c r="G47">
        <v>88.5</v>
      </c>
      <c r="H47">
        <v>86.5</v>
      </c>
      <c r="I47">
        <v>74</v>
      </c>
    </row>
    <row r="48" hidden="1" spans="1:9">
      <c r="A48">
        <v>10042</v>
      </c>
      <c r="B48" t="s">
        <v>65</v>
      </c>
      <c r="C48" t="s">
        <v>14</v>
      </c>
      <c r="D48" t="s">
        <v>18</v>
      </c>
      <c r="E48">
        <v>79.5</v>
      </c>
      <c r="F48">
        <v>81.5</v>
      </c>
      <c r="G48">
        <v>71.5</v>
      </c>
      <c r="H48">
        <v>69.5</v>
      </c>
      <c r="I48">
        <v>62</v>
      </c>
    </row>
    <row r="49" hidden="1" spans="1:9">
      <c r="A49">
        <v>10043</v>
      </c>
      <c r="B49" t="s">
        <v>66</v>
      </c>
      <c r="C49" t="s">
        <v>14</v>
      </c>
      <c r="D49" t="s">
        <v>23</v>
      </c>
      <c r="E49">
        <v>80.5</v>
      </c>
      <c r="F49">
        <v>90</v>
      </c>
      <c r="G49">
        <v>63.5</v>
      </c>
      <c r="H49">
        <v>85</v>
      </c>
      <c r="I49">
        <v>92.5</v>
      </c>
    </row>
    <row r="50" hidden="1" spans="1:9">
      <c r="A50">
        <v>10044</v>
      </c>
      <c r="B50" t="s">
        <v>67</v>
      </c>
      <c r="C50" t="s">
        <v>14</v>
      </c>
      <c r="D50" t="s">
        <v>20</v>
      </c>
      <c r="E50">
        <v>71.5</v>
      </c>
      <c r="F50">
        <v>60</v>
      </c>
      <c r="G50">
        <v>52</v>
      </c>
      <c r="H50">
        <v>50</v>
      </c>
      <c r="I50">
        <v>58</v>
      </c>
    </row>
    <row r="51" hidden="1" spans="1:9">
      <c r="A51">
        <v>10045</v>
      </c>
      <c r="B51" t="s">
        <v>68</v>
      </c>
      <c r="C51" t="s">
        <v>14</v>
      </c>
      <c r="D51" t="s">
        <v>37</v>
      </c>
      <c r="E51">
        <v>60.5</v>
      </c>
      <c r="F51">
        <v>80</v>
      </c>
      <c r="G51">
        <v>80.5</v>
      </c>
      <c r="H51">
        <v>78.5</v>
      </c>
      <c r="I51">
        <v>76</v>
      </c>
    </row>
    <row r="52" hidden="1" spans="1:9">
      <c r="A52">
        <v>10046</v>
      </c>
      <c r="B52" t="s">
        <v>69</v>
      </c>
      <c r="C52" t="s">
        <v>17</v>
      </c>
      <c r="D52" t="s">
        <v>37</v>
      </c>
      <c r="E52">
        <v>92</v>
      </c>
      <c r="F52">
        <v>93</v>
      </c>
      <c r="G52">
        <v>92</v>
      </c>
      <c r="H52">
        <v>63.5</v>
      </c>
      <c r="I52">
        <v>65</v>
      </c>
    </row>
    <row r="53" hidden="1" spans="1:9">
      <c r="A53">
        <v>10047</v>
      </c>
      <c r="B53" t="s">
        <v>70</v>
      </c>
      <c r="C53" t="s">
        <v>17</v>
      </c>
      <c r="D53" t="s">
        <v>23</v>
      </c>
      <c r="E53">
        <v>64.5</v>
      </c>
      <c r="F53">
        <v>66.5</v>
      </c>
      <c r="G53">
        <v>75.5</v>
      </c>
      <c r="H53">
        <v>73.5</v>
      </c>
      <c r="I53">
        <v>90</v>
      </c>
    </row>
    <row r="54" hidden="1" spans="1:9">
      <c r="A54">
        <v>10048</v>
      </c>
      <c r="B54" t="s">
        <v>71</v>
      </c>
      <c r="C54" t="s">
        <v>14</v>
      </c>
      <c r="D54" t="s">
        <v>18</v>
      </c>
      <c r="E54">
        <v>65.5</v>
      </c>
      <c r="F54">
        <v>74</v>
      </c>
      <c r="G54">
        <v>69</v>
      </c>
      <c r="H54">
        <v>67</v>
      </c>
      <c r="I54">
        <v>70</v>
      </c>
    </row>
    <row r="55" hidden="1" spans="1:9">
      <c r="A55">
        <v>10049</v>
      </c>
      <c r="B55" t="s">
        <v>72</v>
      </c>
      <c r="C55" t="s">
        <v>14</v>
      </c>
      <c r="D55" t="s">
        <v>37</v>
      </c>
      <c r="E55">
        <v>63.5</v>
      </c>
      <c r="F55">
        <v>83</v>
      </c>
      <c r="G55">
        <v>63.5</v>
      </c>
      <c r="H55">
        <v>61.5</v>
      </c>
      <c r="I55">
        <v>70</v>
      </c>
    </row>
    <row r="56" hidden="1" spans="1:9">
      <c r="A56">
        <v>10050</v>
      </c>
      <c r="B56" t="s">
        <v>73</v>
      </c>
      <c r="C56" t="s">
        <v>17</v>
      </c>
      <c r="D56" t="s">
        <v>18</v>
      </c>
      <c r="E56">
        <v>78</v>
      </c>
      <c r="F56">
        <v>74</v>
      </c>
      <c r="G56">
        <v>78</v>
      </c>
      <c r="H56">
        <v>76</v>
      </c>
      <c r="I56">
        <v>74</v>
      </c>
    </row>
    <row r="57" hidden="1" spans="1:9">
      <c r="A57">
        <v>10051</v>
      </c>
      <c r="B57" t="s">
        <v>74</v>
      </c>
      <c r="C57" t="s">
        <v>14</v>
      </c>
      <c r="D57" t="s">
        <v>18</v>
      </c>
      <c r="E57">
        <v>91</v>
      </c>
      <c r="F57">
        <v>86</v>
      </c>
      <c r="G57">
        <v>73</v>
      </c>
      <c r="H57">
        <v>71</v>
      </c>
      <c r="I57">
        <v>67.5</v>
      </c>
    </row>
    <row r="58" hidden="1" spans="1:9">
      <c r="A58">
        <v>10052</v>
      </c>
      <c r="B58" t="s">
        <v>75</v>
      </c>
      <c r="C58" t="s">
        <v>17</v>
      </c>
      <c r="D58" t="s">
        <v>23</v>
      </c>
      <c r="E58">
        <v>77.5</v>
      </c>
      <c r="F58">
        <v>72.5</v>
      </c>
      <c r="G58">
        <v>73.5</v>
      </c>
      <c r="H58">
        <v>71.5</v>
      </c>
      <c r="I58">
        <v>65</v>
      </c>
    </row>
    <row r="59" hidden="1" spans="1:9">
      <c r="A59">
        <v>10053</v>
      </c>
      <c r="B59" t="s">
        <v>76</v>
      </c>
      <c r="C59" t="s">
        <v>17</v>
      </c>
      <c r="D59" t="s">
        <v>15</v>
      </c>
      <c r="E59">
        <v>76</v>
      </c>
      <c r="F59">
        <v>71.5</v>
      </c>
      <c r="G59">
        <v>76</v>
      </c>
      <c r="H59">
        <v>74</v>
      </c>
      <c r="I59">
        <v>72</v>
      </c>
    </row>
    <row r="60" hidden="1" spans="1:9">
      <c r="A60">
        <v>10054</v>
      </c>
      <c r="B60" t="s">
        <v>77</v>
      </c>
      <c r="C60" t="s">
        <v>17</v>
      </c>
      <c r="D60" t="s">
        <v>37</v>
      </c>
      <c r="E60">
        <v>96</v>
      </c>
      <c r="F60">
        <v>88</v>
      </c>
      <c r="G60">
        <v>93</v>
      </c>
      <c r="H60">
        <v>88</v>
      </c>
      <c r="I60">
        <v>92</v>
      </c>
    </row>
    <row r="61" hidden="1" spans="1:9">
      <c r="A61">
        <v>10055</v>
      </c>
      <c r="B61" t="s">
        <v>78</v>
      </c>
      <c r="C61" t="s">
        <v>14</v>
      </c>
      <c r="D61" t="s">
        <v>20</v>
      </c>
      <c r="E61">
        <v>81.5</v>
      </c>
      <c r="F61">
        <v>94</v>
      </c>
      <c r="G61">
        <v>94</v>
      </c>
      <c r="H61">
        <v>90</v>
      </c>
      <c r="I61">
        <v>95</v>
      </c>
    </row>
    <row r="62" hidden="1" spans="1:9">
      <c r="A62">
        <v>10056</v>
      </c>
      <c r="B62" t="s">
        <v>79</v>
      </c>
      <c r="C62" t="s">
        <v>17</v>
      </c>
      <c r="D62" t="s">
        <v>37</v>
      </c>
      <c r="E62">
        <v>79.5</v>
      </c>
      <c r="F62">
        <v>87.5</v>
      </c>
      <c r="G62">
        <v>74.5</v>
      </c>
      <c r="H62">
        <v>72.5</v>
      </c>
      <c r="I62">
        <v>75</v>
      </c>
    </row>
    <row r="63" hidden="1" spans="1:9">
      <c r="A63">
        <v>10057</v>
      </c>
      <c r="B63" t="s">
        <v>80</v>
      </c>
      <c r="C63" t="s">
        <v>14</v>
      </c>
      <c r="D63" t="s">
        <v>15</v>
      </c>
      <c r="E63">
        <v>92.5</v>
      </c>
      <c r="F63">
        <v>82</v>
      </c>
      <c r="G63">
        <v>75</v>
      </c>
      <c r="H63">
        <v>73</v>
      </c>
      <c r="I63">
        <v>82</v>
      </c>
    </row>
    <row r="64" hidden="1" spans="1:9">
      <c r="A64">
        <v>10058</v>
      </c>
      <c r="B64" t="s">
        <v>81</v>
      </c>
      <c r="C64" t="s">
        <v>17</v>
      </c>
      <c r="D64" t="s">
        <v>15</v>
      </c>
      <c r="E64">
        <v>93.5</v>
      </c>
      <c r="F64">
        <v>83</v>
      </c>
      <c r="G64">
        <v>73.5</v>
      </c>
      <c r="H64">
        <v>71.5</v>
      </c>
      <c r="I64">
        <v>91</v>
      </c>
    </row>
    <row r="65" hidden="1" spans="1:9">
      <c r="A65">
        <v>10059</v>
      </c>
      <c r="B65" t="s">
        <v>82</v>
      </c>
      <c r="C65" t="s">
        <v>17</v>
      </c>
      <c r="D65" t="s">
        <v>18</v>
      </c>
      <c r="E65">
        <v>62</v>
      </c>
      <c r="F65">
        <v>75</v>
      </c>
      <c r="G65">
        <v>84.5</v>
      </c>
      <c r="H65">
        <v>82.5</v>
      </c>
      <c r="I65">
        <v>67.5</v>
      </c>
    </row>
    <row r="66" spans="1:9">
      <c r="A66">
        <v>10060</v>
      </c>
      <c r="B66" t="s">
        <v>83</v>
      </c>
      <c r="C66" t="s">
        <v>17</v>
      </c>
      <c r="D66" t="s">
        <v>20</v>
      </c>
      <c r="E66">
        <v>96</v>
      </c>
      <c r="F66">
        <v>84</v>
      </c>
      <c r="G66">
        <v>98</v>
      </c>
      <c r="H66">
        <v>96</v>
      </c>
      <c r="I66">
        <v>69.5</v>
      </c>
    </row>
    <row r="67" hidden="1" spans="1:9">
      <c r="A67">
        <v>10061</v>
      </c>
      <c r="B67" t="s">
        <v>84</v>
      </c>
      <c r="C67" t="s">
        <v>14</v>
      </c>
      <c r="D67" t="s">
        <v>15</v>
      </c>
      <c r="E67">
        <v>79.5</v>
      </c>
      <c r="F67">
        <v>73</v>
      </c>
      <c r="G67">
        <v>79.5</v>
      </c>
      <c r="H67">
        <v>77.5</v>
      </c>
      <c r="I67">
        <v>70.5</v>
      </c>
    </row>
    <row r="68" hidden="1" spans="1:9">
      <c r="A68">
        <v>10062</v>
      </c>
      <c r="B68" t="s">
        <v>85</v>
      </c>
      <c r="C68" t="s">
        <v>14</v>
      </c>
      <c r="D68" t="s">
        <v>23</v>
      </c>
      <c r="E68">
        <v>71</v>
      </c>
      <c r="F68">
        <v>60</v>
      </c>
      <c r="G68">
        <v>66.5</v>
      </c>
      <c r="H68">
        <v>64.5</v>
      </c>
      <c r="I68">
        <v>85</v>
      </c>
    </row>
    <row r="69" hidden="1" spans="1:9">
      <c r="A69">
        <v>10063</v>
      </c>
      <c r="B69" t="s">
        <v>86</v>
      </c>
      <c r="C69" t="s">
        <v>14</v>
      </c>
      <c r="D69" t="s">
        <v>15</v>
      </c>
      <c r="E69">
        <v>64</v>
      </c>
      <c r="F69">
        <v>70.5</v>
      </c>
      <c r="G69">
        <v>62</v>
      </c>
      <c r="H69">
        <v>85</v>
      </c>
      <c r="I69">
        <v>60</v>
      </c>
    </row>
    <row r="70" hidden="1" spans="1:9">
      <c r="A70">
        <v>10064</v>
      </c>
      <c r="B70" t="s">
        <v>87</v>
      </c>
      <c r="C70" t="s">
        <v>17</v>
      </c>
      <c r="D70" t="s">
        <v>23</v>
      </c>
      <c r="E70">
        <v>74</v>
      </c>
      <c r="F70">
        <v>85.5</v>
      </c>
      <c r="G70">
        <v>73.5</v>
      </c>
      <c r="H70">
        <v>71.5</v>
      </c>
      <c r="I70">
        <v>79</v>
      </c>
    </row>
    <row r="71" hidden="1" spans="1:9">
      <c r="A71">
        <v>10065</v>
      </c>
      <c r="B71" t="s">
        <v>88</v>
      </c>
      <c r="C71" t="s">
        <v>17</v>
      </c>
      <c r="D71" t="s">
        <v>18</v>
      </c>
      <c r="E71">
        <v>82.5</v>
      </c>
      <c r="F71">
        <v>80</v>
      </c>
      <c r="G71">
        <v>92.5</v>
      </c>
      <c r="H71">
        <v>90.5</v>
      </c>
      <c r="I71">
        <v>73.5</v>
      </c>
    </row>
    <row r="72" hidden="1" spans="1:9">
      <c r="A72">
        <v>10066</v>
      </c>
      <c r="B72" t="s">
        <v>89</v>
      </c>
      <c r="C72" t="s">
        <v>14</v>
      </c>
      <c r="D72" t="s">
        <v>37</v>
      </c>
      <c r="E72">
        <v>68</v>
      </c>
      <c r="F72">
        <v>81</v>
      </c>
      <c r="G72">
        <v>85.5</v>
      </c>
      <c r="H72">
        <v>83.5</v>
      </c>
      <c r="I72">
        <v>65.5</v>
      </c>
    </row>
    <row r="73" hidden="1" spans="1:9">
      <c r="A73">
        <v>10067</v>
      </c>
      <c r="B73" t="s">
        <v>90</v>
      </c>
      <c r="C73" t="s">
        <v>17</v>
      </c>
      <c r="D73" t="s">
        <v>20</v>
      </c>
      <c r="E73">
        <v>71.5</v>
      </c>
      <c r="F73">
        <v>73</v>
      </c>
      <c r="G73">
        <v>77</v>
      </c>
      <c r="H73">
        <v>75</v>
      </c>
      <c r="I73">
        <v>78.5</v>
      </c>
    </row>
    <row r="74" hidden="1" spans="1:9">
      <c r="A74">
        <v>10068</v>
      </c>
      <c r="B74" t="s">
        <v>91</v>
      </c>
      <c r="C74" t="s">
        <v>14</v>
      </c>
      <c r="D74" t="s">
        <v>18</v>
      </c>
      <c r="E74">
        <v>75.5</v>
      </c>
      <c r="F74">
        <v>65.5</v>
      </c>
      <c r="G74">
        <v>73.5</v>
      </c>
      <c r="H74">
        <v>71.5</v>
      </c>
      <c r="I74">
        <v>71.5</v>
      </c>
    </row>
    <row r="75" hidden="1" spans="1:9">
      <c r="A75">
        <v>10069</v>
      </c>
      <c r="B75" t="s">
        <v>92</v>
      </c>
      <c r="C75" t="s">
        <v>17</v>
      </c>
      <c r="D75" t="s">
        <v>23</v>
      </c>
      <c r="E75">
        <v>79.5</v>
      </c>
      <c r="F75">
        <v>86</v>
      </c>
      <c r="G75">
        <v>85</v>
      </c>
      <c r="H75">
        <v>83</v>
      </c>
      <c r="I75">
        <v>61</v>
      </c>
    </row>
    <row r="76" hidden="1" spans="1:9">
      <c r="A76">
        <v>10070</v>
      </c>
      <c r="B76" t="s">
        <v>93</v>
      </c>
      <c r="C76" t="s">
        <v>14</v>
      </c>
      <c r="D76" t="s">
        <v>20</v>
      </c>
      <c r="E76">
        <v>68.5</v>
      </c>
      <c r="F76">
        <v>63</v>
      </c>
      <c r="G76">
        <v>88</v>
      </c>
      <c r="H76">
        <v>86</v>
      </c>
      <c r="I76">
        <v>73</v>
      </c>
    </row>
    <row r="77" hidden="1" spans="1:9">
      <c r="A77">
        <v>10071</v>
      </c>
      <c r="B77" t="s">
        <v>94</v>
      </c>
      <c r="C77" t="s">
        <v>17</v>
      </c>
      <c r="D77" t="s">
        <v>15</v>
      </c>
      <c r="E77">
        <v>56</v>
      </c>
      <c r="F77">
        <v>60.5</v>
      </c>
      <c r="G77">
        <v>54</v>
      </c>
      <c r="H77">
        <v>79</v>
      </c>
      <c r="I77">
        <v>76.5</v>
      </c>
    </row>
    <row r="78" hidden="1" spans="1:9">
      <c r="A78">
        <v>10072</v>
      </c>
      <c r="B78" t="s">
        <v>95</v>
      </c>
      <c r="C78" t="s">
        <v>17</v>
      </c>
      <c r="D78" t="s">
        <v>23</v>
      </c>
      <c r="E78">
        <v>85.5</v>
      </c>
      <c r="F78">
        <v>94</v>
      </c>
      <c r="G78">
        <v>94</v>
      </c>
      <c r="H78">
        <v>75.5</v>
      </c>
      <c r="I78">
        <v>70</v>
      </c>
    </row>
    <row r="79" hidden="1" spans="1:9">
      <c r="A79">
        <v>10073</v>
      </c>
      <c r="B79" t="s">
        <v>96</v>
      </c>
      <c r="C79" t="s">
        <v>14</v>
      </c>
      <c r="D79" t="s">
        <v>20</v>
      </c>
      <c r="E79">
        <v>82</v>
      </c>
      <c r="F79">
        <v>81</v>
      </c>
      <c r="G79">
        <v>62.5</v>
      </c>
      <c r="H79">
        <v>60.5</v>
      </c>
      <c r="I79">
        <v>92</v>
      </c>
    </row>
    <row r="80" hidden="1" spans="1:9">
      <c r="A80">
        <v>10074</v>
      </c>
      <c r="B80" t="s">
        <v>97</v>
      </c>
      <c r="C80" t="s">
        <v>14</v>
      </c>
      <c r="D80" t="s">
        <v>23</v>
      </c>
      <c r="E80">
        <v>89</v>
      </c>
      <c r="F80">
        <v>72.5</v>
      </c>
      <c r="G80">
        <v>82.5</v>
      </c>
      <c r="H80">
        <v>80.5</v>
      </c>
      <c r="I80">
        <v>82</v>
      </c>
    </row>
    <row r="81" hidden="1" spans="1:9">
      <c r="A81">
        <v>10075</v>
      </c>
      <c r="B81" t="s">
        <v>98</v>
      </c>
      <c r="C81" t="s">
        <v>17</v>
      </c>
      <c r="D81" t="s">
        <v>30</v>
      </c>
      <c r="E81">
        <v>70.5</v>
      </c>
      <c r="F81">
        <v>74</v>
      </c>
      <c r="G81">
        <v>74</v>
      </c>
      <c r="H81">
        <v>72</v>
      </c>
      <c r="I81">
        <v>77</v>
      </c>
    </row>
    <row r="82" hidden="1" spans="1:9">
      <c r="A82">
        <v>10076</v>
      </c>
      <c r="B82" t="s">
        <v>99</v>
      </c>
      <c r="C82" t="s">
        <v>14</v>
      </c>
      <c r="D82" t="s">
        <v>37</v>
      </c>
      <c r="E82">
        <v>81</v>
      </c>
      <c r="F82">
        <v>83</v>
      </c>
      <c r="G82">
        <v>75.5</v>
      </c>
      <c r="H82">
        <v>73.5</v>
      </c>
      <c r="I82">
        <v>62.5</v>
      </c>
    </row>
    <row r="83" hidden="1" spans="1:9">
      <c r="A83">
        <v>10077</v>
      </c>
      <c r="B83" t="s">
        <v>100</v>
      </c>
      <c r="C83" t="s">
        <v>17</v>
      </c>
      <c r="D83" t="s">
        <v>37</v>
      </c>
      <c r="E83">
        <v>71.5</v>
      </c>
      <c r="F83">
        <v>79.5</v>
      </c>
      <c r="G83">
        <v>75.5</v>
      </c>
      <c r="H83">
        <v>73.5</v>
      </c>
      <c r="I83">
        <v>87.5</v>
      </c>
    </row>
    <row r="84" hidden="1" spans="1:9">
      <c r="A84">
        <v>10078</v>
      </c>
      <c r="B84" t="s">
        <v>101</v>
      </c>
      <c r="C84" t="s">
        <v>14</v>
      </c>
      <c r="D84" t="s">
        <v>30</v>
      </c>
      <c r="E84">
        <v>89</v>
      </c>
      <c r="F84">
        <v>75</v>
      </c>
      <c r="G84">
        <v>61</v>
      </c>
      <c r="H84">
        <v>59</v>
      </c>
      <c r="I84">
        <v>76.5</v>
      </c>
    </row>
    <row r="85" hidden="1" spans="1:9">
      <c r="A85">
        <v>10079</v>
      </c>
      <c r="B85" t="s">
        <v>102</v>
      </c>
      <c r="C85" t="s">
        <v>17</v>
      </c>
      <c r="D85" t="s">
        <v>15</v>
      </c>
      <c r="E85">
        <v>74</v>
      </c>
      <c r="F85">
        <v>85</v>
      </c>
      <c r="G85">
        <v>73</v>
      </c>
      <c r="H85">
        <v>71</v>
      </c>
      <c r="I85">
        <v>88</v>
      </c>
    </row>
    <row r="86" hidden="1" spans="1:9">
      <c r="A86">
        <v>10080</v>
      </c>
      <c r="B86" t="s">
        <v>103</v>
      </c>
      <c r="C86" t="s">
        <v>17</v>
      </c>
      <c r="D86" t="s">
        <v>30</v>
      </c>
      <c r="E86">
        <v>87</v>
      </c>
      <c r="F86">
        <v>80</v>
      </c>
      <c r="G86">
        <v>82</v>
      </c>
      <c r="H86">
        <v>72</v>
      </c>
      <c r="I86">
        <v>84</v>
      </c>
    </row>
    <row r="87" hidden="1" spans="1:9">
      <c r="A87">
        <v>10081</v>
      </c>
      <c r="B87" t="s">
        <v>104</v>
      </c>
      <c r="C87" t="s">
        <v>17</v>
      </c>
      <c r="D87" t="s">
        <v>37</v>
      </c>
      <c r="E87">
        <v>87.5</v>
      </c>
      <c r="F87">
        <v>73</v>
      </c>
      <c r="G87">
        <v>91</v>
      </c>
      <c r="H87">
        <v>89</v>
      </c>
      <c r="I87">
        <v>69.5</v>
      </c>
    </row>
    <row r="88" hidden="1" spans="1:9">
      <c r="A88">
        <v>10082</v>
      </c>
      <c r="B88" t="s">
        <v>105</v>
      </c>
      <c r="C88" t="s">
        <v>17</v>
      </c>
      <c r="D88" t="s">
        <v>20</v>
      </c>
      <c r="E88">
        <v>81</v>
      </c>
      <c r="F88">
        <v>91.5</v>
      </c>
      <c r="G88">
        <v>97</v>
      </c>
      <c r="H88">
        <v>95</v>
      </c>
      <c r="I88">
        <v>92</v>
      </c>
    </row>
    <row r="89" hidden="1" spans="1:9">
      <c r="A89">
        <v>10083</v>
      </c>
      <c r="B89" t="s">
        <v>106</v>
      </c>
      <c r="C89" t="s">
        <v>17</v>
      </c>
      <c r="D89" t="s">
        <v>18</v>
      </c>
      <c r="E89">
        <v>83</v>
      </c>
      <c r="F89">
        <v>80</v>
      </c>
      <c r="G89">
        <v>72.5</v>
      </c>
      <c r="H89">
        <v>82</v>
      </c>
      <c r="I89">
        <v>93.5</v>
      </c>
    </row>
    <row r="90" hidden="1" spans="1:9">
      <c r="A90">
        <v>10084</v>
      </c>
      <c r="B90" t="s">
        <v>107</v>
      </c>
      <c r="C90" t="s">
        <v>17</v>
      </c>
      <c r="D90" t="s">
        <v>15</v>
      </c>
      <c r="E90">
        <v>58.5</v>
      </c>
      <c r="F90">
        <v>82</v>
      </c>
      <c r="G90">
        <v>70</v>
      </c>
      <c r="H90">
        <v>60</v>
      </c>
      <c r="I90">
        <v>64.5</v>
      </c>
    </row>
    <row r="91" hidden="1" spans="1:9">
      <c r="A91">
        <v>10085</v>
      </c>
      <c r="B91" t="s">
        <v>108</v>
      </c>
      <c r="C91" t="s">
        <v>14</v>
      </c>
      <c r="D91" t="s">
        <v>30</v>
      </c>
      <c r="E91">
        <v>81</v>
      </c>
      <c r="F91">
        <v>74.5</v>
      </c>
      <c r="G91">
        <v>75</v>
      </c>
      <c r="H91">
        <v>88</v>
      </c>
      <c r="I91">
        <v>90</v>
      </c>
    </row>
    <row r="92" hidden="1" spans="1:9">
      <c r="A92">
        <v>10086</v>
      </c>
      <c r="B92" t="s">
        <v>109</v>
      </c>
      <c r="C92" t="s">
        <v>14</v>
      </c>
      <c r="D92" t="s">
        <v>20</v>
      </c>
      <c r="E92">
        <v>93</v>
      </c>
      <c r="F92">
        <v>88</v>
      </c>
      <c r="G92">
        <v>98</v>
      </c>
      <c r="H92">
        <v>85</v>
      </c>
      <c r="I92">
        <v>94</v>
      </c>
    </row>
    <row r="93" hidden="1" spans="1:9">
      <c r="A93">
        <v>10087</v>
      </c>
      <c r="B93" t="s">
        <v>110</v>
      </c>
      <c r="C93" t="s">
        <v>17</v>
      </c>
      <c r="D93" t="s">
        <v>37</v>
      </c>
      <c r="E93">
        <v>88</v>
      </c>
      <c r="F93">
        <v>81.5</v>
      </c>
      <c r="G93">
        <v>83</v>
      </c>
      <c r="H93">
        <v>81</v>
      </c>
      <c r="I93">
        <v>73.5</v>
      </c>
    </row>
    <row r="94" hidden="1" spans="1:9">
      <c r="A94">
        <v>10088</v>
      </c>
      <c r="B94" t="s">
        <v>111</v>
      </c>
      <c r="C94" t="s">
        <v>14</v>
      </c>
      <c r="D94" t="s">
        <v>15</v>
      </c>
      <c r="E94">
        <v>81.5</v>
      </c>
      <c r="F94">
        <v>76.5</v>
      </c>
      <c r="G94">
        <v>72</v>
      </c>
      <c r="H94">
        <v>70</v>
      </c>
      <c r="I94">
        <v>82.5</v>
      </c>
    </row>
    <row r="95" hidden="1" spans="1:9">
      <c r="A95">
        <v>10089</v>
      </c>
      <c r="B95" t="s">
        <v>112</v>
      </c>
      <c r="C95" t="s">
        <v>17</v>
      </c>
      <c r="D95" t="s">
        <v>15</v>
      </c>
      <c r="E95">
        <v>80</v>
      </c>
      <c r="F95">
        <v>85</v>
      </c>
      <c r="G95">
        <v>97</v>
      </c>
      <c r="H95">
        <v>98</v>
      </c>
      <c r="I95">
        <v>95</v>
      </c>
    </row>
    <row r="96" hidden="1" spans="1:9">
      <c r="A96">
        <v>10090</v>
      </c>
      <c r="B96" t="s">
        <v>113</v>
      </c>
      <c r="C96" t="s">
        <v>14</v>
      </c>
      <c r="D96" t="s">
        <v>23</v>
      </c>
      <c r="E96">
        <v>76.5</v>
      </c>
      <c r="F96">
        <v>76</v>
      </c>
      <c r="G96">
        <v>87</v>
      </c>
      <c r="H96">
        <v>87</v>
      </c>
      <c r="I96">
        <v>82</v>
      </c>
    </row>
    <row r="97" hidden="1" spans="1:9">
      <c r="A97">
        <v>10091</v>
      </c>
      <c r="B97" t="s">
        <v>114</v>
      </c>
      <c r="C97" t="s">
        <v>17</v>
      </c>
      <c r="D97" t="s">
        <v>20</v>
      </c>
      <c r="E97">
        <v>66</v>
      </c>
      <c r="F97">
        <v>69.5</v>
      </c>
      <c r="G97">
        <v>79.5</v>
      </c>
      <c r="H97">
        <v>77.5</v>
      </c>
      <c r="I97">
        <v>83</v>
      </c>
    </row>
    <row r="98" hidden="1" spans="1:9">
      <c r="A98">
        <v>10092</v>
      </c>
      <c r="B98" t="s">
        <v>115</v>
      </c>
      <c r="C98" t="s">
        <v>14</v>
      </c>
      <c r="D98" t="s">
        <v>18</v>
      </c>
      <c r="E98">
        <v>91</v>
      </c>
      <c r="F98">
        <v>83.5</v>
      </c>
      <c r="G98">
        <v>82.5</v>
      </c>
      <c r="H98">
        <v>80.5</v>
      </c>
      <c r="I98">
        <v>84</v>
      </c>
    </row>
    <row r="99" hidden="1" spans="1:9">
      <c r="A99">
        <v>10093</v>
      </c>
      <c r="B99" t="s">
        <v>116</v>
      </c>
      <c r="C99" t="s">
        <v>14</v>
      </c>
      <c r="D99" t="s">
        <v>30</v>
      </c>
      <c r="E99">
        <v>72</v>
      </c>
      <c r="F99">
        <v>94.5</v>
      </c>
      <c r="G99">
        <v>70.5</v>
      </c>
      <c r="H99">
        <v>68.5</v>
      </c>
      <c r="I99">
        <v>84.5</v>
      </c>
    </row>
    <row r="100" hidden="1" spans="1:9">
      <c r="A100">
        <v>10094</v>
      </c>
      <c r="B100" t="s">
        <v>117</v>
      </c>
      <c r="C100" t="s">
        <v>17</v>
      </c>
      <c r="D100" t="s">
        <v>15</v>
      </c>
      <c r="E100">
        <v>74.5</v>
      </c>
      <c r="F100">
        <v>80.5</v>
      </c>
      <c r="G100">
        <v>81</v>
      </c>
      <c r="H100">
        <v>79</v>
      </c>
      <c r="I100">
        <v>75</v>
      </c>
    </row>
    <row r="101" hidden="1" spans="1:9">
      <c r="A101">
        <v>10095</v>
      </c>
      <c r="B101" t="s">
        <v>118</v>
      </c>
      <c r="C101" t="s">
        <v>17</v>
      </c>
      <c r="D101" t="s">
        <v>20</v>
      </c>
      <c r="E101">
        <v>76.5</v>
      </c>
      <c r="F101">
        <v>62.5</v>
      </c>
      <c r="G101">
        <v>79.5</v>
      </c>
      <c r="H101">
        <v>77.5</v>
      </c>
      <c r="I101">
        <v>83</v>
      </c>
    </row>
    <row r="102" hidden="1" spans="1:9">
      <c r="A102">
        <v>10096</v>
      </c>
      <c r="B102" t="s">
        <v>119</v>
      </c>
      <c r="C102" t="s">
        <v>14</v>
      </c>
      <c r="D102" t="s">
        <v>37</v>
      </c>
      <c r="E102">
        <v>81.5</v>
      </c>
      <c r="F102">
        <v>74</v>
      </c>
      <c r="G102">
        <v>71</v>
      </c>
      <c r="H102">
        <v>69</v>
      </c>
      <c r="I102">
        <v>64</v>
      </c>
    </row>
    <row r="103" hidden="1" spans="1:9">
      <c r="A103">
        <v>10097</v>
      </c>
      <c r="B103" t="s">
        <v>120</v>
      </c>
      <c r="C103" t="s">
        <v>14</v>
      </c>
      <c r="D103" t="s">
        <v>18</v>
      </c>
      <c r="E103">
        <v>75.5</v>
      </c>
      <c r="F103">
        <v>74</v>
      </c>
      <c r="G103">
        <v>76</v>
      </c>
      <c r="H103">
        <v>74</v>
      </c>
      <c r="I103">
        <v>73.5</v>
      </c>
    </row>
    <row r="104" hidden="1" spans="1:9">
      <c r="A104">
        <v>10098</v>
      </c>
      <c r="B104" t="s">
        <v>121</v>
      </c>
      <c r="C104" t="s">
        <v>14</v>
      </c>
      <c r="D104" t="s">
        <v>23</v>
      </c>
      <c r="E104">
        <v>67.5</v>
      </c>
      <c r="F104">
        <v>82</v>
      </c>
      <c r="G104">
        <v>95.5</v>
      </c>
      <c r="H104">
        <v>93.5</v>
      </c>
      <c r="I104">
        <v>75</v>
      </c>
    </row>
    <row r="105" hidden="1" spans="1:9">
      <c r="A105">
        <v>10099</v>
      </c>
      <c r="B105" t="s">
        <v>122</v>
      </c>
      <c r="C105" t="s">
        <v>17</v>
      </c>
      <c r="D105" t="s">
        <v>37</v>
      </c>
      <c r="E105">
        <v>81</v>
      </c>
      <c r="F105">
        <v>85</v>
      </c>
      <c r="G105">
        <v>79.5</v>
      </c>
      <c r="H105">
        <v>77.5</v>
      </c>
      <c r="I105">
        <v>83</v>
      </c>
    </row>
    <row r="106" hidden="1" spans="1:9">
      <c r="A106">
        <v>10100</v>
      </c>
      <c r="B106" t="s">
        <v>123</v>
      </c>
      <c r="C106" t="s">
        <v>17</v>
      </c>
      <c r="D106" t="s">
        <v>37</v>
      </c>
      <c r="E106">
        <v>63</v>
      </c>
      <c r="F106">
        <v>79.5</v>
      </c>
      <c r="G106">
        <v>88.5</v>
      </c>
      <c r="H106">
        <v>86.5</v>
      </c>
      <c r="I106">
        <v>93</v>
      </c>
    </row>
    <row r="107" hidden="1" spans="1:9">
      <c r="A107">
        <v>10101</v>
      </c>
      <c r="B107" t="s">
        <v>124</v>
      </c>
      <c r="C107" t="s">
        <v>17</v>
      </c>
      <c r="D107" t="s">
        <v>37</v>
      </c>
      <c r="E107">
        <v>64</v>
      </c>
      <c r="F107">
        <v>82.5</v>
      </c>
      <c r="G107">
        <v>72</v>
      </c>
      <c r="H107">
        <v>70</v>
      </c>
      <c r="I107">
        <v>62.5</v>
      </c>
    </row>
    <row r="108" hidden="1" spans="1:9">
      <c r="A108">
        <v>10102</v>
      </c>
      <c r="B108" t="s">
        <v>125</v>
      </c>
      <c r="C108" t="s">
        <v>14</v>
      </c>
      <c r="D108" t="s">
        <v>23</v>
      </c>
      <c r="E108">
        <v>73</v>
      </c>
      <c r="F108">
        <v>67.5</v>
      </c>
      <c r="G108">
        <v>79</v>
      </c>
      <c r="H108">
        <v>77</v>
      </c>
      <c r="I108">
        <v>90</v>
      </c>
    </row>
    <row r="109" hidden="1" spans="1:9">
      <c r="A109">
        <v>10103</v>
      </c>
      <c r="B109" t="s">
        <v>126</v>
      </c>
      <c r="C109" t="s">
        <v>14</v>
      </c>
      <c r="D109" t="s">
        <v>20</v>
      </c>
      <c r="E109">
        <v>89</v>
      </c>
      <c r="F109">
        <v>91</v>
      </c>
      <c r="G109">
        <v>96</v>
      </c>
      <c r="H109">
        <v>96.5</v>
      </c>
      <c r="I109">
        <v>88</v>
      </c>
    </row>
    <row r="110" hidden="1" spans="1:9">
      <c r="A110">
        <v>10104</v>
      </c>
      <c r="B110" t="s">
        <v>127</v>
      </c>
      <c r="C110" t="s">
        <v>17</v>
      </c>
      <c r="D110" t="s">
        <v>18</v>
      </c>
      <c r="E110">
        <v>88</v>
      </c>
      <c r="F110">
        <v>77.5</v>
      </c>
      <c r="G110">
        <v>77.5</v>
      </c>
      <c r="H110">
        <v>75.5</v>
      </c>
      <c r="I110">
        <v>61</v>
      </c>
    </row>
    <row r="111" hidden="1" spans="1:9">
      <c r="A111">
        <v>10105</v>
      </c>
      <c r="B111" t="s">
        <v>128</v>
      </c>
      <c r="C111" t="s">
        <v>14</v>
      </c>
      <c r="D111" t="s">
        <v>15</v>
      </c>
      <c r="E111">
        <v>74.5</v>
      </c>
      <c r="F111">
        <v>76.5</v>
      </c>
      <c r="G111">
        <v>78</v>
      </c>
      <c r="H111">
        <v>76</v>
      </c>
      <c r="I111">
        <v>79</v>
      </c>
    </row>
    <row r="112" hidden="1" spans="1:9">
      <c r="A112">
        <v>10106</v>
      </c>
      <c r="B112" t="s">
        <v>129</v>
      </c>
      <c r="C112" t="s">
        <v>14</v>
      </c>
      <c r="D112" t="s">
        <v>15</v>
      </c>
      <c r="E112">
        <v>74.5</v>
      </c>
      <c r="F112">
        <v>95</v>
      </c>
      <c r="G112">
        <v>75.5</v>
      </c>
      <c r="H112">
        <v>85</v>
      </c>
      <c r="I112">
        <v>78.5</v>
      </c>
    </row>
    <row r="113" hidden="1" spans="1:9">
      <c r="A113">
        <v>10107</v>
      </c>
      <c r="B113" t="s">
        <v>130</v>
      </c>
      <c r="C113" t="s">
        <v>17</v>
      </c>
      <c r="D113" t="s">
        <v>15</v>
      </c>
      <c r="E113">
        <v>82</v>
      </c>
      <c r="F113">
        <v>69</v>
      </c>
      <c r="G113">
        <v>75.5</v>
      </c>
      <c r="H113">
        <v>73.5</v>
      </c>
      <c r="I113">
        <v>79</v>
      </c>
    </row>
    <row r="114" hidden="1" spans="1:9">
      <c r="A114">
        <v>10108</v>
      </c>
      <c r="B114" t="s">
        <v>131</v>
      </c>
      <c r="C114" t="s">
        <v>14</v>
      </c>
      <c r="D114" t="s">
        <v>37</v>
      </c>
      <c r="E114">
        <v>73</v>
      </c>
      <c r="F114">
        <v>76</v>
      </c>
      <c r="G114">
        <v>67.5</v>
      </c>
      <c r="H114">
        <v>65.5</v>
      </c>
      <c r="I114">
        <v>76.5</v>
      </c>
    </row>
    <row r="115" hidden="1" spans="1:9">
      <c r="A115">
        <v>10109</v>
      </c>
      <c r="B115" t="s">
        <v>132</v>
      </c>
      <c r="C115" t="s">
        <v>14</v>
      </c>
      <c r="D115" t="s">
        <v>18</v>
      </c>
      <c r="E115">
        <v>74.5</v>
      </c>
      <c r="F115">
        <v>71.5</v>
      </c>
      <c r="G115">
        <v>82.5</v>
      </c>
      <c r="H115">
        <v>80.5</v>
      </c>
      <c r="I115">
        <v>83</v>
      </c>
    </row>
    <row r="116" hidden="1" spans="1:9">
      <c r="A116">
        <v>10110</v>
      </c>
      <c r="B116" t="s">
        <v>133</v>
      </c>
      <c r="C116" t="s">
        <v>17</v>
      </c>
      <c r="D116" t="s">
        <v>23</v>
      </c>
      <c r="E116">
        <v>65</v>
      </c>
      <c r="F116">
        <v>66.5</v>
      </c>
      <c r="G116">
        <v>73.5</v>
      </c>
      <c r="H116">
        <v>71.5</v>
      </c>
      <c r="I116">
        <v>62</v>
      </c>
    </row>
    <row r="117" spans="1:9">
      <c r="A117">
        <v>10111</v>
      </c>
      <c r="B117" t="s">
        <v>134</v>
      </c>
      <c r="C117" t="s">
        <v>17</v>
      </c>
      <c r="D117" t="s">
        <v>20</v>
      </c>
      <c r="E117">
        <v>97</v>
      </c>
      <c r="F117">
        <v>57</v>
      </c>
      <c r="G117">
        <v>73.5</v>
      </c>
      <c r="H117">
        <v>71.5</v>
      </c>
      <c r="I117">
        <v>78.5</v>
      </c>
    </row>
    <row r="118" hidden="1" spans="1:9">
      <c r="A118">
        <v>10112</v>
      </c>
      <c r="B118" t="s">
        <v>135</v>
      </c>
      <c r="C118" t="s">
        <v>17</v>
      </c>
      <c r="D118" t="s">
        <v>23</v>
      </c>
      <c r="E118">
        <v>68.5</v>
      </c>
      <c r="F118">
        <v>78</v>
      </c>
      <c r="G118">
        <v>68</v>
      </c>
      <c r="H118">
        <v>66</v>
      </c>
      <c r="I118">
        <v>61</v>
      </c>
    </row>
    <row r="119" hidden="1" spans="1:9">
      <c r="A119">
        <v>10113</v>
      </c>
      <c r="B119" t="s">
        <v>136</v>
      </c>
      <c r="C119" t="s">
        <v>17</v>
      </c>
      <c r="D119" t="s">
        <v>30</v>
      </c>
      <c r="E119">
        <v>75.5</v>
      </c>
      <c r="F119">
        <v>82</v>
      </c>
      <c r="G119">
        <v>94.5</v>
      </c>
      <c r="H119">
        <v>92.5</v>
      </c>
      <c r="I119">
        <v>84.5</v>
      </c>
    </row>
    <row r="120" hidden="1" spans="1:9">
      <c r="A120">
        <v>10114</v>
      </c>
      <c r="B120" t="s">
        <v>137</v>
      </c>
      <c r="C120" t="s">
        <v>17</v>
      </c>
      <c r="D120" t="s">
        <v>15</v>
      </c>
      <c r="E120">
        <v>66</v>
      </c>
      <c r="F120">
        <v>70.5</v>
      </c>
      <c r="G120">
        <v>87</v>
      </c>
      <c r="H120">
        <v>85</v>
      </c>
      <c r="I120">
        <v>57</v>
      </c>
    </row>
    <row r="121" hidden="1" spans="1:9">
      <c r="A121">
        <v>10115</v>
      </c>
      <c r="B121" t="s">
        <v>138</v>
      </c>
      <c r="C121" t="s">
        <v>17</v>
      </c>
      <c r="D121" t="s">
        <v>37</v>
      </c>
      <c r="E121">
        <v>61</v>
      </c>
      <c r="F121">
        <v>58.5</v>
      </c>
      <c r="G121">
        <v>47</v>
      </c>
      <c r="H121">
        <v>75</v>
      </c>
      <c r="I121">
        <v>73</v>
      </c>
    </row>
    <row r="122" hidden="1" spans="1:9">
      <c r="A122">
        <v>10116</v>
      </c>
      <c r="B122" t="s">
        <v>139</v>
      </c>
      <c r="C122" t="s">
        <v>14</v>
      </c>
      <c r="D122" t="s">
        <v>23</v>
      </c>
      <c r="E122">
        <v>75</v>
      </c>
      <c r="F122">
        <v>76</v>
      </c>
      <c r="G122">
        <v>73.5</v>
      </c>
      <c r="H122">
        <v>71.5</v>
      </c>
      <c r="I122">
        <v>90</v>
      </c>
    </row>
    <row r="123" hidden="1" spans="1:9">
      <c r="A123">
        <v>10117</v>
      </c>
      <c r="B123" t="s">
        <v>140</v>
      </c>
      <c r="C123" t="s">
        <v>14</v>
      </c>
      <c r="D123" t="s">
        <v>20</v>
      </c>
      <c r="E123">
        <v>65.5</v>
      </c>
      <c r="F123">
        <v>62</v>
      </c>
      <c r="G123">
        <v>83.5</v>
      </c>
      <c r="H123">
        <v>81.5</v>
      </c>
      <c r="I123">
        <v>89.5</v>
      </c>
    </row>
    <row r="124" hidden="1" spans="1:9">
      <c r="A124">
        <v>10118</v>
      </c>
      <c r="B124" t="s">
        <v>141</v>
      </c>
      <c r="C124" t="s">
        <v>14</v>
      </c>
      <c r="D124" t="s">
        <v>23</v>
      </c>
      <c r="E124">
        <v>79</v>
      </c>
      <c r="F124">
        <v>76.5</v>
      </c>
      <c r="G124">
        <v>80.5</v>
      </c>
      <c r="H124">
        <v>78.5</v>
      </c>
      <c r="I124">
        <v>66.5</v>
      </c>
    </row>
    <row r="125" hidden="1" spans="1:9">
      <c r="A125">
        <v>10119</v>
      </c>
      <c r="B125" t="s">
        <v>142</v>
      </c>
      <c r="C125" t="s">
        <v>14</v>
      </c>
      <c r="D125" t="s">
        <v>30</v>
      </c>
      <c r="E125">
        <v>93</v>
      </c>
      <c r="F125">
        <v>92</v>
      </c>
      <c r="G125">
        <v>86.5</v>
      </c>
      <c r="H125">
        <v>84.5</v>
      </c>
      <c r="I125">
        <v>97</v>
      </c>
    </row>
    <row r="126" hidden="1" spans="1:9">
      <c r="A126">
        <v>10120</v>
      </c>
      <c r="B126" t="s">
        <v>143</v>
      </c>
      <c r="C126" t="s">
        <v>17</v>
      </c>
      <c r="D126" t="s">
        <v>23</v>
      </c>
      <c r="E126">
        <v>83</v>
      </c>
      <c r="F126">
        <v>94</v>
      </c>
      <c r="G126">
        <v>77.5</v>
      </c>
      <c r="H126">
        <v>75.5</v>
      </c>
      <c r="I126">
        <v>70.5</v>
      </c>
    </row>
    <row r="127" hidden="1" spans="1:9">
      <c r="A127">
        <v>10121</v>
      </c>
      <c r="B127" t="s">
        <v>144</v>
      </c>
      <c r="C127" t="s">
        <v>17</v>
      </c>
      <c r="D127" t="s">
        <v>23</v>
      </c>
      <c r="E127">
        <v>71.5</v>
      </c>
      <c r="F127">
        <v>92.5</v>
      </c>
      <c r="G127">
        <v>58.5</v>
      </c>
      <c r="H127">
        <v>56.5</v>
      </c>
      <c r="I127">
        <v>86.5</v>
      </c>
    </row>
    <row r="128" hidden="1" spans="1:9">
      <c r="A128">
        <v>10122</v>
      </c>
      <c r="B128" t="s">
        <v>145</v>
      </c>
      <c r="C128" t="s">
        <v>14</v>
      </c>
      <c r="D128" t="s">
        <v>15</v>
      </c>
      <c r="E128">
        <v>92</v>
      </c>
      <c r="F128">
        <v>76.5</v>
      </c>
      <c r="G128">
        <v>69</v>
      </c>
      <c r="H128">
        <v>67</v>
      </c>
      <c r="I128">
        <v>80</v>
      </c>
    </row>
    <row r="129" hidden="1" spans="1:9">
      <c r="A129">
        <v>10123</v>
      </c>
      <c r="B129" t="s">
        <v>146</v>
      </c>
      <c r="C129" t="s">
        <v>17</v>
      </c>
      <c r="D129" t="s">
        <v>20</v>
      </c>
      <c r="E129">
        <v>85</v>
      </c>
      <c r="F129">
        <v>72.5</v>
      </c>
      <c r="G129">
        <v>87</v>
      </c>
      <c r="H129">
        <v>85</v>
      </c>
      <c r="I129">
        <v>82</v>
      </c>
    </row>
    <row r="130" hidden="1" spans="1:9">
      <c r="A130">
        <v>10124</v>
      </c>
      <c r="B130" t="s">
        <v>147</v>
      </c>
      <c r="C130" t="s">
        <v>17</v>
      </c>
      <c r="D130" t="s">
        <v>30</v>
      </c>
      <c r="E130">
        <v>74.5</v>
      </c>
      <c r="F130">
        <v>77.5</v>
      </c>
      <c r="G130">
        <v>67.5</v>
      </c>
      <c r="H130">
        <v>65.5</v>
      </c>
      <c r="I130">
        <v>71.5</v>
      </c>
    </row>
    <row r="131" hidden="1" spans="1:9">
      <c r="A131">
        <v>10125</v>
      </c>
      <c r="B131" t="s">
        <v>148</v>
      </c>
      <c r="C131" t="s">
        <v>17</v>
      </c>
      <c r="D131" t="s">
        <v>37</v>
      </c>
      <c r="E131">
        <v>91.5</v>
      </c>
      <c r="F131">
        <v>90</v>
      </c>
      <c r="G131">
        <v>91.5</v>
      </c>
      <c r="H131">
        <v>89.5</v>
      </c>
      <c r="I131">
        <v>88</v>
      </c>
    </row>
    <row r="132" hidden="1" spans="1:9">
      <c r="A132">
        <v>10126</v>
      </c>
      <c r="B132" t="s">
        <v>149</v>
      </c>
      <c r="C132" t="s">
        <v>14</v>
      </c>
      <c r="D132" t="s">
        <v>37</v>
      </c>
      <c r="E132">
        <v>80</v>
      </c>
      <c r="F132">
        <v>82</v>
      </c>
      <c r="G132">
        <v>86.5</v>
      </c>
      <c r="H132">
        <v>84.5</v>
      </c>
      <c r="I132">
        <v>76</v>
      </c>
    </row>
    <row r="133" hidden="1" spans="1:9">
      <c r="A133">
        <v>10127</v>
      </c>
      <c r="B133" t="s">
        <v>150</v>
      </c>
      <c r="C133" t="s">
        <v>14</v>
      </c>
      <c r="D133" t="s">
        <v>30</v>
      </c>
      <c r="E133">
        <v>79.5</v>
      </c>
      <c r="F133">
        <v>78.5</v>
      </c>
      <c r="G133">
        <v>74.5</v>
      </c>
      <c r="H133">
        <v>72.5</v>
      </c>
      <c r="I133">
        <v>73</v>
      </c>
    </row>
    <row r="134" hidden="1" spans="1:9">
      <c r="A134">
        <v>10128</v>
      </c>
      <c r="B134" t="s">
        <v>151</v>
      </c>
      <c r="C134" t="s">
        <v>14</v>
      </c>
      <c r="D134" t="s">
        <v>18</v>
      </c>
      <c r="E134">
        <v>82</v>
      </c>
      <c r="F134">
        <v>80.5</v>
      </c>
      <c r="G134">
        <v>77.5</v>
      </c>
      <c r="H134">
        <v>75.5</v>
      </c>
      <c r="I134">
        <v>64</v>
      </c>
    </row>
    <row r="135" hidden="1" spans="1:9">
      <c r="A135">
        <v>10129</v>
      </c>
      <c r="B135" t="s">
        <v>152</v>
      </c>
      <c r="C135" t="s">
        <v>17</v>
      </c>
      <c r="D135" t="s">
        <v>37</v>
      </c>
      <c r="E135">
        <v>78</v>
      </c>
      <c r="F135">
        <v>80</v>
      </c>
      <c r="G135">
        <v>68</v>
      </c>
      <c r="H135">
        <v>66</v>
      </c>
      <c r="I135">
        <v>70.5</v>
      </c>
    </row>
    <row r="136" hidden="1" spans="1:9">
      <c r="A136">
        <v>10130</v>
      </c>
      <c r="B136" t="s">
        <v>153</v>
      </c>
      <c r="C136" t="s">
        <v>14</v>
      </c>
      <c r="D136" t="s">
        <v>20</v>
      </c>
      <c r="E136">
        <v>76.5</v>
      </c>
      <c r="F136">
        <v>84.5</v>
      </c>
      <c r="G136">
        <v>97</v>
      </c>
      <c r="H136">
        <v>95</v>
      </c>
      <c r="I136">
        <v>79.5</v>
      </c>
    </row>
    <row r="137" hidden="1" spans="1:9">
      <c r="A137">
        <v>10131</v>
      </c>
      <c r="B137" t="s">
        <v>154</v>
      </c>
      <c r="C137" t="s">
        <v>17</v>
      </c>
      <c r="D137" t="s">
        <v>23</v>
      </c>
      <c r="E137">
        <v>85</v>
      </c>
      <c r="F137">
        <v>82.5</v>
      </c>
      <c r="G137">
        <v>69</v>
      </c>
      <c r="H137">
        <v>67</v>
      </c>
      <c r="I137">
        <v>87</v>
      </c>
    </row>
    <row r="138" hidden="1" spans="1:9">
      <c r="A138">
        <v>10132</v>
      </c>
      <c r="B138" t="s">
        <v>155</v>
      </c>
      <c r="C138" t="s">
        <v>14</v>
      </c>
      <c r="D138" t="s">
        <v>20</v>
      </c>
      <c r="E138">
        <v>85</v>
      </c>
      <c r="F138">
        <v>84.5</v>
      </c>
      <c r="G138">
        <v>76</v>
      </c>
      <c r="H138">
        <v>74</v>
      </c>
      <c r="I138">
        <v>74.5</v>
      </c>
    </row>
    <row r="139" hidden="1" spans="1:9">
      <c r="A139">
        <v>10133</v>
      </c>
      <c r="B139" t="s">
        <v>156</v>
      </c>
      <c r="C139" t="s">
        <v>17</v>
      </c>
      <c r="D139" t="s">
        <v>20</v>
      </c>
      <c r="E139">
        <v>75.5</v>
      </c>
      <c r="F139">
        <v>60.5</v>
      </c>
      <c r="G139">
        <v>75.5</v>
      </c>
      <c r="H139">
        <v>73.5</v>
      </c>
      <c r="I139">
        <v>81</v>
      </c>
    </row>
    <row r="140" hidden="1" spans="1:9">
      <c r="A140">
        <v>10134</v>
      </c>
      <c r="B140" t="s">
        <v>157</v>
      </c>
      <c r="C140" t="s">
        <v>14</v>
      </c>
      <c r="D140" t="s">
        <v>37</v>
      </c>
      <c r="E140">
        <v>61</v>
      </c>
      <c r="F140">
        <v>68</v>
      </c>
      <c r="G140">
        <v>79</v>
      </c>
      <c r="H140">
        <v>77</v>
      </c>
      <c r="I140">
        <v>94</v>
      </c>
    </row>
    <row r="141" hidden="1" spans="1:9">
      <c r="A141">
        <v>10135</v>
      </c>
      <c r="B141" t="s">
        <v>158</v>
      </c>
      <c r="C141" t="s">
        <v>17</v>
      </c>
      <c r="D141" t="s">
        <v>20</v>
      </c>
      <c r="E141">
        <v>74.5</v>
      </c>
      <c r="F141">
        <v>72</v>
      </c>
      <c r="G141">
        <v>65</v>
      </c>
      <c r="H141">
        <v>63</v>
      </c>
      <c r="I141">
        <v>64</v>
      </c>
    </row>
    <row r="142" hidden="1" spans="1:9">
      <c r="A142">
        <v>10136</v>
      </c>
      <c r="B142" t="s">
        <v>159</v>
      </c>
      <c r="C142" t="s">
        <v>14</v>
      </c>
      <c r="D142" t="s">
        <v>30</v>
      </c>
      <c r="E142">
        <v>53.5</v>
      </c>
      <c r="F142">
        <v>76.5</v>
      </c>
      <c r="G142">
        <v>74.5</v>
      </c>
      <c r="H142">
        <v>72.5</v>
      </c>
      <c r="I142">
        <v>60</v>
      </c>
    </row>
    <row r="143" hidden="1" spans="1:9">
      <c r="A143">
        <v>10137</v>
      </c>
      <c r="B143" t="s">
        <v>160</v>
      </c>
      <c r="C143" t="s">
        <v>17</v>
      </c>
      <c r="D143" t="s">
        <v>23</v>
      </c>
      <c r="E143">
        <v>61</v>
      </c>
      <c r="F143">
        <v>76</v>
      </c>
      <c r="G143">
        <v>67.5</v>
      </c>
      <c r="H143">
        <v>65.5</v>
      </c>
      <c r="I143">
        <v>74.5</v>
      </c>
    </row>
    <row r="144" hidden="1" spans="1:9">
      <c r="A144">
        <v>10138</v>
      </c>
      <c r="B144" t="s">
        <v>161</v>
      </c>
      <c r="C144" t="s">
        <v>17</v>
      </c>
      <c r="D144" t="s">
        <v>37</v>
      </c>
      <c r="E144">
        <v>90</v>
      </c>
      <c r="F144">
        <v>94.5</v>
      </c>
      <c r="G144">
        <v>66</v>
      </c>
      <c r="H144">
        <v>64</v>
      </c>
      <c r="I144">
        <v>71</v>
      </c>
    </row>
    <row r="145" hidden="1" spans="1:9">
      <c r="A145">
        <v>10139</v>
      </c>
      <c r="B145" t="s">
        <v>162</v>
      </c>
      <c r="C145" t="s">
        <v>14</v>
      </c>
      <c r="D145" t="s">
        <v>37</v>
      </c>
      <c r="E145">
        <v>81</v>
      </c>
      <c r="F145">
        <v>95.5</v>
      </c>
      <c r="G145">
        <v>81.5</v>
      </c>
      <c r="H145">
        <v>79.5</v>
      </c>
      <c r="I145">
        <v>75.5</v>
      </c>
    </row>
    <row r="146" hidden="1" spans="1:9">
      <c r="A146">
        <v>10140</v>
      </c>
      <c r="B146" t="s">
        <v>163</v>
      </c>
      <c r="C146" t="s">
        <v>17</v>
      </c>
      <c r="D146" t="s">
        <v>18</v>
      </c>
      <c r="E146">
        <v>59.5</v>
      </c>
      <c r="F146">
        <v>78.5</v>
      </c>
      <c r="G146">
        <v>79.5</v>
      </c>
      <c r="H146">
        <v>77.5</v>
      </c>
      <c r="I146">
        <v>68</v>
      </c>
    </row>
    <row r="147" hidden="1" spans="1:9">
      <c r="A147">
        <v>10141</v>
      </c>
      <c r="B147" t="s">
        <v>164</v>
      </c>
      <c r="C147" t="s">
        <v>14</v>
      </c>
      <c r="D147" t="s">
        <v>15</v>
      </c>
      <c r="E147">
        <v>75.5</v>
      </c>
      <c r="F147">
        <v>70.5</v>
      </c>
      <c r="G147">
        <v>85.5</v>
      </c>
      <c r="H147">
        <v>83.5</v>
      </c>
      <c r="I147">
        <v>73.5</v>
      </c>
    </row>
    <row r="148" hidden="1" spans="1:9">
      <c r="A148">
        <v>10142</v>
      </c>
      <c r="B148" t="s">
        <v>165</v>
      </c>
      <c r="C148" t="s">
        <v>14</v>
      </c>
      <c r="D148" t="s">
        <v>18</v>
      </c>
      <c r="E148">
        <v>72.5</v>
      </c>
      <c r="F148">
        <v>91.5</v>
      </c>
      <c r="G148">
        <v>72</v>
      </c>
      <c r="H148">
        <v>70</v>
      </c>
      <c r="I148">
        <v>82</v>
      </c>
    </row>
    <row r="149" hidden="1" spans="1:9">
      <c r="A149">
        <v>10143</v>
      </c>
      <c r="B149" t="s">
        <v>166</v>
      </c>
      <c r="C149" t="s">
        <v>14</v>
      </c>
      <c r="D149" t="s">
        <v>30</v>
      </c>
      <c r="E149">
        <v>67.5</v>
      </c>
      <c r="F149">
        <v>70.5</v>
      </c>
      <c r="G149">
        <v>75.5</v>
      </c>
      <c r="H149">
        <v>73.5</v>
      </c>
      <c r="I149">
        <v>90</v>
      </c>
    </row>
    <row r="150" hidden="1" spans="1:9">
      <c r="A150">
        <v>10144</v>
      </c>
      <c r="B150" t="s">
        <v>167</v>
      </c>
      <c r="C150" t="s">
        <v>17</v>
      </c>
      <c r="D150" t="s">
        <v>20</v>
      </c>
      <c r="E150">
        <v>68.5</v>
      </c>
      <c r="F150">
        <v>65</v>
      </c>
      <c r="G150">
        <v>96.5</v>
      </c>
      <c r="H150">
        <v>94.5</v>
      </c>
      <c r="I150">
        <v>88</v>
      </c>
    </row>
    <row r="151" hidden="1" spans="1:9">
      <c r="A151">
        <v>10145</v>
      </c>
      <c r="B151" t="s">
        <v>168</v>
      </c>
      <c r="C151" t="s">
        <v>17</v>
      </c>
      <c r="D151" t="s">
        <v>18</v>
      </c>
      <c r="E151">
        <v>77.5</v>
      </c>
      <c r="F151">
        <v>79.5</v>
      </c>
      <c r="G151">
        <v>71.5</v>
      </c>
      <c r="H151">
        <v>69.5</v>
      </c>
      <c r="I151">
        <v>84.5</v>
      </c>
    </row>
    <row r="152" hidden="1" spans="1:9">
      <c r="A152">
        <v>10146</v>
      </c>
      <c r="B152" t="s">
        <v>169</v>
      </c>
      <c r="C152" t="s">
        <v>14</v>
      </c>
      <c r="D152" t="s">
        <v>20</v>
      </c>
      <c r="E152">
        <v>70.5</v>
      </c>
      <c r="F152">
        <v>83.5</v>
      </c>
      <c r="G152">
        <v>69.5</v>
      </c>
      <c r="H152">
        <v>67.5</v>
      </c>
      <c r="I152">
        <v>78</v>
      </c>
    </row>
    <row r="153" hidden="1" spans="1:9">
      <c r="A153">
        <v>10147</v>
      </c>
      <c r="B153" t="s">
        <v>170</v>
      </c>
      <c r="C153" t="s">
        <v>17</v>
      </c>
      <c r="D153" t="s">
        <v>20</v>
      </c>
      <c r="E153">
        <v>80</v>
      </c>
      <c r="F153">
        <v>78</v>
      </c>
      <c r="G153">
        <v>56</v>
      </c>
      <c r="H153">
        <v>54</v>
      </c>
      <c r="I153">
        <v>66.5</v>
      </c>
    </row>
    <row r="154" hidden="1" spans="1:9">
      <c r="A154">
        <v>10148</v>
      </c>
      <c r="B154" t="s">
        <v>171</v>
      </c>
      <c r="C154" t="s">
        <v>17</v>
      </c>
      <c r="D154" t="s">
        <v>20</v>
      </c>
      <c r="E154">
        <v>58</v>
      </c>
      <c r="F154">
        <v>51</v>
      </c>
      <c r="G154">
        <v>63.5</v>
      </c>
      <c r="H154">
        <v>61.5</v>
      </c>
      <c r="I154">
        <v>56.5</v>
      </c>
    </row>
    <row r="155" hidden="1" spans="1:9">
      <c r="A155">
        <v>10149</v>
      </c>
      <c r="B155" t="s">
        <v>172</v>
      </c>
      <c r="C155" t="s">
        <v>17</v>
      </c>
      <c r="D155" t="s">
        <v>23</v>
      </c>
      <c r="E155">
        <v>66.5</v>
      </c>
      <c r="F155">
        <v>69.5</v>
      </c>
      <c r="G155">
        <v>59</v>
      </c>
      <c r="H155">
        <v>57</v>
      </c>
      <c r="I155">
        <v>66.5</v>
      </c>
    </row>
    <row r="156" hidden="1" spans="1:9">
      <c r="A156">
        <v>10150</v>
      </c>
      <c r="B156" t="s">
        <v>173</v>
      </c>
      <c r="C156" t="s">
        <v>17</v>
      </c>
      <c r="D156" t="s">
        <v>20</v>
      </c>
      <c r="E156">
        <v>69.5</v>
      </c>
      <c r="F156">
        <v>76.5</v>
      </c>
      <c r="G156">
        <v>91.5</v>
      </c>
      <c r="H156">
        <v>89.5</v>
      </c>
      <c r="I156">
        <v>69.5</v>
      </c>
    </row>
    <row r="157" hidden="1" spans="1:9">
      <c r="A157">
        <v>10151</v>
      </c>
      <c r="B157" t="s">
        <v>174</v>
      </c>
      <c r="C157" t="s">
        <v>14</v>
      </c>
      <c r="D157" t="s">
        <v>18</v>
      </c>
      <c r="E157">
        <v>82.5</v>
      </c>
      <c r="F157">
        <v>68.5</v>
      </c>
      <c r="G157">
        <v>82</v>
      </c>
      <c r="H157">
        <v>80</v>
      </c>
      <c r="I157">
        <v>79</v>
      </c>
    </row>
    <row r="158" hidden="1" spans="1:9">
      <c r="A158">
        <v>10152</v>
      </c>
      <c r="B158" t="s">
        <v>175</v>
      </c>
      <c r="C158" t="s">
        <v>14</v>
      </c>
      <c r="D158" t="s">
        <v>30</v>
      </c>
      <c r="E158">
        <v>79.5</v>
      </c>
      <c r="F158">
        <v>55.5</v>
      </c>
      <c r="G158">
        <v>80</v>
      </c>
      <c r="H158">
        <v>78</v>
      </c>
      <c r="I158">
        <v>76.5</v>
      </c>
    </row>
    <row r="159" hidden="1" spans="1:9">
      <c r="A159">
        <v>10153</v>
      </c>
      <c r="B159" t="s">
        <v>176</v>
      </c>
      <c r="C159" t="s">
        <v>17</v>
      </c>
      <c r="D159" t="s">
        <v>37</v>
      </c>
      <c r="E159">
        <v>81</v>
      </c>
      <c r="F159">
        <v>71.5</v>
      </c>
      <c r="G159">
        <v>75.5</v>
      </c>
      <c r="H159">
        <v>73.5</v>
      </c>
      <c r="I159">
        <v>79.5</v>
      </c>
    </row>
    <row r="160" hidden="1" spans="1:9">
      <c r="A160">
        <v>10154</v>
      </c>
      <c r="B160" t="s">
        <v>177</v>
      </c>
      <c r="C160" t="s">
        <v>17</v>
      </c>
      <c r="D160" t="s">
        <v>20</v>
      </c>
      <c r="E160">
        <v>73</v>
      </c>
      <c r="F160">
        <v>60.5</v>
      </c>
      <c r="G160">
        <v>73</v>
      </c>
      <c r="H160">
        <v>71</v>
      </c>
      <c r="I160">
        <v>78</v>
      </c>
    </row>
    <row r="161" hidden="1" spans="1:9">
      <c r="A161">
        <v>10155</v>
      </c>
      <c r="B161" t="s">
        <v>178</v>
      </c>
      <c r="C161" t="s">
        <v>17</v>
      </c>
      <c r="D161" t="s">
        <v>20</v>
      </c>
      <c r="E161">
        <v>93</v>
      </c>
      <c r="F161">
        <v>95</v>
      </c>
      <c r="G161">
        <v>80</v>
      </c>
      <c r="H161">
        <v>68</v>
      </c>
      <c r="I161">
        <v>53.5</v>
      </c>
    </row>
    <row r="162" hidden="1" spans="1:9">
      <c r="A162">
        <v>10156</v>
      </c>
      <c r="B162" t="s">
        <v>179</v>
      </c>
      <c r="C162" t="s">
        <v>17</v>
      </c>
      <c r="D162" t="s">
        <v>18</v>
      </c>
      <c r="E162">
        <v>76.5</v>
      </c>
      <c r="F162">
        <v>85</v>
      </c>
      <c r="G162">
        <v>88.5</v>
      </c>
      <c r="H162">
        <v>72</v>
      </c>
      <c r="I162">
        <v>86</v>
      </c>
    </row>
    <row r="163" hidden="1" spans="1:9">
      <c r="A163">
        <v>10157</v>
      </c>
      <c r="B163" t="s">
        <v>180</v>
      </c>
      <c r="C163" t="s">
        <v>14</v>
      </c>
      <c r="D163" t="s">
        <v>15</v>
      </c>
      <c r="E163">
        <v>85.5</v>
      </c>
      <c r="F163">
        <v>76</v>
      </c>
      <c r="G163">
        <v>86</v>
      </c>
      <c r="H163">
        <v>84</v>
      </c>
      <c r="I163">
        <v>79.5</v>
      </c>
    </row>
    <row r="164" hidden="1" spans="1:9">
      <c r="A164">
        <v>10158</v>
      </c>
      <c r="B164" t="s">
        <v>181</v>
      </c>
      <c r="C164" t="s">
        <v>14</v>
      </c>
      <c r="D164" t="s">
        <v>30</v>
      </c>
      <c r="E164">
        <v>91</v>
      </c>
      <c r="F164">
        <v>91</v>
      </c>
      <c r="G164">
        <v>95</v>
      </c>
      <c r="H164">
        <v>79.5</v>
      </c>
      <c r="I164">
        <v>74</v>
      </c>
    </row>
    <row r="165" hidden="1" spans="1:9">
      <c r="A165">
        <v>10159</v>
      </c>
      <c r="B165" t="s">
        <v>182</v>
      </c>
      <c r="C165" t="s">
        <v>17</v>
      </c>
      <c r="D165" t="s">
        <v>20</v>
      </c>
      <c r="E165">
        <v>77.5</v>
      </c>
      <c r="F165">
        <v>67</v>
      </c>
      <c r="G165">
        <v>62</v>
      </c>
      <c r="H165">
        <v>60</v>
      </c>
      <c r="I165">
        <v>84.5</v>
      </c>
    </row>
    <row r="166" hidden="1" spans="1:9">
      <c r="A166">
        <v>10160</v>
      </c>
      <c r="B166" t="s">
        <v>183</v>
      </c>
      <c r="C166" t="s">
        <v>14</v>
      </c>
      <c r="D166" t="s">
        <v>15</v>
      </c>
      <c r="E166">
        <v>83</v>
      </c>
      <c r="F166">
        <v>66.5</v>
      </c>
      <c r="G166">
        <v>74</v>
      </c>
      <c r="H166">
        <v>72</v>
      </c>
      <c r="I166">
        <v>76</v>
      </c>
    </row>
    <row r="167" hidden="1" spans="1:9">
      <c r="A167">
        <v>10161</v>
      </c>
      <c r="B167" t="s">
        <v>184</v>
      </c>
      <c r="C167" t="s">
        <v>14</v>
      </c>
      <c r="D167" t="s">
        <v>23</v>
      </c>
      <c r="E167">
        <v>84</v>
      </c>
      <c r="F167">
        <v>82</v>
      </c>
      <c r="G167">
        <v>81</v>
      </c>
      <c r="H167">
        <v>79</v>
      </c>
      <c r="I167">
        <v>83</v>
      </c>
    </row>
    <row r="168" hidden="1" spans="1:9">
      <c r="A168">
        <v>10162</v>
      </c>
      <c r="B168" t="s">
        <v>185</v>
      </c>
      <c r="C168" t="s">
        <v>14</v>
      </c>
      <c r="D168" t="s">
        <v>23</v>
      </c>
      <c r="E168">
        <v>77</v>
      </c>
      <c r="F168">
        <v>84.5</v>
      </c>
      <c r="G168">
        <v>72.5</v>
      </c>
      <c r="H168">
        <v>70.5</v>
      </c>
      <c r="I168">
        <v>71.5</v>
      </c>
    </row>
    <row r="169" hidden="1" spans="1:9">
      <c r="A169">
        <v>10163</v>
      </c>
      <c r="B169" t="s">
        <v>186</v>
      </c>
      <c r="C169" t="s">
        <v>14</v>
      </c>
      <c r="D169" t="s">
        <v>15</v>
      </c>
      <c r="E169">
        <v>75.5</v>
      </c>
      <c r="F169">
        <v>91.5</v>
      </c>
      <c r="G169">
        <v>83.5</v>
      </c>
      <c r="H169">
        <v>81.5</v>
      </c>
      <c r="I169">
        <v>83</v>
      </c>
    </row>
    <row r="170" hidden="1" spans="1:9">
      <c r="A170">
        <v>10164</v>
      </c>
      <c r="B170" t="s">
        <v>187</v>
      </c>
      <c r="C170" t="s">
        <v>14</v>
      </c>
      <c r="D170" t="s">
        <v>23</v>
      </c>
      <c r="E170">
        <v>75.5</v>
      </c>
      <c r="F170">
        <v>68</v>
      </c>
      <c r="G170">
        <v>81</v>
      </c>
      <c r="H170">
        <v>79</v>
      </c>
      <c r="I170">
        <v>63.5</v>
      </c>
    </row>
    <row r="171" hidden="1" spans="1:9">
      <c r="A171">
        <v>10165</v>
      </c>
      <c r="B171" t="s">
        <v>188</v>
      </c>
      <c r="C171" t="s">
        <v>14</v>
      </c>
      <c r="D171" t="s">
        <v>30</v>
      </c>
      <c r="E171">
        <v>75</v>
      </c>
      <c r="F171">
        <v>65.5</v>
      </c>
      <c r="G171">
        <v>80.5</v>
      </c>
      <c r="H171">
        <v>78.5</v>
      </c>
      <c r="I171">
        <v>87</v>
      </c>
    </row>
    <row r="172" hidden="1" spans="1:9">
      <c r="A172">
        <v>10166</v>
      </c>
      <c r="B172" t="s">
        <v>189</v>
      </c>
      <c r="C172" t="s">
        <v>14</v>
      </c>
      <c r="D172" t="s">
        <v>23</v>
      </c>
      <c r="E172">
        <v>75.5</v>
      </c>
      <c r="F172">
        <v>65.5</v>
      </c>
      <c r="G172">
        <v>80</v>
      </c>
      <c r="H172">
        <v>78</v>
      </c>
      <c r="I172">
        <v>87.5</v>
      </c>
    </row>
    <row r="173" hidden="1" spans="1:9">
      <c r="A173">
        <v>10167</v>
      </c>
      <c r="B173" t="s">
        <v>190</v>
      </c>
      <c r="C173" t="s">
        <v>14</v>
      </c>
      <c r="D173" t="s">
        <v>30</v>
      </c>
      <c r="E173">
        <v>76</v>
      </c>
      <c r="F173">
        <v>71.5</v>
      </c>
      <c r="G173">
        <v>81.5</v>
      </c>
      <c r="H173">
        <v>79.5</v>
      </c>
      <c r="I173">
        <v>74</v>
      </c>
    </row>
    <row r="174" hidden="1" spans="1:9">
      <c r="A174">
        <v>10168</v>
      </c>
      <c r="B174" t="s">
        <v>191</v>
      </c>
      <c r="C174" t="s">
        <v>17</v>
      </c>
      <c r="D174" t="s">
        <v>20</v>
      </c>
      <c r="E174">
        <v>82.5</v>
      </c>
      <c r="F174">
        <v>70</v>
      </c>
      <c r="G174">
        <v>82.5</v>
      </c>
      <c r="H174">
        <v>80.5</v>
      </c>
      <c r="I174">
        <v>86.5</v>
      </c>
    </row>
    <row r="175" hidden="1" spans="1:9">
      <c r="A175">
        <v>10169</v>
      </c>
      <c r="B175" t="s">
        <v>192</v>
      </c>
      <c r="C175" t="s">
        <v>17</v>
      </c>
      <c r="D175" t="s">
        <v>23</v>
      </c>
      <c r="E175">
        <v>52</v>
      </c>
      <c r="F175">
        <v>62.5</v>
      </c>
      <c r="G175">
        <v>70</v>
      </c>
      <c r="H175">
        <v>68</v>
      </c>
      <c r="I175">
        <v>71</v>
      </c>
    </row>
    <row r="176" hidden="1" spans="1:9">
      <c r="A176">
        <v>10170</v>
      </c>
      <c r="B176" t="s">
        <v>193</v>
      </c>
      <c r="C176" t="s">
        <v>14</v>
      </c>
      <c r="D176" t="s">
        <v>18</v>
      </c>
      <c r="E176">
        <v>69.5</v>
      </c>
      <c r="F176">
        <v>75</v>
      </c>
      <c r="G176">
        <v>81.5</v>
      </c>
      <c r="H176">
        <v>79.5</v>
      </c>
      <c r="I176">
        <v>71.5</v>
      </c>
    </row>
    <row r="177" hidden="1" spans="1:9">
      <c r="A177">
        <v>10171</v>
      </c>
      <c r="B177" t="s">
        <v>194</v>
      </c>
      <c r="C177" t="s">
        <v>14</v>
      </c>
      <c r="D177" t="s">
        <v>37</v>
      </c>
      <c r="E177">
        <v>62.5</v>
      </c>
      <c r="F177">
        <v>82.5</v>
      </c>
      <c r="G177">
        <v>83.5</v>
      </c>
      <c r="H177">
        <v>81.5</v>
      </c>
      <c r="I177">
        <v>87</v>
      </c>
    </row>
    <row r="178" hidden="1" spans="1:9">
      <c r="A178">
        <v>10172</v>
      </c>
      <c r="B178" t="s">
        <v>195</v>
      </c>
      <c r="C178" t="s">
        <v>14</v>
      </c>
      <c r="D178" t="s">
        <v>30</v>
      </c>
      <c r="E178">
        <v>51</v>
      </c>
      <c r="F178">
        <v>62</v>
      </c>
      <c r="G178">
        <v>63</v>
      </c>
      <c r="H178">
        <v>61</v>
      </c>
      <c r="I178">
        <v>87.5</v>
      </c>
    </row>
    <row r="179" hidden="1" spans="1:9">
      <c r="A179">
        <v>10173</v>
      </c>
      <c r="B179" t="s">
        <v>196</v>
      </c>
      <c r="C179" t="s">
        <v>14</v>
      </c>
      <c r="D179" t="s">
        <v>30</v>
      </c>
      <c r="E179">
        <v>63.5</v>
      </c>
      <c r="F179">
        <v>92.5</v>
      </c>
      <c r="G179">
        <v>84.5</v>
      </c>
      <c r="H179">
        <v>82.5</v>
      </c>
      <c r="I179">
        <v>91.5</v>
      </c>
    </row>
    <row r="180" hidden="1" spans="1:9">
      <c r="A180">
        <v>10174</v>
      </c>
      <c r="B180" t="s">
        <v>197</v>
      </c>
      <c r="C180" t="s">
        <v>14</v>
      </c>
      <c r="D180" t="s">
        <v>23</v>
      </c>
      <c r="E180">
        <v>93</v>
      </c>
      <c r="F180">
        <v>72</v>
      </c>
      <c r="G180">
        <v>87.5</v>
      </c>
      <c r="H180">
        <v>85.5</v>
      </c>
      <c r="I180">
        <v>75</v>
      </c>
    </row>
    <row r="181" hidden="1" spans="1:9">
      <c r="A181">
        <v>10175</v>
      </c>
      <c r="B181" t="s">
        <v>198</v>
      </c>
      <c r="C181" t="s">
        <v>17</v>
      </c>
      <c r="D181" t="s">
        <v>18</v>
      </c>
      <c r="E181">
        <v>79</v>
      </c>
      <c r="F181">
        <v>84.5</v>
      </c>
      <c r="G181">
        <v>72</v>
      </c>
      <c r="H181">
        <v>70</v>
      </c>
      <c r="I181">
        <v>87.5</v>
      </c>
    </row>
    <row r="182" hidden="1" spans="1:9">
      <c r="A182">
        <v>10176</v>
      </c>
      <c r="B182" t="s">
        <v>199</v>
      </c>
      <c r="C182" t="s">
        <v>14</v>
      </c>
      <c r="D182" t="s">
        <v>15</v>
      </c>
      <c r="E182">
        <v>72</v>
      </c>
      <c r="F182">
        <v>73.5</v>
      </c>
      <c r="G182">
        <v>74</v>
      </c>
      <c r="H182">
        <v>72</v>
      </c>
      <c r="I182">
        <v>72</v>
      </c>
    </row>
    <row r="183" hidden="1" spans="1:9">
      <c r="A183">
        <v>10177</v>
      </c>
      <c r="B183" t="s">
        <v>200</v>
      </c>
      <c r="C183" t="s">
        <v>14</v>
      </c>
      <c r="D183" t="s">
        <v>37</v>
      </c>
      <c r="E183">
        <v>77.5</v>
      </c>
      <c r="F183">
        <v>80.5</v>
      </c>
      <c r="G183">
        <v>94</v>
      </c>
      <c r="H183">
        <v>92</v>
      </c>
      <c r="I183">
        <v>83.5</v>
      </c>
    </row>
    <row r="184" hidden="1" spans="1:9">
      <c r="A184">
        <v>10178</v>
      </c>
      <c r="B184" t="s">
        <v>201</v>
      </c>
      <c r="C184" t="s">
        <v>17</v>
      </c>
      <c r="D184" t="s">
        <v>20</v>
      </c>
      <c r="E184">
        <v>64</v>
      </c>
      <c r="F184">
        <v>85</v>
      </c>
      <c r="G184">
        <v>77</v>
      </c>
      <c r="H184">
        <v>75</v>
      </c>
      <c r="I184">
        <v>85.5</v>
      </c>
    </row>
    <row r="185" hidden="1" spans="1:9">
      <c r="A185">
        <v>10179</v>
      </c>
      <c r="B185" t="s">
        <v>202</v>
      </c>
      <c r="C185" t="s">
        <v>17</v>
      </c>
      <c r="D185" t="s">
        <v>23</v>
      </c>
      <c r="E185">
        <v>81</v>
      </c>
      <c r="F185">
        <v>79</v>
      </c>
      <c r="G185">
        <v>82.5</v>
      </c>
      <c r="H185">
        <v>80.5</v>
      </c>
      <c r="I185">
        <v>83</v>
      </c>
    </row>
    <row r="186" hidden="1" spans="1:9">
      <c r="A186">
        <v>10180</v>
      </c>
      <c r="B186" t="s">
        <v>203</v>
      </c>
      <c r="C186" t="s">
        <v>17</v>
      </c>
      <c r="D186" t="s">
        <v>37</v>
      </c>
      <c r="E186">
        <v>79</v>
      </c>
      <c r="F186">
        <v>83.5</v>
      </c>
      <c r="G186">
        <v>63</v>
      </c>
      <c r="H186">
        <v>61</v>
      </c>
      <c r="I186">
        <v>77</v>
      </c>
    </row>
    <row r="187" hidden="1" spans="1:9">
      <c r="A187">
        <v>10181</v>
      </c>
      <c r="B187" t="s">
        <v>204</v>
      </c>
      <c r="C187" t="s">
        <v>14</v>
      </c>
      <c r="D187" t="s">
        <v>20</v>
      </c>
      <c r="E187">
        <v>68.5</v>
      </c>
      <c r="F187">
        <v>71</v>
      </c>
      <c r="G187">
        <v>76.5</v>
      </c>
      <c r="H187">
        <v>74.5</v>
      </c>
      <c r="I187">
        <v>71.5</v>
      </c>
    </row>
    <row r="188" hidden="1" spans="1:9">
      <c r="A188">
        <v>10182</v>
      </c>
      <c r="B188" t="s">
        <v>205</v>
      </c>
      <c r="C188" t="s">
        <v>17</v>
      </c>
      <c r="D188" t="s">
        <v>20</v>
      </c>
      <c r="E188">
        <v>69.5</v>
      </c>
      <c r="F188">
        <v>69.5</v>
      </c>
      <c r="G188">
        <v>76</v>
      </c>
      <c r="H188">
        <v>74</v>
      </c>
      <c r="I188">
        <v>93.5</v>
      </c>
    </row>
    <row r="189" hidden="1" spans="1:9">
      <c r="A189">
        <v>10183</v>
      </c>
      <c r="B189" t="s">
        <v>206</v>
      </c>
      <c r="C189" t="s">
        <v>14</v>
      </c>
      <c r="D189" t="s">
        <v>15</v>
      </c>
      <c r="E189">
        <v>70</v>
      </c>
      <c r="F189">
        <v>76.5</v>
      </c>
      <c r="G189">
        <v>74</v>
      </c>
      <c r="H189">
        <v>72</v>
      </c>
      <c r="I189">
        <v>78</v>
      </c>
    </row>
    <row r="190" hidden="1" spans="1:9">
      <c r="A190">
        <v>10184</v>
      </c>
      <c r="B190" t="s">
        <v>207</v>
      </c>
      <c r="C190" t="s">
        <v>14</v>
      </c>
      <c r="D190" t="s">
        <v>15</v>
      </c>
      <c r="E190">
        <v>75.5</v>
      </c>
      <c r="F190">
        <v>59</v>
      </c>
      <c r="G190">
        <v>86.5</v>
      </c>
      <c r="H190">
        <v>84.5</v>
      </c>
      <c r="I190">
        <v>77.5</v>
      </c>
    </row>
    <row r="191" hidden="1" spans="1:9">
      <c r="A191">
        <v>10185</v>
      </c>
      <c r="B191" t="s">
        <v>208</v>
      </c>
      <c r="C191" t="s">
        <v>14</v>
      </c>
      <c r="D191" t="s">
        <v>23</v>
      </c>
      <c r="E191">
        <v>64.5</v>
      </c>
      <c r="F191">
        <v>82.5</v>
      </c>
      <c r="G191">
        <v>71.5</v>
      </c>
      <c r="H191">
        <v>69.5</v>
      </c>
      <c r="I191">
        <v>81.5</v>
      </c>
    </row>
    <row r="192" hidden="1" spans="1:9">
      <c r="A192">
        <v>10186</v>
      </c>
      <c r="B192" t="s">
        <v>209</v>
      </c>
      <c r="C192" t="s">
        <v>17</v>
      </c>
      <c r="D192" t="s">
        <v>37</v>
      </c>
      <c r="E192">
        <v>75.5</v>
      </c>
      <c r="F192">
        <v>64.5</v>
      </c>
      <c r="G192">
        <v>74.5</v>
      </c>
      <c r="H192">
        <v>72.5</v>
      </c>
      <c r="I192">
        <v>82</v>
      </c>
    </row>
    <row r="193" hidden="1" spans="1:9">
      <c r="A193">
        <v>10187</v>
      </c>
      <c r="B193" t="s">
        <v>210</v>
      </c>
      <c r="C193" t="s">
        <v>14</v>
      </c>
      <c r="D193" t="s">
        <v>37</v>
      </c>
      <c r="E193">
        <v>74.5</v>
      </c>
      <c r="F193">
        <v>68</v>
      </c>
      <c r="G193">
        <v>83</v>
      </c>
      <c r="H193">
        <v>81</v>
      </c>
      <c r="I193">
        <v>65</v>
      </c>
    </row>
    <row r="194" hidden="1" spans="1:9">
      <c r="A194">
        <v>10188</v>
      </c>
      <c r="B194" t="s">
        <v>211</v>
      </c>
      <c r="C194" t="s">
        <v>14</v>
      </c>
      <c r="D194" t="s">
        <v>23</v>
      </c>
      <c r="E194">
        <v>87</v>
      </c>
      <c r="F194">
        <v>82</v>
      </c>
      <c r="G194">
        <v>68</v>
      </c>
      <c r="H194">
        <v>66</v>
      </c>
      <c r="I194">
        <v>76.5</v>
      </c>
    </row>
    <row r="195" hidden="1" spans="1:9">
      <c r="A195">
        <v>10189</v>
      </c>
      <c r="B195" t="s">
        <v>212</v>
      </c>
      <c r="C195" t="s">
        <v>14</v>
      </c>
      <c r="D195" t="s">
        <v>20</v>
      </c>
      <c r="E195">
        <v>56</v>
      </c>
      <c r="F195">
        <v>67.5</v>
      </c>
      <c r="G195">
        <v>65</v>
      </c>
      <c r="H195">
        <v>63</v>
      </c>
      <c r="I195">
        <v>65</v>
      </c>
    </row>
    <row r="196" hidden="1" spans="1:9">
      <c r="A196">
        <v>10190</v>
      </c>
      <c r="B196" t="s">
        <v>213</v>
      </c>
      <c r="C196" t="s">
        <v>14</v>
      </c>
      <c r="D196" t="s">
        <v>37</v>
      </c>
      <c r="E196">
        <v>69.5</v>
      </c>
      <c r="F196">
        <v>62.5</v>
      </c>
      <c r="G196">
        <v>74.5</v>
      </c>
      <c r="H196">
        <v>65</v>
      </c>
      <c r="I196">
        <v>68.5</v>
      </c>
    </row>
    <row r="197" hidden="1" spans="1:9">
      <c r="A197">
        <v>10191</v>
      </c>
      <c r="B197" t="s">
        <v>214</v>
      </c>
      <c r="C197" t="s">
        <v>14</v>
      </c>
      <c r="D197" t="s">
        <v>23</v>
      </c>
      <c r="E197">
        <v>60</v>
      </c>
      <c r="F197">
        <v>75.5</v>
      </c>
      <c r="G197">
        <v>88</v>
      </c>
      <c r="H197">
        <v>86</v>
      </c>
      <c r="I197">
        <v>78</v>
      </c>
    </row>
    <row r="198" hidden="1" spans="1:9">
      <c r="A198">
        <v>10192</v>
      </c>
      <c r="B198" t="s">
        <v>215</v>
      </c>
      <c r="C198" t="s">
        <v>14</v>
      </c>
      <c r="D198" t="s">
        <v>18</v>
      </c>
      <c r="E198">
        <v>72.5</v>
      </c>
      <c r="F198">
        <v>74.5</v>
      </c>
      <c r="G198">
        <v>71.5</v>
      </c>
      <c r="H198">
        <v>69.5</v>
      </c>
      <c r="I198">
        <v>81</v>
      </c>
    </row>
    <row r="199" hidden="1" spans="1:9">
      <c r="A199">
        <v>10193</v>
      </c>
      <c r="B199" t="s">
        <v>216</v>
      </c>
      <c r="C199" t="s">
        <v>17</v>
      </c>
      <c r="D199" t="s">
        <v>37</v>
      </c>
      <c r="E199">
        <v>84</v>
      </c>
      <c r="F199">
        <v>67</v>
      </c>
      <c r="G199">
        <v>79</v>
      </c>
      <c r="H199">
        <v>87</v>
      </c>
      <c r="I199">
        <v>83.5</v>
      </c>
    </row>
    <row r="200" hidden="1" spans="1:9">
      <c r="A200">
        <v>10194</v>
      </c>
      <c r="B200" t="s">
        <v>217</v>
      </c>
      <c r="C200" t="s">
        <v>17</v>
      </c>
      <c r="D200" t="s">
        <v>20</v>
      </c>
      <c r="E200">
        <v>69</v>
      </c>
      <c r="F200">
        <v>91.5</v>
      </c>
      <c r="G200">
        <v>74.5</v>
      </c>
      <c r="H200">
        <v>72.5</v>
      </c>
      <c r="I200">
        <v>72</v>
      </c>
    </row>
    <row r="201" hidden="1" spans="1:9">
      <c r="A201">
        <v>10195</v>
      </c>
      <c r="B201" t="s">
        <v>218</v>
      </c>
      <c r="C201" t="s">
        <v>17</v>
      </c>
      <c r="D201" t="s">
        <v>15</v>
      </c>
      <c r="E201">
        <v>93</v>
      </c>
      <c r="F201">
        <v>90</v>
      </c>
      <c r="G201">
        <v>93</v>
      </c>
      <c r="H201">
        <v>89</v>
      </c>
      <c r="I201">
        <v>87.5</v>
      </c>
    </row>
    <row r="202" hidden="1" spans="1:9">
      <c r="A202">
        <v>10196</v>
      </c>
      <c r="B202" t="s">
        <v>219</v>
      </c>
      <c r="C202" t="s">
        <v>17</v>
      </c>
      <c r="D202" t="s">
        <v>23</v>
      </c>
      <c r="E202">
        <v>70</v>
      </c>
      <c r="F202">
        <v>68.5</v>
      </c>
      <c r="G202">
        <v>80</v>
      </c>
      <c r="H202">
        <v>78</v>
      </c>
      <c r="I202">
        <v>91.5</v>
      </c>
    </row>
    <row r="203" hidden="1" spans="1:9">
      <c r="A203">
        <v>10197</v>
      </c>
      <c r="B203" t="s">
        <v>220</v>
      </c>
      <c r="C203" t="s">
        <v>17</v>
      </c>
      <c r="D203" t="s">
        <v>30</v>
      </c>
      <c r="E203">
        <v>65.5</v>
      </c>
      <c r="F203">
        <v>67.5</v>
      </c>
      <c r="G203">
        <v>71</v>
      </c>
      <c r="H203">
        <v>69</v>
      </c>
      <c r="I203">
        <v>68</v>
      </c>
    </row>
    <row r="204" hidden="1" spans="1:9">
      <c r="A204">
        <v>10198</v>
      </c>
      <c r="B204" t="s">
        <v>221</v>
      </c>
      <c r="C204" t="s">
        <v>17</v>
      </c>
      <c r="D204" t="s">
        <v>20</v>
      </c>
      <c r="E204">
        <v>85</v>
      </c>
      <c r="F204">
        <v>73</v>
      </c>
      <c r="G204">
        <v>83.5</v>
      </c>
      <c r="H204">
        <v>81.5</v>
      </c>
      <c r="I204">
        <v>77.5</v>
      </c>
    </row>
    <row r="205" hidden="1" spans="1:9">
      <c r="A205">
        <v>10199</v>
      </c>
      <c r="B205" t="s">
        <v>222</v>
      </c>
      <c r="C205" t="s">
        <v>14</v>
      </c>
      <c r="D205" t="s">
        <v>15</v>
      </c>
      <c r="E205">
        <v>68</v>
      </c>
      <c r="F205">
        <v>70.5</v>
      </c>
      <c r="G205">
        <v>70</v>
      </c>
      <c r="H205">
        <v>68</v>
      </c>
      <c r="I205">
        <v>72</v>
      </c>
    </row>
    <row r="206" hidden="1" spans="1:9">
      <c r="A206">
        <v>10200</v>
      </c>
      <c r="B206" t="s">
        <v>223</v>
      </c>
      <c r="C206" t="s">
        <v>14</v>
      </c>
      <c r="D206" t="s">
        <v>20</v>
      </c>
      <c r="E206">
        <v>76.5</v>
      </c>
      <c r="F206">
        <v>80.5</v>
      </c>
      <c r="G206">
        <v>81.5</v>
      </c>
      <c r="H206">
        <v>79.5</v>
      </c>
      <c r="I206">
        <v>81</v>
      </c>
    </row>
    <row r="207" hidden="1" spans="1:9">
      <c r="A207">
        <v>10201</v>
      </c>
      <c r="B207" t="s">
        <v>224</v>
      </c>
      <c r="C207" t="s">
        <v>17</v>
      </c>
      <c r="D207" t="s">
        <v>37</v>
      </c>
      <c r="E207">
        <v>91</v>
      </c>
      <c r="F207">
        <v>85.5</v>
      </c>
      <c r="G207">
        <v>97</v>
      </c>
      <c r="H207">
        <v>86</v>
      </c>
      <c r="I207">
        <v>64</v>
      </c>
    </row>
    <row r="208" hidden="1" spans="1:9">
      <c r="A208">
        <v>10202</v>
      </c>
      <c r="B208" t="s">
        <v>225</v>
      </c>
      <c r="C208" t="s">
        <v>17</v>
      </c>
      <c r="D208" t="s">
        <v>15</v>
      </c>
      <c r="E208">
        <v>81.5</v>
      </c>
      <c r="F208">
        <v>69</v>
      </c>
      <c r="G208">
        <v>81</v>
      </c>
      <c r="H208">
        <v>79</v>
      </c>
      <c r="I208">
        <v>71</v>
      </c>
    </row>
    <row r="209" hidden="1" spans="1:9">
      <c r="A209">
        <v>10203</v>
      </c>
      <c r="B209" t="s">
        <v>226</v>
      </c>
      <c r="C209" t="s">
        <v>17</v>
      </c>
      <c r="D209" t="s">
        <v>23</v>
      </c>
      <c r="E209">
        <v>81</v>
      </c>
      <c r="F209">
        <v>71.5</v>
      </c>
      <c r="G209">
        <v>74</v>
      </c>
      <c r="H209">
        <v>72</v>
      </c>
      <c r="I209">
        <v>79</v>
      </c>
    </row>
    <row r="210" hidden="1" spans="1:9">
      <c r="A210">
        <v>10204</v>
      </c>
      <c r="B210" t="s">
        <v>227</v>
      </c>
      <c r="C210" t="s">
        <v>17</v>
      </c>
      <c r="D210" t="s">
        <v>30</v>
      </c>
      <c r="E210">
        <v>76.5</v>
      </c>
      <c r="F210">
        <v>88</v>
      </c>
      <c r="G210">
        <v>75.5</v>
      </c>
      <c r="H210">
        <v>73.5</v>
      </c>
      <c r="I210">
        <v>92</v>
      </c>
    </row>
    <row r="211" hidden="1" spans="1:9">
      <c r="A211">
        <v>10205</v>
      </c>
      <c r="B211" t="s">
        <v>228</v>
      </c>
      <c r="C211" t="s">
        <v>14</v>
      </c>
      <c r="D211" t="s">
        <v>18</v>
      </c>
      <c r="E211">
        <v>86.5</v>
      </c>
      <c r="F211">
        <v>79</v>
      </c>
      <c r="G211">
        <v>82</v>
      </c>
      <c r="H211">
        <v>75</v>
      </c>
      <c r="I211">
        <v>82</v>
      </c>
    </row>
    <row r="212" hidden="1" spans="1:9">
      <c r="A212">
        <v>10206</v>
      </c>
      <c r="B212" t="s">
        <v>229</v>
      </c>
      <c r="C212" t="s">
        <v>14</v>
      </c>
      <c r="D212" t="s">
        <v>18</v>
      </c>
      <c r="E212">
        <v>78</v>
      </c>
      <c r="F212">
        <v>83</v>
      </c>
      <c r="G212">
        <v>53</v>
      </c>
      <c r="H212">
        <v>51</v>
      </c>
      <c r="I212">
        <v>86.5</v>
      </c>
    </row>
    <row r="213" hidden="1" spans="1:9">
      <c r="A213">
        <v>10207</v>
      </c>
      <c r="B213" t="s">
        <v>230</v>
      </c>
      <c r="C213" t="s">
        <v>17</v>
      </c>
      <c r="D213" t="s">
        <v>23</v>
      </c>
      <c r="E213">
        <v>91</v>
      </c>
      <c r="F213">
        <v>93</v>
      </c>
      <c r="G213">
        <v>90</v>
      </c>
      <c r="H213">
        <v>88</v>
      </c>
      <c r="I213">
        <v>91</v>
      </c>
    </row>
    <row r="214" hidden="1" spans="1:9">
      <c r="A214">
        <v>10208</v>
      </c>
      <c r="B214" t="s">
        <v>231</v>
      </c>
      <c r="C214" t="s">
        <v>17</v>
      </c>
      <c r="D214" t="s">
        <v>23</v>
      </c>
      <c r="E214">
        <v>75.5</v>
      </c>
      <c r="F214">
        <v>66</v>
      </c>
      <c r="G214">
        <v>69.5</v>
      </c>
      <c r="H214">
        <v>67.5</v>
      </c>
      <c r="I214">
        <v>63.5</v>
      </c>
    </row>
    <row r="215" hidden="1" spans="1:9">
      <c r="A215">
        <v>10209</v>
      </c>
      <c r="B215" t="s">
        <v>232</v>
      </c>
      <c r="C215" t="s">
        <v>14</v>
      </c>
      <c r="D215" t="s">
        <v>30</v>
      </c>
      <c r="E215">
        <v>72.5</v>
      </c>
      <c r="F215">
        <v>60</v>
      </c>
      <c r="G215">
        <v>77.5</v>
      </c>
      <c r="H215">
        <v>61</v>
      </c>
      <c r="I215">
        <v>68</v>
      </c>
    </row>
    <row r="216" hidden="1" spans="1:9">
      <c r="A216">
        <v>10210</v>
      </c>
      <c r="B216" t="s">
        <v>233</v>
      </c>
      <c r="C216" t="s">
        <v>17</v>
      </c>
      <c r="D216" t="s">
        <v>37</v>
      </c>
      <c r="E216">
        <v>74.5</v>
      </c>
      <c r="F216">
        <v>87</v>
      </c>
      <c r="G216">
        <v>92.5</v>
      </c>
      <c r="H216">
        <v>90.5</v>
      </c>
      <c r="I216">
        <v>74</v>
      </c>
    </row>
    <row r="217" hidden="1" spans="1:9">
      <c r="A217">
        <v>10211</v>
      </c>
      <c r="B217" t="s">
        <v>234</v>
      </c>
      <c r="C217" t="s">
        <v>14</v>
      </c>
      <c r="D217" t="s">
        <v>20</v>
      </c>
      <c r="E217">
        <v>69.5</v>
      </c>
      <c r="F217">
        <v>69</v>
      </c>
      <c r="G217">
        <v>78</v>
      </c>
      <c r="H217">
        <v>76</v>
      </c>
      <c r="I217">
        <v>70.5</v>
      </c>
    </row>
    <row r="218" hidden="1" spans="1:9">
      <c r="A218">
        <v>10212</v>
      </c>
      <c r="B218" t="s">
        <v>235</v>
      </c>
      <c r="C218" t="s">
        <v>17</v>
      </c>
      <c r="D218" t="s">
        <v>37</v>
      </c>
      <c r="E218">
        <v>79</v>
      </c>
      <c r="F218">
        <v>80</v>
      </c>
      <c r="G218">
        <v>75.5</v>
      </c>
      <c r="H218">
        <v>90</v>
      </c>
      <c r="I218">
        <v>84</v>
      </c>
    </row>
    <row r="219" hidden="1" spans="1:9">
      <c r="A219">
        <v>10213</v>
      </c>
      <c r="B219" t="s">
        <v>236</v>
      </c>
      <c r="C219" t="s">
        <v>17</v>
      </c>
      <c r="D219" t="s">
        <v>30</v>
      </c>
      <c r="E219">
        <v>71</v>
      </c>
      <c r="F219">
        <v>80</v>
      </c>
      <c r="G219">
        <v>81.5</v>
      </c>
      <c r="H219">
        <v>79.5</v>
      </c>
      <c r="I219">
        <v>89.5</v>
      </c>
    </row>
    <row r="220" hidden="1" spans="1:9">
      <c r="A220">
        <v>10214</v>
      </c>
      <c r="B220" t="s">
        <v>237</v>
      </c>
      <c r="C220" t="s">
        <v>14</v>
      </c>
      <c r="D220" t="s">
        <v>18</v>
      </c>
      <c r="E220">
        <v>86</v>
      </c>
      <c r="F220">
        <v>82.5</v>
      </c>
      <c r="G220">
        <v>80</v>
      </c>
      <c r="H220">
        <v>72</v>
      </c>
      <c r="I220">
        <v>83</v>
      </c>
    </row>
    <row r="221" hidden="1" spans="1:9">
      <c r="A221">
        <v>10215</v>
      </c>
      <c r="B221" t="s">
        <v>238</v>
      </c>
      <c r="C221" t="s">
        <v>17</v>
      </c>
      <c r="D221" t="s">
        <v>30</v>
      </c>
      <c r="E221">
        <v>88.5</v>
      </c>
      <c r="F221">
        <v>88.5</v>
      </c>
      <c r="G221">
        <v>80.5</v>
      </c>
      <c r="H221">
        <v>78.5</v>
      </c>
      <c r="I221">
        <v>65.5</v>
      </c>
    </row>
    <row r="222" hidden="1" spans="1:9">
      <c r="A222">
        <v>10216</v>
      </c>
      <c r="B222" t="s">
        <v>239</v>
      </c>
      <c r="C222" t="s">
        <v>14</v>
      </c>
      <c r="D222" t="s">
        <v>18</v>
      </c>
      <c r="E222">
        <v>73.5</v>
      </c>
      <c r="F222">
        <v>86</v>
      </c>
      <c r="G222">
        <v>88</v>
      </c>
      <c r="H222">
        <v>90</v>
      </c>
      <c r="I222">
        <v>75.5</v>
      </c>
    </row>
    <row r="223" hidden="1" spans="1:9">
      <c r="A223">
        <v>10217</v>
      </c>
      <c r="B223" t="s">
        <v>240</v>
      </c>
      <c r="C223" t="s">
        <v>17</v>
      </c>
      <c r="D223" t="s">
        <v>30</v>
      </c>
      <c r="E223">
        <v>82.5</v>
      </c>
      <c r="F223">
        <v>75</v>
      </c>
      <c r="G223">
        <v>87</v>
      </c>
      <c r="H223">
        <v>85</v>
      </c>
      <c r="I223">
        <v>74.5</v>
      </c>
    </row>
    <row r="224" hidden="1" spans="1:9">
      <c r="A224">
        <v>10218</v>
      </c>
      <c r="B224" t="s">
        <v>241</v>
      </c>
      <c r="C224" t="s">
        <v>14</v>
      </c>
      <c r="D224" t="s">
        <v>37</v>
      </c>
      <c r="E224">
        <v>68.5</v>
      </c>
      <c r="F224">
        <v>92</v>
      </c>
      <c r="G224">
        <v>72</v>
      </c>
      <c r="H224">
        <v>70</v>
      </c>
      <c r="I224">
        <v>81.5</v>
      </c>
    </row>
    <row r="225" hidden="1" spans="1:9">
      <c r="A225">
        <v>10219</v>
      </c>
      <c r="B225" t="s">
        <v>242</v>
      </c>
      <c r="C225" t="s">
        <v>17</v>
      </c>
      <c r="D225" t="s">
        <v>23</v>
      </c>
      <c r="E225">
        <v>82.5</v>
      </c>
      <c r="F225">
        <v>77</v>
      </c>
      <c r="G225">
        <v>78</v>
      </c>
      <c r="H225">
        <v>88</v>
      </c>
      <c r="I225">
        <v>81.5</v>
      </c>
    </row>
    <row r="226" hidden="1" spans="1:9">
      <c r="A226">
        <v>10220</v>
      </c>
      <c r="B226" t="s">
        <v>243</v>
      </c>
      <c r="C226" t="s">
        <v>17</v>
      </c>
      <c r="D226" t="s">
        <v>37</v>
      </c>
      <c r="E226">
        <v>79</v>
      </c>
      <c r="F226">
        <v>68.5</v>
      </c>
      <c r="G226">
        <v>80</v>
      </c>
      <c r="H226">
        <v>78</v>
      </c>
      <c r="I226">
        <v>64</v>
      </c>
    </row>
    <row r="227" hidden="1" spans="1:9">
      <c r="A227">
        <v>10221</v>
      </c>
      <c r="B227" t="s">
        <v>244</v>
      </c>
      <c r="C227" t="s">
        <v>14</v>
      </c>
      <c r="D227" t="s">
        <v>15</v>
      </c>
      <c r="E227">
        <v>75.5</v>
      </c>
      <c r="F227">
        <v>97.5</v>
      </c>
      <c r="G227">
        <v>65</v>
      </c>
      <c r="H227">
        <v>85</v>
      </c>
      <c r="I227">
        <v>91.5</v>
      </c>
    </row>
    <row r="228" hidden="1" spans="1:9">
      <c r="A228">
        <v>10222</v>
      </c>
      <c r="B228" t="s">
        <v>245</v>
      </c>
      <c r="C228" t="s">
        <v>17</v>
      </c>
      <c r="D228" t="s">
        <v>18</v>
      </c>
      <c r="E228">
        <v>90</v>
      </c>
      <c r="F228">
        <v>58</v>
      </c>
      <c r="G228">
        <v>84.5</v>
      </c>
      <c r="H228">
        <v>82.5</v>
      </c>
      <c r="I228">
        <v>96</v>
      </c>
    </row>
    <row r="229" hidden="1" spans="1:9">
      <c r="A229">
        <v>10223</v>
      </c>
      <c r="B229" t="s">
        <v>246</v>
      </c>
      <c r="C229" t="s">
        <v>14</v>
      </c>
      <c r="D229" t="s">
        <v>37</v>
      </c>
      <c r="E229">
        <v>67.5</v>
      </c>
      <c r="F229">
        <v>57.5</v>
      </c>
      <c r="G229">
        <v>64.5</v>
      </c>
      <c r="H229">
        <v>62.5</v>
      </c>
      <c r="I229">
        <v>90.5</v>
      </c>
    </row>
    <row r="230" hidden="1" spans="1:9">
      <c r="A230">
        <v>10224</v>
      </c>
      <c r="B230" t="s">
        <v>247</v>
      </c>
      <c r="C230" t="s">
        <v>17</v>
      </c>
      <c r="D230" t="s">
        <v>23</v>
      </c>
      <c r="E230">
        <v>75.5</v>
      </c>
      <c r="F230">
        <v>73.5</v>
      </c>
      <c r="G230">
        <v>77</v>
      </c>
      <c r="H230">
        <v>75</v>
      </c>
      <c r="I230">
        <v>68.5</v>
      </c>
    </row>
    <row r="231" hidden="1" spans="1:9">
      <c r="A231">
        <v>10225</v>
      </c>
      <c r="B231" t="s">
        <v>248</v>
      </c>
      <c r="C231" t="s">
        <v>14</v>
      </c>
      <c r="D231" t="s">
        <v>15</v>
      </c>
      <c r="E231">
        <v>77</v>
      </c>
      <c r="F231">
        <v>72</v>
      </c>
      <c r="G231">
        <v>71</v>
      </c>
      <c r="H231">
        <v>60</v>
      </c>
      <c r="I231">
        <v>60.5</v>
      </c>
    </row>
    <row r="232" hidden="1" spans="1:9">
      <c r="A232">
        <v>10226</v>
      </c>
      <c r="B232" t="s">
        <v>249</v>
      </c>
      <c r="C232" t="s">
        <v>17</v>
      </c>
      <c r="D232" t="s">
        <v>23</v>
      </c>
      <c r="E232">
        <v>64.5</v>
      </c>
      <c r="F232">
        <v>61.5</v>
      </c>
      <c r="G232">
        <v>79.5</v>
      </c>
      <c r="H232">
        <v>77.5</v>
      </c>
      <c r="I232">
        <v>69.5</v>
      </c>
    </row>
    <row r="233" hidden="1" spans="1:9">
      <c r="A233">
        <v>10227</v>
      </c>
      <c r="B233" t="s">
        <v>250</v>
      </c>
      <c r="C233" t="s">
        <v>14</v>
      </c>
      <c r="D233" t="s">
        <v>20</v>
      </c>
      <c r="E233">
        <v>70.5</v>
      </c>
      <c r="F233">
        <v>74.5</v>
      </c>
      <c r="G233">
        <v>65</v>
      </c>
      <c r="H233">
        <v>63</v>
      </c>
      <c r="I233">
        <v>66</v>
      </c>
    </row>
    <row r="234" hidden="1" spans="1:9">
      <c r="A234">
        <v>10228</v>
      </c>
      <c r="B234" t="s">
        <v>251</v>
      </c>
      <c r="C234" t="s">
        <v>14</v>
      </c>
      <c r="D234" t="s">
        <v>23</v>
      </c>
      <c r="E234">
        <v>95.5</v>
      </c>
      <c r="F234">
        <v>63.5</v>
      </c>
      <c r="G234">
        <v>74</v>
      </c>
      <c r="H234">
        <v>72</v>
      </c>
      <c r="I234">
        <v>66.5</v>
      </c>
    </row>
    <row r="235" hidden="1" spans="1:9">
      <c r="A235">
        <v>10229</v>
      </c>
      <c r="B235" t="s">
        <v>252</v>
      </c>
      <c r="C235" t="s">
        <v>14</v>
      </c>
      <c r="D235" t="s">
        <v>23</v>
      </c>
      <c r="E235">
        <v>66</v>
      </c>
      <c r="F235">
        <v>85.5</v>
      </c>
      <c r="G235">
        <v>71.5</v>
      </c>
      <c r="H235">
        <v>69.5</v>
      </c>
      <c r="I235">
        <v>81</v>
      </c>
    </row>
    <row r="236" hidden="1" spans="1:9">
      <c r="A236">
        <v>10230</v>
      </c>
      <c r="B236" t="s">
        <v>253</v>
      </c>
      <c r="C236" t="s">
        <v>17</v>
      </c>
      <c r="D236" t="s">
        <v>30</v>
      </c>
      <c r="E236">
        <v>66</v>
      </c>
      <c r="F236">
        <v>73</v>
      </c>
      <c r="G236">
        <v>79</v>
      </c>
      <c r="H236">
        <v>77</v>
      </c>
      <c r="I236">
        <v>88</v>
      </c>
    </row>
    <row r="237" hidden="1" spans="1:9">
      <c r="A237">
        <v>10231</v>
      </c>
      <c r="B237" t="s">
        <v>254</v>
      </c>
      <c r="C237" t="s">
        <v>17</v>
      </c>
      <c r="D237" t="s">
        <v>23</v>
      </c>
      <c r="E237">
        <v>62.5</v>
      </c>
      <c r="F237">
        <v>86.5</v>
      </c>
      <c r="G237">
        <v>86.5</v>
      </c>
      <c r="H237">
        <v>84.5</v>
      </c>
      <c r="I237">
        <v>92</v>
      </c>
    </row>
    <row r="238" hidden="1" spans="1:9">
      <c r="A238">
        <v>10232</v>
      </c>
      <c r="B238" t="s">
        <v>255</v>
      </c>
      <c r="C238" t="s">
        <v>14</v>
      </c>
      <c r="D238" t="s">
        <v>30</v>
      </c>
      <c r="E238">
        <v>59.5</v>
      </c>
      <c r="F238">
        <v>74.5</v>
      </c>
      <c r="G238">
        <v>74.5</v>
      </c>
      <c r="H238">
        <v>72.5</v>
      </c>
      <c r="I238">
        <v>74</v>
      </c>
    </row>
    <row r="239" hidden="1" spans="1:9">
      <c r="A239">
        <v>10233</v>
      </c>
      <c r="B239" t="s">
        <v>256</v>
      </c>
      <c r="C239" t="s">
        <v>17</v>
      </c>
      <c r="D239" t="s">
        <v>15</v>
      </c>
      <c r="E239">
        <v>69.5</v>
      </c>
      <c r="F239">
        <v>81</v>
      </c>
      <c r="G239">
        <v>74.5</v>
      </c>
      <c r="H239">
        <v>72.5</v>
      </c>
      <c r="I239">
        <v>73</v>
      </c>
    </row>
    <row r="240" hidden="1" spans="1:9">
      <c r="A240">
        <v>10234</v>
      </c>
      <c r="B240" t="s">
        <v>257</v>
      </c>
      <c r="C240" t="s">
        <v>17</v>
      </c>
      <c r="D240" t="s">
        <v>23</v>
      </c>
      <c r="E240">
        <v>97</v>
      </c>
      <c r="F240">
        <v>82.5</v>
      </c>
      <c r="G240">
        <v>72</v>
      </c>
      <c r="H240">
        <v>90</v>
      </c>
      <c r="I240">
        <v>76</v>
      </c>
    </row>
    <row r="241" hidden="1" spans="1:9">
      <c r="A241">
        <v>10235</v>
      </c>
      <c r="B241" t="s">
        <v>258</v>
      </c>
      <c r="C241" t="s">
        <v>17</v>
      </c>
      <c r="D241" t="s">
        <v>15</v>
      </c>
      <c r="E241">
        <v>64</v>
      </c>
      <c r="F241">
        <v>64.5</v>
      </c>
      <c r="G241">
        <v>75</v>
      </c>
      <c r="H241">
        <v>78</v>
      </c>
      <c r="I241">
        <v>60</v>
      </c>
    </row>
    <row r="242" hidden="1" spans="1:9">
      <c r="A242">
        <v>10236</v>
      </c>
      <c r="B242" t="s">
        <v>259</v>
      </c>
      <c r="C242" t="s">
        <v>14</v>
      </c>
      <c r="D242" t="s">
        <v>37</v>
      </c>
      <c r="E242">
        <v>76.5</v>
      </c>
      <c r="F242">
        <v>61</v>
      </c>
      <c r="G242">
        <v>88</v>
      </c>
      <c r="H242">
        <v>86</v>
      </c>
      <c r="I242">
        <v>90</v>
      </c>
    </row>
    <row r="243" hidden="1" spans="1:9">
      <c r="A243">
        <v>10237</v>
      </c>
      <c r="B243" t="s">
        <v>260</v>
      </c>
      <c r="C243" t="s">
        <v>14</v>
      </c>
      <c r="D243" t="s">
        <v>23</v>
      </c>
      <c r="E243">
        <v>76.5</v>
      </c>
      <c r="F243">
        <v>66</v>
      </c>
      <c r="G243">
        <v>74</v>
      </c>
      <c r="H243">
        <v>72</v>
      </c>
      <c r="I243">
        <v>71</v>
      </c>
    </row>
    <row r="244" hidden="1" spans="1:9">
      <c r="A244">
        <v>10238</v>
      </c>
      <c r="B244" t="s">
        <v>261</v>
      </c>
      <c r="C244" t="s">
        <v>14</v>
      </c>
      <c r="D244" t="s">
        <v>37</v>
      </c>
      <c r="E244">
        <v>74</v>
      </c>
      <c r="F244">
        <v>82</v>
      </c>
      <c r="G244">
        <v>70</v>
      </c>
      <c r="H244">
        <v>68</v>
      </c>
      <c r="I244">
        <v>71</v>
      </c>
    </row>
    <row r="245" hidden="1" spans="1:9">
      <c r="A245">
        <v>10239</v>
      </c>
      <c r="B245" t="s">
        <v>262</v>
      </c>
      <c r="C245" t="s">
        <v>17</v>
      </c>
      <c r="D245" t="s">
        <v>20</v>
      </c>
      <c r="E245">
        <v>88.5</v>
      </c>
      <c r="F245">
        <v>66.5</v>
      </c>
      <c r="G245">
        <v>68.5</v>
      </c>
      <c r="H245">
        <v>66.5</v>
      </c>
      <c r="I245">
        <v>81.5</v>
      </c>
    </row>
    <row r="246" hidden="1" spans="1:9">
      <c r="A246">
        <v>10240</v>
      </c>
      <c r="B246" t="s">
        <v>263</v>
      </c>
      <c r="C246" t="s">
        <v>17</v>
      </c>
      <c r="D246" t="s">
        <v>23</v>
      </c>
      <c r="E246">
        <v>91.5</v>
      </c>
      <c r="F246">
        <v>72.5</v>
      </c>
      <c r="G246">
        <v>67.5</v>
      </c>
      <c r="H246">
        <v>65.5</v>
      </c>
      <c r="I246">
        <v>89.5</v>
      </c>
    </row>
    <row r="247" hidden="1" spans="1:9">
      <c r="A247">
        <v>10241</v>
      </c>
      <c r="B247" t="s">
        <v>264</v>
      </c>
      <c r="C247" t="s">
        <v>17</v>
      </c>
      <c r="D247" t="s">
        <v>30</v>
      </c>
      <c r="E247">
        <v>76</v>
      </c>
      <c r="F247">
        <v>92</v>
      </c>
      <c r="G247">
        <v>95</v>
      </c>
      <c r="H247">
        <v>93</v>
      </c>
      <c r="I247">
        <v>67</v>
      </c>
    </row>
    <row r="248" hidden="1" spans="1:9">
      <c r="A248">
        <v>10242</v>
      </c>
      <c r="B248" t="s">
        <v>265</v>
      </c>
      <c r="C248" t="s">
        <v>14</v>
      </c>
      <c r="D248" t="s">
        <v>20</v>
      </c>
      <c r="E248">
        <v>71.5</v>
      </c>
      <c r="F248">
        <v>90</v>
      </c>
      <c r="G248">
        <v>86</v>
      </c>
      <c r="H248">
        <v>84</v>
      </c>
      <c r="I248">
        <v>84.5</v>
      </c>
    </row>
    <row r="249" hidden="1" spans="1:9">
      <c r="A249">
        <v>10243</v>
      </c>
      <c r="B249" t="s">
        <v>266</v>
      </c>
      <c r="C249" t="s">
        <v>14</v>
      </c>
      <c r="D249" t="s">
        <v>15</v>
      </c>
      <c r="E249">
        <v>94</v>
      </c>
      <c r="F249">
        <v>69.5</v>
      </c>
      <c r="G249">
        <v>81</v>
      </c>
      <c r="H249">
        <v>79</v>
      </c>
      <c r="I249">
        <v>87.5</v>
      </c>
    </row>
    <row r="250" spans="1:9">
      <c r="A250">
        <v>10244</v>
      </c>
      <c r="B250" t="s">
        <v>267</v>
      </c>
      <c r="C250" t="s">
        <v>14</v>
      </c>
      <c r="D250" t="s">
        <v>20</v>
      </c>
      <c r="E250">
        <v>96</v>
      </c>
      <c r="F250">
        <v>82</v>
      </c>
      <c r="G250">
        <v>70</v>
      </c>
      <c r="H250">
        <v>68</v>
      </c>
      <c r="I250">
        <v>51</v>
      </c>
    </row>
    <row r="251" hidden="1" spans="1:9">
      <c r="A251">
        <v>10245</v>
      </c>
      <c r="B251" t="s">
        <v>268</v>
      </c>
      <c r="C251" t="s">
        <v>14</v>
      </c>
      <c r="D251" t="s">
        <v>20</v>
      </c>
      <c r="E251">
        <v>67</v>
      </c>
      <c r="F251">
        <v>68.5</v>
      </c>
      <c r="G251">
        <v>73.5</v>
      </c>
      <c r="H251">
        <v>60</v>
      </c>
      <c r="I251">
        <v>72.5</v>
      </c>
    </row>
    <row r="252" hidden="1" spans="1:9">
      <c r="A252">
        <v>10246</v>
      </c>
      <c r="B252" t="s">
        <v>269</v>
      </c>
      <c r="C252" t="s">
        <v>14</v>
      </c>
      <c r="D252" t="s">
        <v>30</v>
      </c>
      <c r="E252">
        <v>52</v>
      </c>
      <c r="F252">
        <v>67</v>
      </c>
      <c r="G252">
        <v>63</v>
      </c>
      <c r="H252">
        <v>78</v>
      </c>
      <c r="I252">
        <v>78.5</v>
      </c>
    </row>
    <row r="253" hidden="1" spans="1:9">
      <c r="A253">
        <v>10247</v>
      </c>
      <c r="B253" t="s">
        <v>270</v>
      </c>
      <c r="C253" t="s">
        <v>17</v>
      </c>
      <c r="D253" t="s">
        <v>23</v>
      </c>
      <c r="E253">
        <v>71.5</v>
      </c>
      <c r="F253">
        <v>60</v>
      </c>
      <c r="G253">
        <v>70.5</v>
      </c>
      <c r="H253">
        <v>68.5</v>
      </c>
      <c r="I253">
        <v>90</v>
      </c>
    </row>
    <row r="254" hidden="1" spans="1:9">
      <c r="A254">
        <v>10248</v>
      </c>
      <c r="B254" t="s">
        <v>271</v>
      </c>
      <c r="C254" t="s">
        <v>17</v>
      </c>
      <c r="D254" t="s">
        <v>20</v>
      </c>
      <c r="E254">
        <v>74.5</v>
      </c>
      <c r="F254">
        <v>72.5</v>
      </c>
      <c r="G254">
        <v>71</v>
      </c>
      <c r="H254">
        <v>62</v>
      </c>
      <c r="I254">
        <v>62</v>
      </c>
    </row>
    <row r="255" hidden="1" spans="1:9">
      <c r="A255">
        <v>10249</v>
      </c>
      <c r="B255" t="s">
        <v>272</v>
      </c>
      <c r="C255" t="s">
        <v>14</v>
      </c>
      <c r="D255" t="s">
        <v>18</v>
      </c>
      <c r="E255">
        <v>90</v>
      </c>
      <c r="F255">
        <v>83.5</v>
      </c>
      <c r="G255">
        <v>94</v>
      </c>
      <c r="H255">
        <v>92</v>
      </c>
      <c r="I255">
        <v>95</v>
      </c>
    </row>
    <row r="256" hidden="1" spans="1:9">
      <c r="A256">
        <v>10250</v>
      </c>
      <c r="B256" t="s">
        <v>273</v>
      </c>
      <c r="C256" t="s">
        <v>17</v>
      </c>
      <c r="D256" t="s">
        <v>37</v>
      </c>
      <c r="E256">
        <v>81.5</v>
      </c>
      <c r="F256">
        <v>72</v>
      </c>
      <c r="G256">
        <v>79</v>
      </c>
      <c r="H256">
        <v>89</v>
      </c>
      <c r="I256">
        <v>87</v>
      </c>
    </row>
    <row r="257" hidden="1" spans="1:9">
      <c r="A257">
        <v>10251</v>
      </c>
      <c r="B257" t="s">
        <v>230</v>
      </c>
      <c r="C257" t="s">
        <v>17</v>
      </c>
      <c r="D257" t="s">
        <v>20</v>
      </c>
      <c r="E257">
        <v>65.5</v>
      </c>
      <c r="F257">
        <v>85</v>
      </c>
      <c r="G257">
        <v>83</v>
      </c>
      <c r="H257">
        <v>81</v>
      </c>
      <c r="I257">
        <v>97</v>
      </c>
    </row>
    <row r="258" hidden="1" spans="1:9">
      <c r="A258">
        <v>10252</v>
      </c>
      <c r="B258" t="s">
        <v>274</v>
      </c>
      <c r="C258" t="s">
        <v>17</v>
      </c>
      <c r="D258" t="s">
        <v>18</v>
      </c>
      <c r="E258">
        <v>73.5</v>
      </c>
      <c r="F258">
        <v>68</v>
      </c>
      <c r="G258">
        <v>68.5</v>
      </c>
      <c r="H258">
        <v>66.5</v>
      </c>
      <c r="I258">
        <v>65</v>
      </c>
    </row>
    <row r="259" hidden="1" spans="1:9">
      <c r="A259">
        <v>10253</v>
      </c>
      <c r="B259" t="s">
        <v>275</v>
      </c>
      <c r="C259" t="s">
        <v>14</v>
      </c>
      <c r="D259" t="s">
        <v>23</v>
      </c>
      <c r="E259">
        <v>93</v>
      </c>
      <c r="F259">
        <v>93</v>
      </c>
      <c r="G259">
        <v>93</v>
      </c>
      <c r="H259">
        <v>78</v>
      </c>
      <c r="I259">
        <v>93</v>
      </c>
    </row>
    <row r="260" hidden="1" spans="1:9">
      <c r="A260">
        <v>10254</v>
      </c>
      <c r="B260" t="s">
        <v>276</v>
      </c>
      <c r="C260" t="s">
        <v>17</v>
      </c>
      <c r="D260" t="s">
        <v>20</v>
      </c>
      <c r="E260">
        <v>92.5</v>
      </c>
      <c r="F260">
        <v>57.5</v>
      </c>
      <c r="G260">
        <v>88</v>
      </c>
      <c r="H260">
        <v>86</v>
      </c>
      <c r="I260">
        <v>81</v>
      </c>
    </row>
    <row r="261" hidden="1" spans="1:9">
      <c r="A261">
        <v>10255</v>
      </c>
      <c r="B261" t="s">
        <v>277</v>
      </c>
      <c r="C261" t="s">
        <v>14</v>
      </c>
      <c r="D261" t="s">
        <v>37</v>
      </c>
      <c r="E261">
        <v>93</v>
      </c>
      <c r="F261">
        <v>58</v>
      </c>
      <c r="G261">
        <v>92</v>
      </c>
      <c r="H261">
        <v>90</v>
      </c>
      <c r="I261">
        <v>92.5</v>
      </c>
    </row>
    <row r="262" hidden="1" spans="1:9">
      <c r="A262">
        <v>10256</v>
      </c>
      <c r="B262" t="s">
        <v>278</v>
      </c>
      <c r="C262" t="s">
        <v>17</v>
      </c>
      <c r="D262" t="s">
        <v>20</v>
      </c>
      <c r="E262">
        <v>82.5</v>
      </c>
      <c r="F262">
        <v>95.5</v>
      </c>
      <c r="G262">
        <v>72.5</v>
      </c>
      <c r="H262">
        <v>85</v>
      </c>
      <c r="I262">
        <v>69</v>
      </c>
    </row>
    <row r="263" hidden="1" spans="1:9">
      <c r="A263">
        <v>10257</v>
      </c>
      <c r="B263" t="s">
        <v>279</v>
      </c>
      <c r="C263" t="s">
        <v>17</v>
      </c>
      <c r="D263" t="s">
        <v>37</v>
      </c>
      <c r="E263">
        <v>65</v>
      </c>
      <c r="F263">
        <v>83</v>
      </c>
      <c r="G263">
        <v>57</v>
      </c>
      <c r="H263">
        <v>55</v>
      </c>
      <c r="I263">
        <v>72.5</v>
      </c>
    </row>
    <row r="264" hidden="1" spans="1:9">
      <c r="A264">
        <v>10258</v>
      </c>
      <c r="B264" t="s">
        <v>280</v>
      </c>
      <c r="C264" t="s">
        <v>17</v>
      </c>
      <c r="D264" t="s">
        <v>20</v>
      </c>
      <c r="E264">
        <v>66</v>
      </c>
      <c r="F264">
        <v>68.5</v>
      </c>
      <c r="G264">
        <v>76.5</v>
      </c>
      <c r="H264">
        <v>74.5</v>
      </c>
      <c r="I264">
        <v>74.5</v>
      </c>
    </row>
    <row r="265" hidden="1" spans="1:9">
      <c r="A265">
        <v>10259</v>
      </c>
      <c r="B265" t="s">
        <v>281</v>
      </c>
      <c r="C265" t="s">
        <v>14</v>
      </c>
      <c r="D265" t="s">
        <v>30</v>
      </c>
      <c r="E265">
        <v>87</v>
      </c>
      <c r="F265">
        <v>67</v>
      </c>
      <c r="G265">
        <v>64</v>
      </c>
      <c r="H265">
        <v>62</v>
      </c>
      <c r="I265">
        <v>61</v>
      </c>
    </row>
    <row r="266" hidden="1" spans="1:9">
      <c r="A266">
        <v>10260</v>
      </c>
      <c r="B266" t="s">
        <v>282</v>
      </c>
      <c r="C266" t="s">
        <v>17</v>
      </c>
      <c r="D266" t="s">
        <v>37</v>
      </c>
      <c r="E266">
        <v>69</v>
      </c>
      <c r="F266">
        <v>85</v>
      </c>
      <c r="G266">
        <v>80</v>
      </c>
      <c r="H266">
        <v>78</v>
      </c>
      <c r="I266">
        <v>90.5</v>
      </c>
    </row>
    <row r="267" hidden="1" spans="1:9">
      <c r="A267">
        <v>10261</v>
      </c>
      <c r="B267" t="s">
        <v>283</v>
      </c>
      <c r="C267" t="s">
        <v>17</v>
      </c>
      <c r="D267" t="s">
        <v>30</v>
      </c>
      <c r="E267">
        <v>95.5</v>
      </c>
      <c r="F267">
        <v>63.5</v>
      </c>
      <c r="G267">
        <v>89</v>
      </c>
      <c r="H267">
        <v>87</v>
      </c>
      <c r="I267">
        <v>84.5</v>
      </c>
    </row>
    <row r="268" hidden="1" spans="1:9">
      <c r="A268">
        <v>10262</v>
      </c>
      <c r="B268" t="s">
        <v>284</v>
      </c>
      <c r="C268" t="s">
        <v>17</v>
      </c>
      <c r="D268" t="s">
        <v>30</v>
      </c>
      <c r="E268">
        <v>57</v>
      </c>
      <c r="F268">
        <v>85.5</v>
      </c>
      <c r="G268">
        <v>88.5</v>
      </c>
      <c r="H268">
        <v>86.5</v>
      </c>
      <c r="I268">
        <v>70.5</v>
      </c>
    </row>
    <row r="269" hidden="1" spans="1:9">
      <c r="A269">
        <v>10263</v>
      </c>
      <c r="B269" t="s">
        <v>285</v>
      </c>
      <c r="C269" t="s">
        <v>17</v>
      </c>
      <c r="D269" t="s">
        <v>20</v>
      </c>
      <c r="E269">
        <v>74</v>
      </c>
      <c r="F269">
        <v>81</v>
      </c>
      <c r="G269">
        <v>82</v>
      </c>
      <c r="H269">
        <v>80</v>
      </c>
      <c r="I269">
        <v>91</v>
      </c>
    </row>
    <row r="270" hidden="1" spans="1:9">
      <c r="A270">
        <v>10264</v>
      </c>
      <c r="B270" t="s">
        <v>85</v>
      </c>
      <c r="C270" t="s">
        <v>17</v>
      </c>
      <c r="D270" t="s">
        <v>15</v>
      </c>
      <c r="E270">
        <v>90</v>
      </c>
      <c r="F270">
        <v>92</v>
      </c>
      <c r="G270">
        <v>87</v>
      </c>
      <c r="H270">
        <v>91</v>
      </c>
      <c r="I270">
        <v>90</v>
      </c>
    </row>
    <row r="271" hidden="1" spans="1:9">
      <c r="A271">
        <v>10265</v>
      </c>
      <c r="B271" t="s">
        <v>286</v>
      </c>
      <c r="C271" t="s">
        <v>17</v>
      </c>
      <c r="D271" t="s">
        <v>15</v>
      </c>
      <c r="E271">
        <v>79</v>
      </c>
      <c r="F271">
        <v>82</v>
      </c>
      <c r="G271">
        <v>76.5</v>
      </c>
      <c r="H271">
        <v>74.5</v>
      </c>
      <c r="I271">
        <v>72.5</v>
      </c>
    </row>
    <row r="272" hidden="1" spans="1:9">
      <c r="A272">
        <v>10266</v>
      </c>
      <c r="B272" t="s">
        <v>287</v>
      </c>
      <c r="C272" t="s">
        <v>14</v>
      </c>
      <c r="D272" t="s">
        <v>18</v>
      </c>
      <c r="E272">
        <v>84</v>
      </c>
      <c r="F272">
        <v>83</v>
      </c>
      <c r="G272">
        <v>82</v>
      </c>
      <c r="H272">
        <v>73</v>
      </c>
      <c r="I272">
        <v>86</v>
      </c>
    </row>
    <row r="273" hidden="1" spans="1:9">
      <c r="A273">
        <v>10267</v>
      </c>
      <c r="B273" t="s">
        <v>288</v>
      </c>
      <c r="C273" t="s">
        <v>14</v>
      </c>
      <c r="D273" t="s">
        <v>37</v>
      </c>
      <c r="E273">
        <v>72</v>
      </c>
      <c r="F273">
        <v>53.5</v>
      </c>
      <c r="G273">
        <v>75.5</v>
      </c>
      <c r="H273">
        <v>73.5</v>
      </c>
      <c r="I273">
        <v>59</v>
      </c>
    </row>
    <row r="274" hidden="1" spans="1:9">
      <c r="A274">
        <v>10268</v>
      </c>
      <c r="B274" t="s">
        <v>289</v>
      </c>
      <c r="C274" t="s">
        <v>17</v>
      </c>
      <c r="D274" t="s">
        <v>30</v>
      </c>
      <c r="E274">
        <v>78</v>
      </c>
      <c r="F274">
        <v>68</v>
      </c>
      <c r="G274">
        <v>88.5</v>
      </c>
      <c r="H274">
        <v>86.5</v>
      </c>
      <c r="I274">
        <v>82.5</v>
      </c>
    </row>
    <row r="275" hidden="1" spans="1:9">
      <c r="A275">
        <v>10269</v>
      </c>
      <c r="B275" t="s">
        <v>290</v>
      </c>
      <c r="C275" t="s">
        <v>14</v>
      </c>
      <c r="D275" t="s">
        <v>18</v>
      </c>
      <c r="E275">
        <v>67</v>
      </c>
      <c r="F275">
        <v>72</v>
      </c>
      <c r="G275">
        <v>83</v>
      </c>
      <c r="H275">
        <v>81</v>
      </c>
      <c r="I275">
        <v>51</v>
      </c>
    </row>
    <row r="276" hidden="1" spans="1:9">
      <c r="A276">
        <v>10270</v>
      </c>
      <c r="B276" t="s">
        <v>291</v>
      </c>
      <c r="C276" t="s">
        <v>17</v>
      </c>
      <c r="D276" t="s">
        <v>18</v>
      </c>
      <c r="E276">
        <v>71</v>
      </c>
      <c r="F276">
        <v>79</v>
      </c>
      <c r="G276">
        <v>93</v>
      </c>
      <c r="H276">
        <v>91</v>
      </c>
      <c r="I276">
        <v>82.5</v>
      </c>
    </row>
    <row r="277" hidden="1" spans="1:9">
      <c r="A277">
        <v>10271</v>
      </c>
      <c r="B277" t="s">
        <v>292</v>
      </c>
      <c r="C277" t="s">
        <v>14</v>
      </c>
      <c r="D277" t="s">
        <v>23</v>
      </c>
      <c r="E277">
        <v>78.5</v>
      </c>
      <c r="F277">
        <v>81.5</v>
      </c>
      <c r="G277">
        <v>82</v>
      </c>
      <c r="H277">
        <v>80</v>
      </c>
      <c r="I277">
        <v>89.5</v>
      </c>
    </row>
    <row r="278" hidden="1" spans="1:9">
      <c r="A278">
        <v>10272</v>
      </c>
      <c r="B278" t="s">
        <v>293</v>
      </c>
      <c r="C278" t="s">
        <v>14</v>
      </c>
      <c r="D278" t="s">
        <v>30</v>
      </c>
      <c r="E278">
        <v>83</v>
      </c>
      <c r="F278">
        <v>84</v>
      </c>
      <c r="G278">
        <v>77</v>
      </c>
      <c r="H278">
        <v>75</v>
      </c>
      <c r="I278">
        <v>73.5</v>
      </c>
    </row>
    <row r="279" hidden="1" spans="1:9">
      <c r="A279">
        <v>10273</v>
      </c>
      <c r="B279" t="s">
        <v>294</v>
      </c>
      <c r="C279" t="s">
        <v>17</v>
      </c>
      <c r="D279" t="s">
        <v>23</v>
      </c>
      <c r="E279">
        <v>78</v>
      </c>
      <c r="F279">
        <v>63</v>
      </c>
      <c r="G279">
        <v>92</v>
      </c>
      <c r="H279">
        <v>90</v>
      </c>
      <c r="I279">
        <v>65</v>
      </c>
    </row>
    <row r="280" hidden="1" spans="1:9">
      <c r="A280">
        <v>10274</v>
      </c>
      <c r="B280" t="s">
        <v>295</v>
      </c>
      <c r="C280" t="s">
        <v>14</v>
      </c>
      <c r="D280" t="s">
        <v>15</v>
      </c>
      <c r="E280">
        <v>77.5</v>
      </c>
      <c r="F280">
        <v>78.5</v>
      </c>
      <c r="G280">
        <v>65</v>
      </c>
      <c r="H280">
        <v>63</v>
      </c>
      <c r="I280">
        <v>73.5</v>
      </c>
    </row>
    <row r="281" hidden="1" spans="1:9">
      <c r="A281">
        <v>10275</v>
      </c>
      <c r="B281" t="s">
        <v>296</v>
      </c>
      <c r="C281" t="s">
        <v>14</v>
      </c>
      <c r="D281" t="s">
        <v>18</v>
      </c>
      <c r="E281">
        <v>73</v>
      </c>
      <c r="F281">
        <v>74.5</v>
      </c>
      <c r="G281">
        <v>81.5</v>
      </c>
      <c r="H281">
        <v>79.5</v>
      </c>
      <c r="I281">
        <v>75.5</v>
      </c>
    </row>
    <row r="282" hidden="1" spans="1:9">
      <c r="A282">
        <v>10276</v>
      </c>
      <c r="B282" t="s">
        <v>297</v>
      </c>
      <c r="C282" t="s">
        <v>17</v>
      </c>
      <c r="D282" t="s">
        <v>23</v>
      </c>
      <c r="E282">
        <v>76</v>
      </c>
      <c r="F282">
        <v>75</v>
      </c>
      <c r="G282">
        <v>67</v>
      </c>
      <c r="H282">
        <v>65</v>
      </c>
      <c r="I282">
        <v>59</v>
      </c>
    </row>
    <row r="283" hidden="1" spans="1:9">
      <c r="A283">
        <v>10277</v>
      </c>
      <c r="B283" t="s">
        <v>298</v>
      </c>
      <c r="C283" t="s">
        <v>17</v>
      </c>
      <c r="D283" t="s">
        <v>15</v>
      </c>
      <c r="E283">
        <v>83.5</v>
      </c>
      <c r="F283">
        <v>86.5</v>
      </c>
      <c r="G283">
        <v>84</v>
      </c>
      <c r="H283">
        <v>82</v>
      </c>
      <c r="I283">
        <v>80</v>
      </c>
    </row>
    <row r="284" hidden="1" spans="1:9">
      <c r="A284">
        <v>10278</v>
      </c>
      <c r="B284" t="s">
        <v>299</v>
      </c>
      <c r="C284" t="s">
        <v>17</v>
      </c>
      <c r="D284" t="s">
        <v>20</v>
      </c>
      <c r="E284">
        <v>86.5</v>
      </c>
      <c r="F284">
        <v>94</v>
      </c>
      <c r="G284">
        <v>67.5</v>
      </c>
      <c r="H284">
        <v>65.5</v>
      </c>
      <c r="I284">
        <v>74.5</v>
      </c>
    </row>
    <row r="285" hidden="1" spans="1:9">
      <c r="A285">
        <v>10279</v>
      </c>
      <c r="B285" t="s">
        <v>300</v>
      </c>
      <c r="C285" t="s">
        <v>17</v>
      </c>
      <c r="D285" t="s">
        <v>20</v>
      </c>
      <c r="E285">
        <v>82</v>
      </c>
      <c r="F285">
        <v>82.5</v>
      </c>
      <c r="G285">
        <v>79</v>
      </c>
      <c r="H285">
        <v>77</v>
      </c>
      <c r="I285">
        <v>81</v>
      </c>
    </row>
    <row r="286" hidden="1" spans="1:9">
      <c r="A286">
        <v>10280</v>
      </c>
      <c r="B286" t="s">
        <v>301</v>
      </c>
      <c r="C286" t="s">
        <v>14</v>
      </c>
      <c r="D286" t="s">
        <v>20</v>
      </c>
      <c r="E286">
        <v>69</v>
      </c>
      <c r="F286">
        <v>83</v>
      </c>
      <c r="G286">
        <v>69.5</v>
      </c>
      <c r="H286">
        <v>67.5</v>
      </c>
      <c r="I286">
        <v>78</v>
      </c>
    </row>
    <row r="287" hidden="1" spans="1:9">
      <c r="A287">
        <v>10281</v>
      </c>
      <c r="B287" t="s">
        <v>302</v>
      </c>
      <c r="C287" t="s">
        <v>14</v>
      </c>
      <c r="D287" t="s">
        <v>30</v>
      </c>
      <c r="E287">
        <v>62</v>
      </c>
      <c r="F287">
        <v>78</v>
      </c>
      <c r="G287">
        <v>78</v>
      </c>
      <c r="H287">
        <v>76</v>
      </c>
      <c r="I287">
        <v>75</v>
      </c>
    </row>
    <row r="288" spans="1:9">
      <c r="A288">
        <v>10282</v>
      </c>
      <c r="B288" t="s">
        <v>303</v>
      </c>
      <c r="C288" t="s">
        <v>14</v>
      </c>
      <c r="D288" t="s">
        <v>20</v>
      </c>
      <c r="E288">
        <v>95</v>
      </c>
      <c r="F288">
        <v>87</v>
      </c>
      <c r="G288">
        <v>90.5</v>
      </c>
      <c r="H288">
        <v>88.5</v>
      </c>
      <c r="I288">
        <v>92</v>
      </c>
    </row>
    <row r="289" hidden="1" spans="1:9">
      <c r="A289">
        <v>10283</v>
      </c>
      <c r="B289" t="s">
        <v>304</v>
      </c>
      <c r="C289" t="s">
        <v>14</v>
      </c>
      <c r="D289" t="s">
        <v>30</v>
      </c>
      <c r="E289">
        <v>77.5</v>
      </c>
      <c r="F289">
        <v>65.5</v>
      </c>
      <c r="G289">
        <v>77.5</v>
      </c>
      <c r="H289">
        <v>75.5</v>
      </c>
      <c r="I289">
        <v>84.5</v>
      </c>
    </row>
    <row r="290" hidden="1" spans="1:9">
      <c r="A290">
        <v>10284</v>
      </c>
      <c r="B290" t="s">
        <v>305</v>
      </c>
      <c r="C290" t="s">
        <v>17</v>
      </c>
      <c r="D290" t="s">
        <v>30</v>
      </c>
      <c r="E290">
        <v>97</v>
      </c>
      <c r="F290">
        <v>74</v>
      </c>
      <c r="G290">
        <v>75</v>
      </c>
      <c r="H290">
        <v>85</v>
      </c>
      <c r="I290">
        <v>77</v>
      </c>
    </row>
    <row r="291" hidden="1" spans="1:9">
      <c r="A291">
        <v>10285</v>
      </c>
      <c r="B291" t="s">
        <v>306</v>
      </c>
      <c r="C291" t="s">
        <v>17</v>
      </c>
      <c r="D291" t="s">
        <v>30</v>
      </c>
      <c r="E291">
        <v>83.5</v>
      </c>
      <c r="F291">
        <v>59.5</v>
      </c>
      <c r="G291">
        <v>79.5</v>
      </c>
      <c r="H291">
        <v>77.5</v>
      </c>
      <c r="I291">
        <v>79.5</v>
      </c>
    </row>
    <row r="292" hidden="1" spans="1:9">
      <c r="A292">
        <v>10286</v>
      </c>
      <c r="B292" t="s">
        <v>307</v>
      </c>
      <c r="C292" t="s">
        <v>17</v>
      </c>
      <c r="D292" t="s">
        <v>20</v>
      </c>
      <c r="E292">
        <v>77</v>
      </c>
      <c r="F292">
        <v>57</v>
      </c>
      <c r="G292">
        <v>68.5</v>
      </c>
      <c r="H292">
        <v>66.5</v>
      </c>
      <c r="I292">
        <v>72</v>
      </c>
    </row>
    <row r="293" hidden="1" spans="1:9">
      <c r="A293">
        <v>10287</v>
      </c>
      <c r="B293" t="s">
        <v>308</v>
      </c>
      <c r="C293" t="s">
        <v>14</v>
      </c>
      <c r="D293" t="s">
        <v>23</v>
      </c>
      <c r="E293">
        <v>83</v>
      </c>
      <c r="F293">
        <v>71.5</v>
      </c>
      <c r="G293">
        <v>75</v>
      </c>
      <c r="H293">
        <v>73</v>
      </c>
      <c r="I293">
        <v>73</v>
      </c>
    </row>
    <row r="294" hidden="1" spans="1:9">
      <c r="A294">
        <v>10288</v>
      </c>
      <c r="B294" t="s">
        <v>309</v>
      </c>
      <c r="C294" t="s">
        <v>17</v>
      </c>
      <c r="D294" t="s">
        <v>30</v>
      </c>
      <c r="E294">
        <v>49</v>
      </c>
      <c r="F294">
        <v>73.5</v>
      </c>
      <c r="G294">
        <v>86</v>
      </c>
      <c r="H294">
        <v>84</v>
      </c>
      <c r="I294">
        <v>76.5</v>
      </c>
    </row>
    <row r="295" hidden="1" spans="1:9">
      <c r="A295">
        <v>10289</v>
      </c>
      <c r="B295" t="s">
        <v>310</v>
      </c>
      <c r="C295" t="s">
        <v>14</v>
      </c>
      <c r="D295" t="s">
        <v>37</v>
      </c>
      <c r="E295">
        <v>82</v>
      </c>
      <c r="F295">
        <v>65</v>
      </c>
      <c r="G295">
        <v>87.5</v>
      </c>
      <c r="H295">
        <v>85.5</v>
      </c>
      <c r="I295">
        <v>91</v>
      </c>
    </row>
    <row r="296" hidden="1" spans="1:9">
      <c r="A296">
        <v>10290</v>
      </c>
      <c r="B296" t="s">
        <v>311</v>
      </c>
      <c r="C296" t="s">
        <v>17</v>
      </c>
      <c r="D296" t="s">
        <v>18</v>
      </c>
      <c r="E296">
        <v>90</v>
      </c>
      <c r="F296">
        <v>68</v>
      </c>
      <c r="G296">
        <v>97.5</v>
      </c>
      <c r="H296">
        <v>95.5</v>
      </c>
      <c r="I296">
        <v>81</v>
      </c>
    </row>
    <row r="297" hidden="1" spans="1:9">
      <c r="A297">
        <v>10291</v>
      </c>
      <c r="B297" t="s">
        <v>312</v>
      </c>
      <c r="C297" t="s">
        <v>17</v>
      </c>
      <c r="D297" t="s">
        <v>18</v>
      </c>
      <c r="E297">
        <v>78</v>
      </c>
      <c r="F297">
        <v>79.5</v>
      </c>
      <c r="G297">
        <v>76.5</v>
      </c>
      <c r="H297">
        <v>74.5</v>
      </c>
      <c r="I297">
        <v>75</v>
      </c>
    </row>
    <row r="298" hidden="1" spans="1:9">
      <c r="A298">
        <v>10292</v>
      </c>
      <c r="B298" t="s">
        <v>313</v>
      </c>
      <c r="C298" t="s">
        <v>17</v>
      </c>
      <c r="D298" t="s">
        <v>37</v>
      </c>
      <c r="E298">
        <v>80.5</v>
      </c>
      <c r="F298">
        <v>65</v>
      </c>
      <c r="G298">
        <v>73.5</v>
      </c>
      <c r="H298">
        <v>71.5</v>
      </c>
      <c r="I298">
        <v>81</v>
      </c>
    </row>
    <row r="299" hidden="1" spans="1:9">
      <c r="A299">
        <v>10293</v>
      </c>
      <c r="B299" t="s">
        <v>314</v>
      </c>
      <c r="C299" t="s">
        <v>17</v>
      </c>
      <c r="D299" t="s">
        <v>15</v>
      </c>
      <c r="E299">
        <v>87.5</v>
      </c>
      <c r="F299">
        <v>81.5</v>
      </c>
      <c r="G299">
        <v>85</v>
      </c>
      <c r="H299">
        <v>83</v>
      </c>
      <c r="I299">
        <v>89.5</v>
      </c>
    </row>
    <row r="300" hidden="1" spans="1:9">
      <c r="A300">
        <v>10294</v>
      </c>
      <c r="B300" t="s">
        <v>315</v>
      </c>
      <c r="C300" t="s">
        <v>14</v>
      </c>
      <c r="D300" t="s">
        <v>18</v>
      </c>
      <c r="E300">
        <v>75</v>
      </c>
      <c r="F300">
        <v>98</v>
      </c>
      <c r="G300">
        <v>57</v>
      </c>
      <c r="H300">
        <v>55</v>
      </c>
      <c r="I300">
        <v>87</v>
      </c>
    </row>
    <row r="301" hidden="1" spans="1:9">
      <c r="A301">
        <v>10295</v>
      </c>
      <c r="B301" t="s">
        <v>316</v>
      </c>
      <c r="C301" t="s">
        <v>17</v>
      </c>
      <c r="D301" t="s">
        <v>18</v>
      </c>
      <c r="E301">
        <v>69</v>
      </c>
      <c r="F301">
        <v>82</v>
      </c>
      <c r="G301">
        <v>70</v>
      </c>
      <c r="H301">
        <v>68</v>
      </c>
      <c r="I301">
        <v>87.5</v>
      </c>
    </row>
    <row r="302" hidden="1" spans="1:9">
      <c r="A302">
        <v>10296</v>
      </c>
      <c r="B302" t="s">
        <v>317</v>
      </c>
      <c r="C302" t="s">
        <v>14</v>
      </c>
      <c r="D302" t="s">
        <v>15</v>
      </c>
      <c r="E302">
        <v>91.5</v>
      </c>
      <c r="F302">
        <v>80</v>
      </c>
      <c r="G302">
        <v>59</v>
      </c>
      <c r="H302">
        <v>57</v>
      </c>
      <c r="I302">
        <v>52</v>
      </c>
    </row>
    <row r="303" hidden="1" spans="1:9">
      <c r="A303">
        <v>10297</v>
      </c>
      <c r="B303" t="s">
        <v>318</v>
      </c>
      <c r="C303" t="s">
        <v>14</v>
      </c>
      <c r="D303" t="s">
        <v>20</v>
      </c>
      <c r="E303">
        <v>84.5</v>
      </c>
      <c r="F303">
        <v>58.5</v>
      </c>
      <c r="G303">
        <v>63</v>
      </c>
      <c r="H303">
        <v>61</v>
      </c>
      <c r="I303">
        <v>64</v>
      </c>
    </row>
    <row r="304" hidden="1" spans="1:9">
      <c r="A304">
        <v>10298</v>
      </c>
      <c r="B304" t="s">
        <v>319</v>
      </c>
      <c r="C304" t="s">
        <v>14</v>
      </c>
      <c r="D304" t="s">
        <v>18</v>
      </c>
      <c r="E304">
        <v>78</v>
      </c>
      <c r="F304">
        <v>76.5</v>
      </c>
      <c r="G304">
        <v>92</v>
      </c>
      <c r="H304">
        <v>78</v>
      </c>
      <c r="I304">
        <v>69</v>
      </c>
    </row>
    <row r="305" hidden="1" spans="1:9">
      <c r="A305">
        <v>10299</v>
      </c>
      <c r="B305" t="s">
        <v>320</v>
      </c>
      <c r="C305" t="s">
        <v>14</v>
      </c>
      <c r="D305" t="s">
        <v>18</v>
      </c>
      <c r="E305">
        <v>68.5</v>
      </c>
      <c r="F305">
        <v>73.5</v>
      </c>
      <c r="G305">
        <v>60</v>
      </c>
      <c r="H305">
        <v>58</v>
      </c>
      <c r="I305">
        <v>72</v>
      </c>
    </row>
    <row r="306" hidden="1" spans="1:9">
      <c r="A306">
        <v>10300</v>
      </c>
      <c r="B306" t="s">
        <v>321</v>
      </c>
      <c r="C306" t="s">
        <v>14</v>
      </c>
      <c r="D306" t="s">
        <v>23</v>
      </c>
      <c r="E306">
        <v>77</v>
      </c>
      <c r="F306">
        <v>62</v>
      </c>
      <c r="G306">
        <v>68.5</v>
      </c>
      <c r="H306">
        <v>66.5</v>
      </c>
      <c r="I306">
        <v>68</v>
      </c>
    </row>
    <row r="307" hidden="1" spans="1:9">
      <c r="A307">
        <v>10301</v>
      </c>
      <c r="B307" t="s">
        <v>322</v>
      </c>
      <c r="C307" t="s">
        <v>17</v>
      </c>
      <c r="D307" t="s">
        <v>15</v>
      </c>
      <c r="E307">
        <v>81.5</v>
      </c>
      <c r="F307">
        <v>74.5</v>
      </c>
      <c r="G307">
        <v>68.5</v>
      </c>
      <c r="H307">
        <v>66.5</v>
      </c>
      <c r="I307">
        <v>91</v>
      </c>
    </row>
    <row r="308" hidden="1" spans="1:9">
      <c r="A308">
        <v>10302</v>
      </c>
      <c r="B308" t="s">
        <v>323</v>
      </c>
      <c r="C308" t="s">
        <v>17</v>
      </c>
      <c r="D308" t="s">
        <v>20</v>
      </c>
      <c r="E308">
        <v>82.5</v>
      </c>
      <c r="F308">
        <v>88</v>
      </c>
      <c r="G308">
        <v>86</v>
      </c>
      <c r="H308">
        <v>84</v>
      </c>
      <c r="I308">
        <v>81.5</v>
      </c>
    </row>
    <row r="309" hidden="1" spans="1:9">
      <c r="A309">
        <v>10303</v>
      </c>
      <c r="B309" t="s">
        <v>324</v>
      </c>
      <c r="C309" t="s">
        <v>17</v>
      </c>
      <c r="D309" t="s">
        <v>23</v>
      </c>
      <c r="E309">
        <v>75.5</v>
      </c>
      <c r="F309">
        <v>66</v>
      </c>
      <c r="G309">
        <v>87</v>
      </c>
      <c r="H309">
        <v>85</v>
      </c>
      <c r="I309">
        <v>72.5</v>
      </c>
    </row>
    <row r="310" hidden="1" spans="1:9">
      <c r="A310">
        <v>10304</v>
      </c>
      <c r="B310" t="s">
        <v>325</v>
      </c>
      <c r="C310" t="s">
        <v>14</v>
      </c>
      <c r="D310" t="s">
        <v>23</v>
      </c>
      <c r="E310">
        <v>80.5</v>
      </c>
      <c r="F310">
        <v>71.5</v>
      </c>
      <c r="G310">
        <v>63.5</v>
      </c>
      <c r="H310">
        <v>61.5</v>
      </c>
      <c r="I310">
        <v>64</v>
      </c>
    </row>
    <row r="311" hidden="1" spans="1:9">
      <c r="A311">
        <v>10305</v>
      </c>
      <c r="B311" t="s">
        <v>326</v>
      </c>
      <c r="C311" t="s">
        <v>14</v>
      </c>
      <c r="D311" t="s">
        <v>15</v>
      </c>
      <c r="E311">
        <v>78</v>
      </c>
      <c r="F311">
        <v>75.5</v>
      </c>
      <c r="G311">
        <v>82.5</v>
      </c>
      <c r="H311">
        <v>80.5</v>
      </c>
      <c r="I311">
        <v>94</v>
      </c>
    </row>
    <row r="312" hidden="1" spans="1:9">
      <c r="A312">
        <v>10306</v>
      </c>
      <c r="B312" t="s">
        <v>327</v>
      </c>
      <c r="C312" t="s">
        <v>14</v>
      </c>
      <c r="D312" t="s">
        <v>20</v>
      </c>
      <c r="E312">
        <v>74.5</v>
      </c>
      <c r="F312">
        <v>71.5</v>
      </c>
      <c r="G312">
        <v>65</v>
      </c>
      <c r="H312">
        <v>63</v>
      </c>
      <c r="I312">
        <v>72</v>
      </c>
    </row>
    <row r="313" hidden="1" spans="1:9">
      <c r="A313">
        <v>10307</v>
      </c>
      <c r="B313" t="s">
        <v>328</v>
      </c>
      <c r="C313" t="s">
        <v>17</v>
      </c>
      <c r="D313" t="s">
        <v>37</v>
      </c>
      <c r="E313">
        <v>85</v>
      </c>
      <c r="F313">
        <v>73</v>
      </c>
      <c r="G313">
        <v>93</v>
      </c>
      <c r="H313">
        <v>96.5</v>
      </c>
      <c r="I313">
        <v>82</v>
      </c>
    </row>
    <row r="314" hidden="1" spans="1:9">
      <c r="A314">
        <v>10308</v>
      </c>
      <c r="B314" t="s">
        <v>329</v>
      </c>
      <c r="C314" t="s">
        <v>14</v>
      </c>
      <c r="D314" t="s">
        <v>30</v>
      </c>
      <c r="E314">
        <v>82</v>
      </c>
      <c r="F314">
        <v>75</v>
      </c>
      <c r="G314">
        <v>90</v>
      </c>
      <c r="H314">
        <v>88</v>
      </c>
      <c r="I314">
        <v>75</v>
      </c>
    </row>
    <row r="315" hidden="1" spans="1:9">
      <c r="A315">
        <v>10309</v>
      </c>
      <c r="B315" t="s">
        <v>330</v>
      </c>
      <c r="C315" t="s">
        <v>17</v>
      </c>
      <c r="D315" t="s">
        <v>30</v>
      </c>
      <c r="E315">
        <v>80</v>
      </c>
      <c r="F315">
        <v>69</v>
      </c>
      <c r="G315">
        <v>96</v>
      </c>
      <c r="H315">
        <v>96</v>
      </c>
      <c r="I315">
        <v>88</v>
      </c>
    </row>
    <row r="316" hidden="1" spans="1:9">
      <c r="A316">
        <v>10310</v>
      </c>
      <c r="B316" t="s">
        <v>331</v>
      </c>
      <c r="C316" t="s">
        <v>17</v>
      </c>
      <c r="D316" t="s">
        <v>20</v>
      </c>
      <c r="E316">
        <v>77</v>
      </c>
      <c r="F316">
        <v>90</v>
      </c>
      <c r="G316">
        <v>76</v>
      </c>
      <c r="H316">
        <v>74</v>
      </c>
      <c r="I316">
        <v>74</v>
      </c>
    </row>
    <row r="317" hidden="1" spans="1:9">
      <c r="A317">
        <v>10311</v>
      </c>
      <c r="B317" t="s">
        <v>332</v>
      </c>
      <c r="C317" t="s">
        <v>17</v>
      </c>
      <c r="D317" t="s">
        <v>15</v>
      </c>
      <c r="E317">
        <v>76.5</v>
      </c>
      <c r="F317">
        <v>78.5</v>
      </c>
      <c r="G317">
        <v>63</v>
      </c>
      <c r="H317">
        <v>61</v>
      </c>
      <c r="I317">
        <v>69.5</v>
      </c>
    </row>
    <row r="318" hidden="1" spans="1:9">
      <c r="A318">
        <v>10312</v>
      </c>
      <c r="B318" t="s">
        <v>333</v>
      </c>
      <c r="C318" t="s">
        <v>17</v>
      </c>
      <c r="D318" t="s">
        <v>18</v>
      </c>
      <c r="E318">
        <v>91</v>
      </c>
      <c r="F318">
        <v>94</v>
      </c>
      <c r="G318">
        <v>74.5</v>
      </c>
      <c r="H318">
        <v>72.5</v>
      </c>
      <c r="I318">
        <v>89</v>
      </c>
    </row>
    <row r="319" hidden="1" spans="1:9">
      <c r="A319">
        <v>10313</v>
      </c>
      <c r="B319" t="s">
        <v>334</v>
      </c>
      <c r="C319" t="s">
        <v>14</v>
      </c>
      <c r="D319" t="s">
        <v>30</v>
      </c>
      <c r="E319">
        <v>80.5</v>
      </c>
      <c r="F319">
        <v>81</v>
      </c>
      <c r="G319">
        <v>74</v>
      </c>
      <c r="H319">
        <v>72</v>
      </c>
      <c r="I319">
        <v>93</v>
      </c>
    </row>
    <row r="320" hidden="1" spans="1:9">
      <c r="A320">
        <v>10314</v>
      </c>
      <c r="B320" t="s">
        <v>335</v>
      </c>
      <c r="C320" t="s">
        <v>14</v>
      </c>
      <c r="D320" t="s">
        <v>18</v>
      </c>
      <c r="E320">
        <v>77.5</v>
      </c>
      <c r="F320">
        <v>85</v>
      </c>
      <c r="G320">
        <v>87.5</v>
      </c>
      <c r="H320">
        <v>85.5</v>
      </c>
      <c r="I320">
        <v>75.5</v>
      </c>
    </row>
    <row r="321" hidden="1" spans="1:9">
      <c r="A321">
        <v>10315</v>
      </c>
      <c r="B321" t="s">
        <v>336</v>
      </c>
      <c r="C321" t="s">
        <v>17</v>
      </c>
      <c r="D321" t="s">
        <v>20</v>
      </c>
      <c r="E321">
        <v>64.5</v>
      </c>
      <c r="F321">
        <v>62</v>
      </c>
      <c r="G321">
        <v>76.5</v>
      </c>
      <c r="H321">
        <v>74.5</v>
      </c>
      <c r="I321">
        <v>65.5</v>
      </c>
    </row>
    <row r="322" hidden="1" spans="1:9">
      <c r="A322">
        <v>10316</v>
      </c>
      <c r="B322" t="s">
        <v>337</v>
      </c>
      <c r="C322" t="s">
        <v>17</v>
      </c>
      <c r="D322" t="s">
        <v>37</v>
      </c>
      <c r="E322">
        <v>66</v>
      </c>
      <c r="F322">
        <v>73</v>
      </c>
      <c r="G322">
        <v>77</v>
      </c>
      <c r="H322">
        <v>63</v>
      </c>
      <c r="I322">
        <v>65</v>
      </c>
    </row>
    <row r="323" hidden="1" spans="1:9">
      <c r="A323">
        <v>10317</v>
      </c>
      <c r="B323" t="s">
        <v>338</v>
      </c>
      <c r="C323" t="s">
        <v>17</v>
      </c>
      <c r="D323" t="s">
        <v>23</v>
      </c>
      <c r="E323">
        <v>86</v>
      </c>
      <c r="F323">
        <v>97</v>
      </c>
      <c r="G323">
        <v>78</v>
      </c>
      <c r="H323">
        <v>76</v>
      </c>
      <c r="I323">
        <v>69</v>
      </c>
    </row>
    <row r="324" hidden="1" spans="1:9">
      <c r="A324">
        <v>10318</v>
      </c>
      <c r="B324" t="s">
        <v>339</v>
      </c>
      <c r="C324" t="s">
        <v>17</v>
      </c>
      <c r="D324" t="s">
        <v>23</v>
      </c>
      <c r="E324">
        <v>94.5</v>
      </c>
      <c r="F324">
        <v>70</v>
      </c>
      <c r="G324">
        <v>77</v>
      </c>
      <c r="H324">
        <v>75</v>
      </c>
      <c r="I324">
        <v>61</v>
      </c>
    </row>
    <row r="325" hidden="1" spans="1:9">
      <c r="A325">
        <v>10319</v>
      </c>
      <c r="B325" t="s">
        <v>340</v>
      </c>
      <c r="C325" t="s">
        <v>17</v>
      </c>
      <c r="D325" t="s">
        <v>15</v>
      </c>
      <c r="E325">
        <v>90</v>
      </c>
      <c r="F325">
        <v>94</v>
      </c>
      <c r="G325">
        <v>70.5</v>
      </c>
      <c r="H325">
        <v>68.5</v>
      </c>
      <c r="I325">
        <v>88</v>
      </c>
    </row>
    <row r="326" hidden="1" spans="1:9">
      <c r="A326">
        <v>10320</v>
      </c>
      <c r="B326" t="s">
        <v>341</v>
      </c>
      <c r="C326" t="s">
        <v>14</v>
      </c>
      <c r="D326" t="s">
        <v>15</v>
      </c>
      <c r="E326">
        <v>88</v>
      </c>
      <c r="F326">
        <v>96</v>
      </c>
      <c r="G326">
        <v>62</v>
      </c>
      <c r="H326">
        <v>80</v>
      </c>
      <c r="I326">
        <v>80.5</v>
      </c>
    </row>
    <row r="327" hidden="1" spans="1:9">
      <c r="A327">
        <v>10321</v>
      </c>
      <c r="B327" t="s">
        <v>342</v>
      </c>
      <c r="C327" t="s">
        <v>14</v>
      </c>
      <c r="D327" t="s">
        <v>20</v>
      </c>
      <c r="E327">
        <v>71.5</v>
      </c>
      <c r="F327">
        <v>74</v>
      </c>
      <c r="G327">
        <v>67.5</v>
      </c>
      <c r="H327">
        <v>65.5</v>
      </c>
      <c r="I327">
        <v>65</v>
      </c>
    </row>
    <row r="328" hidden="1" spans="1:9">
      <c r="A328">
        <v>10322</v>
      </c>
      <c r="B328" t="s">
        <v>343</v>
      </c>
      <c r="C328" t="s">
        <v>14</v>
      </c>
      <c r="D328" t="s">
        <v>15</v>
      </c>
      <c r="E328">
        <v>82</v>
      </c>
      <c r="F328">
        <v>70.5</v>
      </c>
      <c r="G328">
        <v>80.5</v>
      </c>
      <c r="H328">
        <v>86</v>
      </c>
      <c r="I328">
        <v>87</v>
      </c>
    </row>
    <row r="329" hidden="1" spans="1:9">
      <c r="A329">
        <v>10323</v>
      </c>
      <c r="B329" t="s">
        <v>344</v>
      </c>
      <c r="C329" t="s">
        <v>14</v>
      </c>
      <c r="D329" t="s">
        <v>37</v>
      </c>
      <c r="E329">
        <v>75.5</v>
      </c>
      <c r="F329">
        <v>62.5</v>
      </c>
      <c r="G329">
        <v>74.5</v>
      </c>
      <c r="H329">
        <v>63</v>
      </c>
      <c r="I329">
        <v>67</v>
      </c>
    </row>
    <row r="330" hidden="1" spans="1:9">
      <c r="A330">
        <v>10324</v>
      </c>
      <c r="B330" t="s">
        <v>345</v>
      </c>
      <c r="C330" t="s">
        <v>17</v>
      </c>
      <c r="D330" t="s">
        <v>15</v>
      </c>
      <c r="E330">
        <v>76</v>
      </c>
      <c r="F330">
        <v>88</v>
      </c>
      <c r="G330">
        <v>83</v>
      </c>
      <c r="H330">
        <v>81</v>
      </c>
      <c r="I330">
        <v>72</v>
      </c>
    </row>
    <row r="331" hidden="1" spans="1:9">
      <c r="A331">
        <v>10325</v>
      </c>
      <c r="B331" t="s">
        <v>346</v>
      </c>
      <c r="C331" t="s">
        <v>17</v>
      </c>
      <c r="D331" t="s">
        <v>15</v>
      </c>
      <c r="E331">
        <v>76.5</v>
      </c>
      <c r="F331">
        <v>80.5</v>
      </c>
      <c r="G331">
        <v>68.5</v>
      </c>
      <c r="H331">
        <v>66.5</v>
      </c>
      <c r="I331">
        <v>86.5</v>
      </c>
    </row>
    <row r="332" hidden="1" spans="1:9">
      <c r="A332">
        <v>10326</v>
      </c>
      <c r="B332" t="s">
        <v>347</v>
      </c>
      <c r="C332" t="s">
        <v>17</v>
      </c>
      <c r="D332" t="s">
        <v>18</v>
      </c>
      <c r="E332">
        <v>66</v>
      </c>
      <c r="F332">
        <v>95</v>
      </c>
      <c r="G332">
        <v>62.5</v>
      </c>
      <c r="H332">
        <v>60.5</v>
      </c>
      <c r="I332">
        <v>86</v>
      </c>
    </row>
    <row r="333" hidden="1" spans="1:9">
      <c r="A333">
        <v>10327</v>
      </c>
      <c r="B333" t="s">
        <v>348</v>
      </c>
      <c r="C333" t="s">
        <v>14</v>
      </c>
      <c r="D333" t="s">
        <v>18</v>
      </c>
      <c r="E333">
        <v>85</v>
      </c>
      <c r="F333">
        <v>77</v>
      </c>
      <c r="G333">
        <v>84.5</v>
      </c>
      <c r="H333">
        <v>82.5</v>
      </c>
      <c r="I333">
        <v>77.5</v>
      </c>
    </row>
    <row r="334" hidden="1" spans="1:9">
      <c r="A334">
        <v>10328</v>
      </c>
      <c r="B334" t="s">
        <v>349</v>
      </c>
      <c r="C334" t="s">
        <v>14</v>
      </c>
      <c r="D334" t="s">
        <v>30</v>
      </c>
      <c r="E334">
        <v>82</v>
      </c>
      <c r="F334">
        <v>78</v>
      </c>
      <c r="G334">
        <v>89</v>
      </c>
      <c r="H334">
        <v>87</v>
      </c>
      <c r="I334">
        <v>64.5</v>
      </c>
    </row>
    <row r="335" hidden="1" spans="1:9">
      <c r="A335">
        <v>10329</v>
      </c>
      <c r="B335" t="s">
        <v>350</v>
      </c>
      <c r="C335" t="s">
        <v>17</v>
      </c>
      <c r="D335" t="s">
        <v>18</v>
      </c>
      <c r="E335">
        <v>61</v>
      </c>
      <c r="F335">
        <v>63</v>
      </c>
      <c r="G335">
        <v>74</v>
      </c>
      <c r="H335">
        <v>72</v>
      </c>
      <c r="I335">
        <v>72</v>
      </c>
    </row>
    <row r="336" hidden="1" spans="1:9">
      <c r="A336">
        <v>10330</v>
      </c>
      <c r="B336" t="s">
        <v>351</v>
      </c>
      <c r="C336" t="s">
        <v>17</v>
      </c>
      <c r="D336" t="s">
        <v>23</v>
      </c>
      <c r="E336">
        <v>79</v>
      </c>
      <c r="F336">
        <v>85.5</v>
      </c>
      <c r="G336">
        <v>63.5</v>
      </c>
      <c r="H336">
        <v>61.5</v>
      </c>
      <c r="I336">
        <v>85.5</v>
      </c>
    </row>
    <row r="337" hidden="1" spans="1:9">
      <c r="A337">
        <v>10331</v>
      </c>
      <c r="B337" t="s">
        <v>352</v>
      </c>
      <c r="C337" t="s">
        <v>17</v>
      </c>
      <c r="D337" t="s">
        <v>30</v>
      </c>
      <c r="E337">
        <v>66</v>
      </c>
      <c r="F337">
        <v>49</v>
      </c>
      <c r="G337">
        <v>73</v>
      </c>
      <c r="H337">
        <v>71</v>
      </c>
      <c r="I337">
        <v>80.5</v>
      </c>
    </row>
    <row r="338" hidden="1" spans="1:9">
      <c r="A338">
        <v>10332</v>
      </c>
      <c r="B338" t="s">
        <v>353</v>
      </c>
      <c r="C338" t="s">
        <v>17</v>
      </c>
      <c r="D338" t="s">
        <v>23</v>
      </c>
      <c r="E338">
        <v>63</v>
      </c>
      <c r="F338">
        <v>79</v>
      </c>
      <c r="G338">
        <v>76</v>
      </c>
      <c r="H338">
        <v>74</v>
      </c>
      <c r="I338">
        <v>76</v>
      </c>
    </row>
    <row r="339" hidden="1" spans="1:9">
      <c r="A339">
        <v>10333</v>
      </c>
      <c r="B339" t="s">
        <v>354</v>
      </c>
      <c r="C339" t="s">
        <v>14</v>
      </c>
      <c r="D339" t="s">
        <v>15</v>
      </c>
      <c r="E339">
        <v>71.5</v>
      </c>
      <c r="F339">
        <v>64.5</v>
      </c>
      <c r="G339">
        <v>61</v>
      </c>
      <c r="H339">
        <v>75</v>
      </c>
      <c r="I339">
        <v>68.5</v>
      </c>
    </row>
    <row r="340" hidden="1" spans="1:9">
      <c r="A340">
        <v>10334</v>
      </c>
      <c r="B340" t="s">
        <v>355</v>
      </c>
      <c r="C340" t="s">
        <v>14</v>
      </c>
      <c r="D340" t="s">
        <v>15</v>
      </c>
      <c r="E340">
        <v>84</v>
      </c>
      <c r="F340">
        <v>67</v>
      </c>
      <c r="G340">
        <v>73.5</v>
      </c>
      <c r="H340">
        <v>71.5</v>
      </c>
      <c r="I340">
        <v>75.5</v>
      </c>
    </row>
    <row r="341" hidden="1" spans="1:9">
      <c r="A341">
        <v>10335</v>
      </c>
      <c r="B341" t="s">
        <v>356</v>
      </c>
      <c r="C341" t="s">
        <v>14</v>
      </c>
      <c r="D341" t="s">
        <v>20</v>
      </c>
      <c r="E341">
        <v>69.5</v>
      </c>
      <c r="F341">
        <v>87</v>
      </c>
      <c r="G341">
        <v>79.5</v>
      </c>
      <c r="H341">
        <v>77.5</v>
      </c>
      <c r="I341">
        <v>88</v>
      </c>
    </row>
    <row r="342" hidden="1" spans="1:9">
      <c r="A342">
        <v>10336</v>
      </c>
      <c r="B342" t="s">
        <v>357</v>
      </c>
      <c r="C342" t="s">
        <v>17</v>
      </c>
      <c r="D342" t="s">
        <v>30</v>
      </c>
      <c r="E342">
        <v>69</v>
      </c>
      <c r="F342">
        <v>79</v>
      </c>
      <c r="G342">
        <v>69</v>
      </c>
      <c r="H342">
        <v>67</v>
      </c>
      <c r="I342">
        <v>81</v>
      </c>
    </row>
    <row r="343" hidden="1" spans="1:9">
      <c r="A343">
        <v>10337</v>
      </c>
      <c r="B343" t="s">
        <v>358</v>
      </c>
      <c r="C343" t="s">
        <v>17</v>
      </c>
      <c r="D343" t="s">
        <v>15</v>
      </c>
      <c r="E343">
        <v>84.5</v>
      </c>
      <c r="F343">
        <v>60</v>
      </c>
      <c r="G343">
        <v>75.5</v>
      </c>
      <c r="H343">
        <v>73.5</v>
      </c>
      <c r="I343">
        <v>82</v>
      </c>
    </row>
    <row r="344" hidden="1" spans="1:9">
      <c r="A344">
        <v>10338</v>
      </c>
      <c r="B344" t="s">
        <v>359</v>
      </c>
      <c r="C344" t="s">
        <v>17</v>
      </c>
      <c r="D344" t="s">
        <v>20</v>
      </c>
      <c r="E344">
        <v>85.5</v>
      </c>
      <c r="F344">
        <v>79</v>
      </c>
      <c r="G344">
        <v>83</v>
      </c>
      <c r="H344">
        <v>81</v>
      </c>
      <c r="I344">
        <v>75</v>
      </c>
    </row>
    <row r="345" hidden="1" spans="1:9">
      <c r="A345">
        <v>10339</v>
      </c>
      <c r="B345" t="s">
        <v>360</v>
      </c>
      <c r="C345" t="s">
        <v>14</v>
      </c>
      <c r="D345" t="s">
        <v>37</v>
      </c>
      <c r="E345">
        <v>61.5</v>
      </c>
      <c r="F345">
        <v>95.5</v>
      </c>
      <c r="G345">
        <v>65.5</v>
      </c>
      <c r="H345">
        <v>63.5</v>
      </c>
      <c r="I345">
        <v>89.5</v>
      </c>
    </row>
    <row r="346" hidden="1" spans="1:9">
      <c r="A346">
        <v>10340</v>
      </c>
      <c r="B346" t="s">
        <v>361</v>
      </c>
      <c r="C346" t="s">
        <v>17</v>
      </c>
      <c r="D346" t="s">
        <v>30</v>
      </c>
      <c r="E346">
        <v>85</v>
      </c>
      <c r="F346">
        <v>82.5</v>
      </c>
      <c r="G346">
        <v>79.5</v>
      </c>
      <c r="H346">
        <v>77.5</v>
      </c>
      <c r="I346">
        <v>84</v>
      </c>
    </row>
    <row r="347" hidden="1" spans="1:9">
      <c r="A347">
        <v>10341</v>
      </c>
      <c r="B347" t="s">
        <v>362</v>
      </c>
      <c r="C347" t="s">
        <v>17</v>
      </c>
      <c r="D347" t="s">
        <v>37</v>
      </c>
      <c r="E347">
        <v>69</v>
      </c>
      <c r="F347">
        <v>61</v>
      </c>
      <c r="G347">
        <v>58.5</v>
      </c>
      <c r="H347">
        <v>56.5</v>
      </c>
      <c r="I347">
        <v>75.5</v>
      </c>
    </row>
    <row r="348" hidden="1" spans="1:9">
      <c r="A348">
        <v>10342</v>
      </c>
      <c r="B348" t="s">
        <v>363</v>
      </c>
      <c r="C348" t="s">
        <v>14</v>
      </c>
      <c r="D348" t="s">
        <v>23</v>
      </c>
      <c r="E348">
        <v>53</v>
      </c>
      <c r="F348">
        <v>90</v>
      </c>
      <c r="G348">
        <v>92.5</v>
      </c>
      <c r="H348">
        <v>90.5</v>
      </c>
      <c r="I348">
        <v>80</v>
      </c>
    </row>
    <row r="349" hidden="1" spans="1:9">
      <c r="A349">
        <v>10343</v>
      </c>
      <c r="B349" t="s">
        <v>364</v>
      </c>
      <c r="C349" t="s">
        <v>14</v>
      </c>
      <c r="D349" t="s">
        <v>23</v>
      </c>
      <c r="E349">
        <v>74.5</v>
      </c>
      <c r="F349">
        <v>83.5</v>
      </c>
      <c r="G349">
        <v>73</v>
      </c>
      <c r="H349">
        <v>71</v>
      </c>
      <c r="I349">
        <v>80</v>
      </c>
    </row>
    <row r="350" hidden="1" spans="1:9">
      <c r="A350">
        <v>10344</v>
      </c>
      <c r="B350" t="s">
        <v>365</v>
      </c>
      <c r="C350" t="s">
        <v>17</v>
      </c>
      <c r="D350" t="s">
        <v>30</v>
      </c>
      <c r="E350">
        <v>83</v>
      </c>
      <c r="F350">
        <v>70.5</v>
      </c>
      <c r="G350">
        <v>76.5</v>
      </c>
      <c r="H350">
        <v>86</v>
      </c>
      <c r="I350">
        <v>91</v>
      </c>
    </row>
    <row r="351" hidden="1" spans="1:9">
      <c r="A351">
        <v>10345</v>
      </c>
      <c r="B351" t="s">
        <v>366</v>
      </c>
      <c r="C351" t="s">
        <v>14</v>
      </c>
      <c r="D351" t="s">
        <v>37</v>
      </c>
      <c r="E351">
        <v>55.5</v>
      </c>
      <c r="F351">
        <v>59.5</v>
      </c>
      <c r="G351">
        <v>71.5</v>
      </c>
      <c r="H351">
        <v>69.5</v>
      </c>
      <c r="I351">
        <v>69.5</v>
      </c>
    </row>
    <row r="352" hidden="1" spans="1:9">
      <c r="A352">
        <v>10346</v>
      </c>
      <c r="B352" t="s">
        <v>367</v>
      </c>
      <c r="C352" t="s">
        <v>17</v>
      </c>
      <c r="D352" t="s">
        <v>18</v>
      </c>
      <c r="E352">
        <v>69</v>
      </c>
      <c r="F352">
        <v>72.5</v>
      </c>
      <c r="G352">
        <v>83.5</v>
      </c>
      <c r="H352">
        <v>81.5</v>
      </c>
      <c r="I352">
        <v>73.5</v>
      </c>
    </row>
    <row r="353" hidden="1" spans="1:9">
      <c r="A353">
        <v>10347</v>
      </c>
      <c r="B353" t="s">
        <v>368</v>
      </c>
      <c r="C353" t="s">
        <v>14</v>
      </c>
      <c r="D353" t="s">
        <v>20</v>
      </c>
      <c r="E353">
        <v>75</v>
      </c>
      <c r="F353">
        <v>67.5</v>
      </c>
      <c r="G353">
        <v>71.5</v>
      </c>
      <c r="H353">
        <v>69.5</v>
      </c>
      <c r="I353">
        <v>59.5</v>
      </c>
    </row>
    <row r="354" spans="1:9">
      <c r="A354">
        <v>10348</v>
      </c>
      <c r="B354" t="s">
        <v>369</v>
      </c>
      <c r="C354" t="s">
        <v>14</v>
      </c>
      <c r="D354" t="s">
        <v>15</v>
      </c>
      <c r="E354">
        <v>96</v>
      </c>
      <c r="F354">
        <v>74</v>
      </c>
      <c r="G354">
        <v>95</v>
      </c>
      <c r="H354">
        <v>93</v>
      </c>
      <c r="I354">
        <v>65.5</v>
      </c>
    </row>
    <row r="355" hidden="1" spans="1:9">
      <c r="A355">
        <v>10349</v>
      </c>
      <c r="B355" t="s">
        <v>370</v>
      </c>
      <c r="C355" t="s">
        <v>14</v>
      </c>
      <c r="D355" t="s">
        <v>18</v>
      </c>
      <c r="E355">
        <v>66</v>
      </c>
      <c r="F355">
        <v>90.5</v>
      </c>
      <c r="G355">
        <v>77</v>
      </c>
      <c r="H355">
        <v>75</v>
      </c>
      <c r="I355">
        <v>74</v>
      </c>
    </row>
    <row r="356" hidden="1" spans="1:9">
      <c r="A356">
        <v>10350</v>
      </c>
      <c r="B356" t="s">
        <v>371</v>
      </c>
      <c r="C356" t="s">
        <v>14</v>
      </c>
      <c r="D356" t="s">
        <v>23</v>
      </c>
      <c r="E356">
        <v>59</v>
      </c>
      <c r="F356">
        <v>88</v>
      </c>
      <c r="G356">
        <v>70.5</v>
      </c>
      <c r="H356">
        <v>68.5</v>
      </c>
      <c r="I356">
        <v>96</v>
      </c>
    </row>
    <row r="357" hidden="1" spans="1:9">
      <c r="A357">
        <v>10351</v>
      </c>
      <c r="B357" t="s">
        <v>372</v>
      </c>
      <c r="C357" t="s">
        <v>14</v>
      </c>
      <c r="D357" t="s">
        <v>15</v>
      </c>
      <c r="E357">
        <v>92</v>
      </c>
      <c r="F357">
        <v>85</v>
      </c>
      <c r="G357">
        <v>94</v>
      </c>
      <c r="H357">
        <v>92</v>
      </c>
      <c r="I357">
        <v>92</v>
      </c>
    </row>
    <row r="358" hidden="1" spans="1:9">
      <c r="A358">
        <v>10352</v>
      </c>
      <c r="B358" t="s">
        <v>373</v>
      </c>
      <c r="C358" t="s">
        <v>17</v>
      </c>
      <c r="D358" t="s">
        <v>23</v>
      </c>
      <c r="E358">
        <v>90</v>
      </c>
      <c r="F358">
        <v>76.5</v>
      </c>
      <c r="G358">
        <v>71.5</v>
      </c>
      <c r="H358">
        <v>69.5</v>
      </c>
      <c r="I358">
        <v>84</v>
      </c>
    </row>
    <row r="359" hidden="1" spans="1:9">
      <c r="A359">
        <v>10353</v>
      </c>
      <c r="B359" t="s">
        <v>374</v>
      </c>
      <c r="C359" t="s">
        <v>17</v>
      </c>
      <c r="D359" t="s">
        <v>37</v>
      </c>
      <c r="E359">
        <v>57</v>
      </c>
      <c r="F359">
        <v>66.5</v>
      </c>
      <c r="G359">
        <v>79.5</v>
      </c>
      <c r="H359">
        <v>68</v>
      </c>
      <c r="I359">
        <v>65</v>
      </c>
    </row>
    <row r="360" hidden="1" spans="1:9">
      <c r="A360">
        <v>10354</v>
      </c>
      <c r="B360" t="s">
        <v>375</v>
      </c>
      <c r="C360" t="s">
        <v>17</v>
      </c>
      <c r="D360" t="s">
        <v>37</v>
      </c>
      <c r="E360">
        <v>72</v>
      </c>
      <c r="F360">
        <v>82</v>
      </c>
      <c r="G360">
        <v>66</v>
      </c>
      <c r="H360">
        <v>64</v>
      </c>
      <c r="I360">
        <v>73.5</v>
      </c>
    </row>
    <row r="361" hidden="1" spans="1:9">
      <c r="A361">
        <v>10355</v>
      </c>
      <c r="B361" t="s">
        <v>376</v>
      </c>
      <c r="C361" t="s">
        <v>17</v>
      </c>
      <c r="D361" t="s">
        <v>23</v>
      </c>
      <c r="E361">
        <v>76</v>
      </c>
      <c r="F361">
        <v>80</v>
      </c>
      <c r="G361">
        <v>85.5</v>
      </c>
      <c r="H361">
        <v>83.5</v>
      </c>
      <c r="I361">
        <v>83</v>
      </c>
    </row>
    <row r="362" hidden="1" spans="1:9">
      <c r="A362">
        <v>10356</v>
      </c>
      <c r="B362" t="s">
        <v>377</v>
      </c>
      <c r="C362" t="s">
        <v>17</v>
      </c>
      <c r="D362" t="s">
        <v>20</v>
      </c>
      <c r="E362">
        <v>66</v>
      </c>
      <c r="F362">
        <v>68.5</v>
      </c>
      <c r="G362">
        <v>83</v>
      </c>
      <c r="H362">
        <v>81</v>
      </c>
      <c r="I362">
        <v>93</v>
      </c>
    </row>
    <row r="363" hidden="1" spans="1:9">
      <c r="A363">
        <v>10357</v>
      </c>
      <c r="B363" t="s">
        <v>378</v>
      </c>
      <c r="C363" t="s">
        <v>17</v>
      </c>
      <c r="D363" t="s">
        <v>15</v>
      </c>
      <c r="E363">
        <v>90</v>
      </c>
      <c r="F363">
        <v>73</v>
      </c>
      <c r="G363">
        <v>84</v>
      </c>
      <c r="H363">
        <v>82</v>
      </c>
      <c r="I363">
        <v>80</v>
      </c>
    </row>
    <row r="364" hidden="1" spans="1:9">
      <c r="A364">
        <v>10358</v>
      </c>
      <c r="B364" t="s">
        <v>379</v>
      </c>
      <c r="C364" t="s">
        <v>14</v>
      </c>
      <c r="D364" t="s">
        <v>18</v>
      </c>
      <c r="E364">
        <v>76</v>
      </c>
      <c r="F364">
        <v>84</v>
      </c>
      <c r="G364">
        <v>85</v>
      </c>
      <c r="H364">
        <v>83</v>
      </c>
      <c r="I364">
        <v>79.5</v>
      </c>
    </row>
    <row r="365" hidden="1" spans="1:9">
      <c r="A365">
        <v>10359</v>
      </c>
      <c r="B365" t="s">
        <v>380</v>
      </c>
      <c r="C365" t="s">
        <v>14</v>
      </c>
      <c r="D365" t="s">
        <v>20</v>
      </c>
      <c r="E365">
        <v>85</v>
      </c>
      <c r="F365">
        <v>52</v>
      </c>
      <c r="G365">
        <v>97</v>
      </c>
      <c r="H365">
        <v>95</v>
      </c>
      <c r="I365">
        <v>89.5</v>
      </c>
    </row>
    <row r="366" hidden="1" spans="1:9">
      <c r="A366">
        <v>10360</v>
      </c>
      <c r="B366" t="s">
        <v>381</v>
      </c>
      <c r="C366" t="s">
        <v>17</v>
      </c>
      <c r="D366" t="s">
        <v>23</v>
      </c>
      <c r="E366">
        <v>83</v>
      </c>
      <c r="F366">
        <v>71</v>
      </c>
      <c r="G366">
        <v>90</v>
      </c>
      <c r="H366">
        <v>93.5</v>
      </c>
      <c r="I366">
        <v>95</v>
      </c>
    </row>
    <row r="367" hidden="1" spans="1:9">
      <c r="A367">
        <v>10361</v>
      </c>
      <c r="B367" t="s">
        <v>382</v>
      </c>
      <c r="C367" t="s">
        <v>17</v>
      </c>
      <c r="D367" t="s">
        <v>30</v>
      </c>
      <c r="E367">
        <v>78</v>
      </c>
      <c r="F367">
        <v>79.5</v>
      </c>
      <c r="G367">
        <v>90</v>
      </c>
      <c r="H367">
        <v>77.5</v>
      </c>
      <c r="I367">
        <v>78</v>
      </c>
    </row>
    <row r="368" hidden="1" spans="1:9">
      <c r="A368">
        <v>10362</v>
      </c>
      <c r="B368" t="s">
        <v>383</v>
      </c>
      <c r="C368" t="s">
        <v>17</v>
      </c>
      <c r="D368" t="s">
        <v>15</v>
      </c>
      <c r="E368">
        <v>60.5</v>
      </c>
      <c r="F368">
        <v>86</v>
      </c>
      <c r="G368">
        <v>79</v>
      </c>
      <c r="H368">
        <v>77</v>
      </c>
      <c r="I368">
        <v>78.5</v>
      </c>
    </row>
    <row r="369" hidden="1" spans="1:9">
      <c r="A369">
        <v>10363</v>
      </c>
      <c r="B369" t="s">
        <v>384</v>
      </c>
      <c r="C369" t="s">
        <v>17</v>
      </c>
      <c r="D369" t="s">
        <v>15</v>
      </c>
      <c r="E369">
        <v>93</v>
      </c>
      <c r="F369">
        <v>66.5</v>
      </c>
      <c r="G369">
        <v>67</v>
      </c>
      <c r="H369">
        <v>65</v>
      </c>
      <c r="I369">
        <v>79.5</v>
      </c>
    </row>
    <row r="370" hidden="1" spans="1:9">
      <c r="A370">
        <v>10364</v>
      </c>
      <c r="B370" t="s">
        <v>385</v>
      </c>
      <c r="C370" t="s">
        <v>14</v>
      </c>
      <c r="D370" t="s">
        <v>37</v>
      </c>
      <c r="E370">
        <v>79</v>
      </c>
      <c r="F370">
        <v>68.5</v>
      </c>
      <c r="G370">
        <v>77</v>
      </c>
      <c r="H370">
        <v>75</v>
      </c>
      <c r="I370">
        <v>80</v>
      </c>
    </row>
    <row r="371" hidden="1" spans="1:9">
      <c r="A371">
        <v>10365</v>
      </c>
      <c r="B371" t="s">
        <v>386</v>
      </c>
      <c r="C371" t="s">
        <v>14</v>
      </c>
      <c r="D371" t="s">
        <v>20</v>
      </c>
      <c r="E371">
        <v>78</v>
      </c>
      <c r="F371">
        <v>66</v>
      </c>
      <c r="G371">
        <v>91.5</v>
      </c>
      <c r="H371">
        <v>89.5</v>
      </c>
      <c r="I371">
        <v>90</v>
      </c>
    </row>
    <row r="372" hidden="1" spans="1:9">
      <c r="A372">
        <v>10366</v>
      </c>
      <c r="B372" t="s">
        <v>387</v>
      </c>
      <c r="C372" t="s">
        <v>17</v>
      </c>
      <c r="D372" t="s">
        <v>18</v>
      </c>
      <c r="E372">
        <v>64.5</v>
      </c>
      <c r="F372">
        <v>62</v>
      </c>
      <c r="G372">
        <v>74.5</v>
      </c>
      <c r="H372">
        <v>72.5</v>
      </c>
      <c r="I372">
        <v>61.5</v>
      </c>
    </row>
    <row r="373" hidden="1" spans="1:9">
      <c r="A373">
        <v>10367</v>
      </c>
      <c r="B373" t="s">
        <v>388</v>
      </c>
      <c r="C373" t="s">
        <v>17</v>
      </c>
      <c r="D373" t="s">
        <v>23</v>
      </c>
      <c r="E373">
        <v>72</v>
      </c>
      <c r="F373">
        <v>86.5</v>
      </c>
      <c r="G373">
        <v>85.5</v>
      </c>
      <c r="H373">
        <v>83.5</v>
      </c>
      <c r="I373">
        <v>80</v>
      </c>
    </row>
    <row r="374" hidden="1" spans="1:9">
      <c r="A374">
        <v>10368</v>
      </c>
      <c r="B374" t="s">
        <v>389</v>
      </c>
      <c r="C374" t="s">
        <v>17</v>
      </c>
      <c r="D374" t="s">
        <v>23</v>
      </c>
      <c r="E374">
        <v>83</v>
      </c>
      <c r="F374">
        <v>86.5</v>
      </c>
      <c r="G374">
        <v>90.5</v>
      </c>
      <c r="H374">
        <v>88.5</v>
      </c>
      <c r="I374">
        <v>67</v>
      </c>
    </row>
    <row r="375" hidden="1" spans="1:9">
      <c r="A375">
        <v>10369</v>
      </c>
      <c r="B375" t="s">
        <v>390</v>
      </c>
      <c r="C375" t="s">
        <v>14</v>
      </c>
      <c r="D375" t="s">
        <v>23</v>
      </c>
      <c r="E375">
        <v>79</v>
      </c>
      <c r="F375">
        <v>73</v>
      </c>
      <c r="G375">
        <v>93.5</v>
      </c>
      <c r="H375">
        <v>91.5</v>
      </c>
      <c r="I375">
        <v>64</v>
      </c>
    </row>
    <row r="376" hidden="1" spans="1:9">
      <c r="A376">
        <v>10370</v>
      </c>
      <c r="B376" t="s">
        <v>391</v>
      </c>
      <c r="C376" t="s">
        <v>17</v>
      </c>
      <c r="D376" t="s">
        <v>30</v>
      </c>
      <c r="E376">
        <v>92</v>
      </c>
      <c r="F376">
        <v>77</v>
      </c>
      <c r="G376">
        <v>79</v>
      </c>
      <c r="H376">
        <v>90</v>
      </c>
      <c r="I376">
        <v>66</v>
      </c>
    </row>
    <row r="377" hidden="1" spans="1:9">
      <c r="A377">
        <v>10371</v>
      </c>
      <c r="B377" t="s">
        <v>392</v>
      </c>
      <c r="C377" t="s">
        <v>14</v>
      </c>
      <c r="D377" t="s">
        <v>20</v>
      </c>
      <c r="E377">
        <v>80</v>
      </c>
      <c r="F377">
        <v>80.5</v>
      </c>
      <c r="G377">
        <v>76.5</v>
      </c>
      <c r="H377">
        <v>74.5</v>
      </c>
      <c r="I377">
        <v>73.5</v>
      </c>
    </row>
    <row r="378" hidden="1" spans="1:9">
      <c r="A378">
        <v>10372</v>
      </c>
      <c r="B378" t="s">
        <v>393</v>
      </c>
      <c r="C378" t="s">
        <v>17</v>
      </c>
      <c r="D378" t="s">
        <v>37</v>
      </c>
      <c r="E378">
        <v>71.5</v>
      </c>
      <c r="F378">
        <v>63</v>
      </c>
      <c r="G378">
        <v>67</v>
      </c>
      <c r="H378">
        <v>65</v>
      </c>
      <c r="I378">
        <v>71.5</v>
      </c>
    </row>
    <row r="379" hidden="1" spans="1:9">
      <c r="A379">
        <v>10373</v>
      </c>
      <c r="B379" t="s">
        <v>394</v>
      </c>
      <c r="C379" t="s">
        <v>17</v>
      </c>
      <c r="D379" t="s">
        <v>37</v>
      </c>
      <c r="E379">
        <v>84.5</v>
      </c>
      <c r="F379">
        <v>74.5</v>
      </c>
      <c r="G379">
        <v>73</v>
      </c>
      <c r="H379">
        <v>71</v>
      </c>
      <c r="I379">
        <v>75.5</v>
      </c>
    </row>
    <row r="380" hidden="1" spans="1:9">
      <c r="A380">
        <v>10374</v>
      </c>
      <c r="B380" t="s">
        <v>395</v>
      </c>
      <c r="C380" t="s">
        <v>14</v>
      </c>
      <c r="D380" t="s">
        <v>15</v>
      </c>
      <c r="E380">
        <v>80.5</v>
      </c>
      <c r="F380">
        <v>87</v>
      </c>
      <c r="G380">
        <v>69.5</v>
      </c>
      <c r="H380">
        <v>67.5</v>
      </c>
      <c r="I380">
        <v>84</v>
      </c>
    </row>
    <row r="381" hidden="1" spans="1:9">
      <c r="A381">
        <v>10375</v>
      </c>
      <c r="B381" t="s">
        <v>396</v>
      </c>
      <c r="C381" t="s">
        <v>14</v>
      </c>
      <c r="D381" t="s">
        <v>37</v>
      </c>
      <c r="E381">
        <v>74</v>
      </c>
      <c r="F381">
        <v>85.5</v>
      </c>
      <c r="G381">
        <v>74</v>
      </c>
      <c r="H381">
        <v>92</v>
      </c>
      <c r="I381">
        <v>85</v>
      </c>
    </row>
    <row r="382" hidden="1" spans="1:9">
      <c r="A382">
        <v>10376</v>
      </c>
      <c r="B382" t="s">
        <v>397</v>
      </c>
      <c r="C382" t="s">
        <v>17</v>
      </c>
      <c r="D382" t="s">
        <v>23</v>
      </c>
      <c r="E382">
        <v>95</v>
      </c>
      <c r="F382">
        <v>90.5</v>
      </c>
      <c r="G382">
        <v>91</v>
      </c>
      <c r="H382">
        <v>93</v>
      </c>
      <c r="I382">
        <v>89</v>
      </c>
    </row>
    <row r="383" hidden="1" spans="1:9">
      <c r="A383">
        <v>10377</v>
      </c>
      <c r="B383" t="s">
        <v>398</v>
      </c>
      <c r="C383" t="s">
        <v>14</v>
      </c>
      <c r="D383" t="s">
        <v>30</v>
      </c>
      <c r="E383">
        <v>64</v>
      </c>
      <c r="F383">
        <v>61.5</v>
      </c>
      <c r="G383">
        <v>72.5</v>
      </c>
      <c r="H383">
        <v>65</v>
      </c>
      <c r="I383">
        <v>77</v>
      </c>
    </row>
    <row r="384" hidden="1" spans="1:9">
      <c r="A384">
        <v>10378</v>
      </c>
      <c r="B384" t="s">
        <v>399</v>
      </c>
      <c r="C384" t="s">
        <v>17</v>
      </c>
      <c r="D384" t="s">
        <v>15</v>
      </c>
      <c r="E384">
        <v>81</v>
      </c>
      <c r="F384">
        <v>85</v>
      </c>
      <c r="G384">
        <v>96</v>
      </c>
      <c r="H384">
        <v>94</v>
      </c>
      <c r="I384">
        <v>97</v>
      </c>
    </row>
    <row r="385" spans="1:9">
      <c r="A385">
        <v>10379</v>
      </c>
      <c r="B385" t="s">
        <v>400</v>
      </c>
      <c r="C385" t="s">
        <v>17</v>
      </c>
      <c r="D385" t="s">
        <v>20</v>
      </c>
      <c r="E385">
        <v>96</v>
      </c>
      <c r="F385">
        <v>75</v>
      </c>
      <c r="G385">
        <v>77</v>
      </c>
      <c r="H385">
        <v>75</v>
      </c>
      <c r="I385">
        <v>87</v>
      </c>
    </row>
    <row r="386" hidden="1" spans="1:9">
      <c r="A386">
        <v>10380</v>
      </c>
      <c r="B386" t="s">
        <v>401</v>
      </c>
      <c r="C386" t="s">
        <v>14</v>
      </c>
      <c r="D386" t="s">
        <v>23</v>
      </c>
      <c r="E386">
        <v>88.5</v>
      </c>
      <c r="F386">
        <v>73</v>
      </c>
      <c r="G386">
        <v>69</v>
      </c>
      <c r="H386">
        <v>67</v>
      </c>
      <c r="I386">
        <v>88.5</v>
      </c>
    </row>
    <row r="387" hidden="1" spans="1:9">
      <c r="A387">
        <v>10381</v>
      </c>
      <c r="B387" t="s">
        <v>402</v>
      </c>
      <c r="C387" t="s">
        <v>17</v>
      </c>
      <c r="D387" t="s">
        <v>30</v>
      </c>
      <c r="E387">
        <v>66.5</v>
      </c>
      <c r="F387">
        <v>69.5</v>
      </c>
      <c r="G387">
        <v>77.5</v>
      </c>
      <c r="H387">
        <v>61</v>
      </c>
      <c r="I387">
        <v>62</v>
      </c>
    </row>
    <row r="388" hidden="1" spans="1:9">
      <c r="A388">
        <v>10382</v>
      </c>
      <c r="B388" t="s">
        <v>403</v>
      </c>
      <c r="C388" t="s">
        <v>17</v>
      </c>
      <c r="D388" t="s">
        <v>15</v>
      </c>
      <c r="E388">
        <v>67.5</v>
      </c>
      <c r="F388">
        <v>62</v>
      </c>
      <c r="G388">
        <v>69.5</v>
      </c>
      <c r="H388">
        <v>67.5</v>
      </c>
      <c r="I388">
        <v>70</v>
      </c>
    </row>
    <row r="389" hidden="1" spans="1:9">
      <c r="A389">
        <v>10383</v>
      </c>
      <c r="B389" t="s">
        <v>404</v>
      </c>
      <c r="C389" t="s">
        <v>14</v>
      </c>
      <c r="D389" t="s">
        <v>37</v>
      </c>
      <c r="E389">
        <v>75.5</v>
      </c>
      <c r="F389">
        <v>75</v>
      </c>
      <c r="G389">
        <v>86.5</v>
      </c>
      <c r="H389">
        <v>84.5</v>
      </c>
      <c r="I389">
        <v>84.5</v>
      </c>
    </row>
    <row r="390" hidden="1" spans="1:9">
      <c r="A390">
        <v>10384</v>
      </c>
      <c r="B390" t="s">
        <v>405</v>
      </c>
      <c r="C390" t="s">
        <v>17</v>
      </c>
      <c r="D390" t="s">
        <v>23</v>
      </c>
      <c r="E390">
        <v>79.5</v>
      </c>
      <c r="F390">
        <v>51</v>
      </c>
      <c r="G390">
        <v>98</v>
      </c>
      <c r="H390">
        <v>96</v>
      </c>
      <c r="I390">
        <v>92</v>
      </c>
    </row>
    <row r="391" hidden="1" spans="1:9">
      <c r="A391">
        <v>10385</v>
      </c>
      <c r="B391" t="s">
        <v>406</v>
      </c>
      <c r="C391" t="s">
        <v>14</v>
      </c>
      <c r="D391" t="s">
        <v>18</v>
      </c>
      <c r="E391">
        <v>66</v>
      </c>
      <c r="F391">
        <v>57</v>
      </c>
      <c r="G391">
        <v>85.5</v>
      </c>
      <c r="H391">
        <v>83.5</v>
      </c>
      <c r="I391">
        <v>84</v>
      </c>
    </row>
    <row r="392" hidden="1" spans="1:9">
      <c r="A392">
        <v>10386</v>
      </c>
      <c r="B392" t="s">
        <v>407</v>
      </c>
      <c r="C392" t="s">
        <v>14</v>
      </c>
      <c r="D392" t="s">
        <v>30</v>
      </c>
      <c r="E392">
        <v>71</v>
      </c>
      <c r="F392">
        <v>70.5</v>
      </c>
      <c r="G392">
        <v>70</v>
      </c>
      <c r="H392">
        <v>68</v>
      </c>
      <c r="I392">
        <v>60</v>
      </c>
    </row>
    <row r="393" hidden="1" spans="1:9">
      <c r="A393">
        <v>10387</v>
      </c>
      <c r="B393" t="s">
        <v>408</v>
      </c>
      <c r="C393" t="s">
        <v>14</v>
      </c>
      <c r="D393" t="s">
        <v>23</v>
      </c>
      <c r="E393">
        <v>72</v>
      </c>
      <c r="F393">
        <v>64.5</v>
      </c>
      <c r="G393">
        <v>69.5</v>
      </c>
      <c r="H393">
        <v>67.5</v>
      </c>
      <c r="I393">
        <v>60.5</v>
      </c>
    </row>
    <row r="394" hidden="1" spans="1:9">
      <c r="A394">
        <v>10388</v>
      </c>
      <c r="B394" t="s">
        <v>409</v>
      </c>
      <c r="C394" t="s">
        <v>17</v>
      </c>
      <c r="D394" t="s">
        <v>20</v>
      </c>
      <c r="E394">
        <v>68</v>
      </c>
      <c r="F394">
        <v>85</v>
      </c>
      <c r="G394">
        <v>87.5</v>
      </c>
      <c r="H394">
        <v>85.5</v>
      </c>
      <c r="I394">
        <v>83</v>
      </c>
    </row>
    <row r="395" hidden="1" spans="1:9">
      <c r="A395">
        <v>10389</v>
      </c>
      <c r="B395" t="s">
        <v>410</v>
      </c>
      <c r="C395" t="s">
        <v>14</v>
      </c>
      <c r="D395" t="s">
        <v>18</v>
      </c>
      <c r="E395">
        <v>86.5</v>
      </c>
      <c r="F395">
        <v>73.5</v>
      </c>
      <c r="G395">
        <v>53</v>
      </c>
      <c r="H395">
        <v>51</v>
      </c>
      <c r="I395">
        <v>66</v>
      </c>
    </row>
    <row r="396" hidden="1" spans="1:9">
      <c r="A396">
        <v>10390</v>
      </c>
      <c r="B396" t="s">
        <v>411</v>
      </c>
      <c r="C396" t="s">
        <v>14</v>
      </c>
      <c r="D396" t="s">
        <v>15</v>
      </c>
      <c r="E396">
        <v>80.5</v>
      </c>
      <c r="F396">
        <v>66</v>
      </c>
      <c r="G396">
        <v>62.5</v>
      </c>
      <c r="H396">
        <v>60.5</v>
      </c>
      <c r="I396">
        <v>65</v>
      </c>
    </row>
    <row r="397" hidden="1" spans="1:9">
      <c r="A397">
        <v>10391</v>
      </c>
      <c r="B397" t="s">
        <v>412</v>
      </c>
      <c r="C397" t="s">
        <v>14</v>
      </c>
      <c r="D397" t="s">
        <v>15</v>
      </c>
      <c r="E397">
        <v>74.5</v>
      </c>
      <c r="F397">
        <v>89.5</v>
      </c>
      <c r="G397">
        <v>67.5</v>
      </c>
      <c r="H397">
        <v>65.5</v>
      </c>
      <c r="I397">
        <v>79.5</v>
      </c>
    </row>
    <row r="398" hidden="1" spans="1:9">
      <c r="A398">
        <v>10392</v>
      </c>
      <c r="B398" t="s">
        <v>413</v>
      </c>
      <c r="C398" t="s">
        <v>17</v>
      </c>
      <c r="D398" t="s">
        <v>15</v>
      </c>
      <c r="E398">
        <v>86</v>
      </c>
      <c r="F398">
        <v>82</v>
      </c>
      <c r="G398">
        <v>67</v>
      </c>
      <c r="H398">
        <v>65</v>
      </c>
      <c r="I398">
        <v>68</v>
      </c>
    </row>
    <row r="399" hidden="1" spans="1:9">
      <c r="A399">
        <v>10393</v>
      </c>
      <c r="B399" t="s">
        <v>414</v>
      </c>
      <c r="C399" t="s">
        <v>14</v>
      </c>
      <c r="D399" t="s">
        <v>23</v>
      </c>
      <c r="E399">
        <v>68.5</v>
      </c>
      <c r="F399">
        <v>85</v>
      </c>
      <c r="G399">
        <v>79.5</v>
      </c>
      <c r="H399">
        <v>77.5</v>
      </c>
      <c r="I399">
        <v>68.5</v>
      </c>
    </row>
    <row r="400" hidden="1" spans="1:9">
      <c r="A400">
        <v>10394</v>
      </c>
      <c r="B400" t="s">
        <v>415</v>
      </c>
      <c r="C400" t="s">
        <v>14</v>
      </c>
      <c r="D400" t="s">
        <v>30</v>
      </c>
      <c r="E400">
        <v>92</v>
      </c>
      <c r="F400">
        <v>88</v>
      </c>
      <c r="G400">
        <v>80.5</v>
      </c>
      <c r="H400">
        <v>78.5</v>
      </c>
      <c r="I400">
        <v>82</v>
      </c>
    </row>
    <row r="401" hidden="1" spans="1:9">
      <c r="A401">
        <v>10395</v>
      </c>
      <c r="B401" t="s">
        <v>416</v>
      </c>
      <c r="C401" t="s">
        <v>17</v>
      </c>
      <c r="D401" t="s">
        <v>30</v>
      </c>
      <c r="E401">
        <v>90.5</v>
      </c>
      <c r="F401">
        <v>80.5</v>
      </c>
      <c r="G401">
        <v>82</v>
      </c>
      <c r="H401">
        <v>63</v>
      </c>
      <c r="I401">
        <v>85</v>
      </c>
    </row>
    <row r="402" hidden="1" spans="1:9">
      <c r="A402">
        <v>10396</v>
      </c>
      <c r="B402" t="s">
        <v>417</v>
      </c>
      <c r="C402" t="s">
        <v>17</v>
      </c>
      <c r="D402" t="s">
        <v>30</v>
      </c>
      <c r="E402">
        <v>64</v>
      </c>
      <c r="F402">
        <v>61</v>
      </c>
      <c r="G402">
        <v>70</v>
      </c>
      <c r="H402">
        <v>68</v>
      </c>
      <c r="I402">
        <v>74.5</v>
      </c>
    </row>
    <row r="403" hidden="1" spans="1:9">
      <c r="A403">
        <v>10397</v>
      </c>
      <c r="B403" t="s">
        <v>418</v>
      </c>
      <c r="C403" t="s">
        <v>14</v>
      </c>
      <c r="D403" t="s">
        <v>18</v>
      </c>
      <c r="E403">
        <v>65</v>
      </c>
      <c r="F403">
        <v>79.5</v>
      </c>
      <c r="G403">
        <v>84</v>
      </c>
      <c r="H403">
        <v>82</v>
      </c>
      <c r="I403">
        <v>71.5</v>
      </c>
    </row>
    <row r="404" hidden="1" spans="1:9">
      <c r="A404">
        <v>10398</v>
      </c>
      <c r="B404" t="s">
        <v>419</v>
      </c>
      <c r="C404" t="s">
        <v>17</v>
      </c>
      <c r="D404" t="s">
        <v>23</v>
      </c>
      <c r="E404">
        <v>54.5</v>
      </c>
      <c r="F404">
        <v>62.5</v>
      </c>
      <c r="G404">
        <v>94</v>
      </c>
      <c r="H404">
        <v>92</v>
      </c>
      <c r="I404">
        <v>73</v>
      </c>
    </row>
    <row r="405" hidden="1" spans="1:9">
      <c r="A405">
        <v>10399</v>
      </c>
      <c r="B405" t="s">
        <v>420</v>
      </c>
      <c r="C405" t="s">
        <v>17</v>
      </c>
      <c r="D405" t="s">
        <v>30</v>
      </c>
      <c r="E405">
        <v>55.5</v>
      </c>
      <c r="F405">
        <v>81.5</v>
      </c>
      <c r="G405">
        <v>94</v>
      </c>
      <c r="H405">
        <v>92</v>
      </c>
      <c r="I405">
        <v>83</v>
      </c>
    </row>
    <row r="406" hidden="1" spans="1:9">
      <c r="A406">
        <v>10400</v>
      </c>
      <c r="B406" t="s">
        <v>421</v>
      </c>
      <c r="C406" t="s">
        <v>17</v>
      </c>
      <c r="D406" t="s">
        <v>30</v>
      </c>
      <c r="E406">
        <v>63.5</v>
      </c>
      <c r="F406">
        <v>53</v>
      </c>
      <c r="G406">
        <v>57</v>
      </c>
      <c r="H406">
        <v>62.5</v>
      </c>
      <c r="I406">
        <v>72.5</v>
      </c>
    </row>
    <row r="407" hidden="1" spans="1:9">
      <c r="A407">
        <v>10401</v>
      </c>
      <c r="B407" t="s">
        <v>422</v>
      </c>
      <c r="C407" t="s">
        <v>14</v>
      </c>
      <c r="D407" t="s">
        <v>18</v>
      </c>
      <c r="E407">
        <v>79</v>
      </c>
      <c r="F407">
        <v>95.5</v>
      </c>
      <c r="G407">
        <v>74.5</v>
      </c>
      <c r="H407">
        <v>72.5</v>
      </c>
      <c r="I407">
        <v>69.5</v>
      </c>
    </row>
    <row r="408" hidden="1" spans="1:9">
      <c r="A408">
        <v>10402</v>
      </c>
      <c r="B408" t="s">
        <v>423</v>
      </c>
      <c r="C408" t="s">
        <v>14</v>
      </c>
      <c r="D408" t="s">
        <v>20</v>
      </c>
      <c r="E408">
        <v>87</v>
      </c>
      <c r="F408">
        <v>63</v>
      </c>
      <c r="G408">
        <v>79</v>
      </c>
      <c r="H408">
        <v>77</v>
      </c>
      <c r="I408">
        <v>84</v>
      </c>
    </row>
    <row r="409" hidden="1" spans="1:9">
      <c r="A409">
        <v>10403</v>
      </c>
      <c r="B409" t="s">
        <v>424</v>
      </c>
      <c r="C409" t="s">
        <v>14</v>
      </c>
      <c r="D409" t="s">
        <v>18</v>
      </c>
      <c r="E409">
        <v>93</v>
      </c>
      <c r="F409">
        <v>63</v>
      </c>
      <c r="G409">
        <v>76.5</v>
      </c>
      <c r="H409">
        <v>74.5</v>
      </c>
      <c r="I409">
        <v>67</v>
      </c>
    </row>
    <row r="410" hidden="1" spans="1:9">
      <c r="A410">
        <v>10404</v>
      </c>
      <c r="B410" t="s">
        <v>425</v>
      </c>
      <c r="C410" t="s">
        <v>14</v>
      </c>
      <c r="D410" t="s">
        <v>23</v>
      </c>
      <c r="E410">
        <v>71.5</v>
      </c>
      <c r="F410">
        <v>75</v>
      </c>
      <c r="G410">
        <v>79</v>
      </c>
      <c r="H410">
        <v>77</v>
      </c>
      <c r="I410">
        <v>82</v>
      </c>
    </row>
    <row r="411" hidden="1" spans="1:9">
      <c r="A411">
        <v>10405</v>
      </c>
      <c r="B411" t="s">
        <v>426</v>
      </c>
      <c r="C411" t="s">
        <v>17</v>
      </c>
      <c r="D411" t="s">
        <v>23</v>
      </c>
      <c r="E411">
        <v>76</v>
      </c>
      <c r="F411">
        <v>88.5</v>
      </c>
      <c r="G411">
        <v>91</v>
      </c>
      <c r="H411">
        <v>89</v>
      </c>
      <c r="I411">
        <v>74</v>
      </c>
    </row>
    <row r="412" hidden="1" spans="1:9">
      <c r="A412">
        <v>10406</v>
      </c>
      <c r="B412" t="s">
        <v>427</v>
      </c>
      <c r="C412" t="s">
        <v>14</v>
      </c>
      <c r="D412" t="s">
        <v>20</v>
      </c>
      <c r="E412">
        <v>70</v>
      </c>
      <c r="F412">
        <v>58.5</v>
      </c>
      <c r="G412">
        <v>91</v>
      </c>
      <c r="H412">
        <v>89</v>
      </c>
      <c r="I412">
        <v>70</v>
      </c>
    </row>
    <row r="413" hidden="1" spans="1:9">
      <c r="A413">
        <v>10407</v>
      </c>
      <c r="B413" t="s">
        <v>428</v>
      </c>
      <c r="C413" t="s">
        <v>17</v>
      </c>
      <c r="D413" t="s">
        <v>15</v>
      </c>
      <c r="E413">
        <v>81.5</v>
      </c>
      <c r="F413">
        <v>76.5</v>
      </c>
      <c r="G413">
        <v>90</v>
      </c>
      <c r="H413">
        <v>86</v>
      </c>
      <c r="I413">
        <v>88</v>
      </c>
    </row>
    <row r="414" hidden="1" spans="1:9">
      <c r="A414">
        <v>10408</v>
      </c>
      <c r="B414" t="s">
        <v>429</v>
      </c>
      <c r="C414" t="s">
        <v>14</v>
      </c>
      <c r="D414" t="s">
        <v>37</v>
      </c>
      <c r="E414">
        <v>81</v>
      </c>
      <c r="F414">
        <v>67.5</v>
      </c>
      <c r="G414">
        <v>83.5</v>
      </c>
      <c r="H414">
        <v>81.5</v>
      </c>
      <c r="I414">
        <v>73.5</v>
      </c>
    </row>
    <row r="415" hidden="1" spans="1:9">
      <c r="A415">
        <v>10409</v>
      </c>
      <c r="B415" t="s">
        <v>430</v>
      </c>
      <c r="C415" t="s">
        <v>17</v>
      </c>
      <c r="D415" t="s">
        <v>23</v>
      </c>
      <c r="E415">
        <v>75</v>
      </c>
      <c r="F415">
        <v>78.5</v>
      </c>
      <c r="G415">
        <v>70.5</v>
      </c>
      <c r="H415">
        <v>68.5</v>
      </c>
      <c r="I415">
        <v>82.5</v>
      </c>
    </row>
    <row r="416" hidden="1" spans="1:9">
      <c r="A416">
        <v>10410</v>
      </c>
      <c r="B416" t="s">
        <v>431</v>
      </c>
      <c r="C416" t="s">
        <v>17</v>
      </c>
      <c r="D416" t="s">
        <v>37</v>
      </c>
      <c r="E416">
        <v>77</v>
      </c>
      <c r="F416">
        <v>70.5</v>
      </c>
      <c r="G416">
        <v>75.5</v>
      </c>
      <c r="H416">
        <v>73.5</v>
      </c>
      <c r="I416">
        <v>74.5</v>
      </c>
    </row>
    <row r="417" hidden="1" spans="1:9">
      <c r="A417">
        <v>10411</v>
      </c>
      <c r="B417" t="s">
        <v>432</v>
      </c>
      <c r="C417" t="s">
        <v>14</v>
      </c>
      <c r="D417" t="s">
        <v>30</v>
      </c>
      <c r="E417">
        <v>71</v>
      </c>
      <c r="F417">
        <v>63</v>
      </c>
      <c r="G417">
        <v>68.5</v>
      </c>
      <c r="H417">
        <v>66.5</v>
      </c>
      <c r="I417">
        <v>71.5</v>
      </c>
    </row>
    <row r="418" hidden="1" spans="1:9">
      <c r="A418">
        <v>10412</v>
      </c>
      <c r="B418" t="s">
        <v>433</v>
      </c>
      <c r="C418" t="s">
        <v>17</v>
      </c>
      <c r="D418" t="s">
        <v>30</v>
      </c>
      <c r="E418">
        <v>78</v>
      </c>
      <c r="F418">
        <v>76</v>
      </c>
      <c r="G418">
        <v>90</v>
      </c>
      <c r="H418">
        <v>77</v>
      </c>
      <c r="I418">
        <v>62.5</v>
      </c>
    </row>
    <row r="419" hidden="1" spans="1:9">
      <c r="A419">
        <v>10413</v>
      </c>
      <c r="B419" t="s">
        <v>434</v>
      </c>
      <c r="C419" t="s">
        <v>14</v>
      </c>
      <c r="D419" t="s">
        <v>30</v>
      </c>
      <c r="E419">
        <v>90.5</v>
      </c>
      <c r="F419">
        <v>78</v>
      </c>
      <c r="G419">
        <v>74.5</v>
      </c>
      <c r="H419">
        <v>72.5</v>
      </c>
      <c r="I419">
        <v>86.5</v>
      </c>
    </row>
    <row r="420" hidden="1" spans="1:9">
      <c r="A420">
        <v>10414</v>
      </c>
      <c r="B420" t="s">
        <v>435</v>
      </c>
      <c r="C420" t="s">
        <v>17</v>
      </c>
      <c r="D420" t="s">
        <v>30</v>
      </c>
      <c r="E420">
        <v>78</v>
      </c>
      <c r="F420">
        <v>82</v>
      </c>
      <c r="G420">
        <v>68.5</v>
      </c>
      <c r="H420">
        <v>66.5</v>
      </c>
      <c r="I420">
        <v>90</v>
      </c>
    </row>
    <row r="421" hidden="1" spans="1:9">
      <c r="A421">
        <v>10415</v>
      </c>
      <c r="B421" t="s">
        <v>436</v>
      </c>
      <c r="C421" t="s">
        <v>14</v>
      </c>
      <c r="D421" t="s">
        <v>37</v>
      </c>
      <c r="E421">
        <v>73.5</v>
      </c>
      <c r="F421">
        <v>67.5</v>
      </c>
      <c r="G421">
        <v>88</v>
      </c>
      <c r="H421">
        <v>86</v>
      </c>
      <c r="I421">
        <v>62.5</v>
      </c>
    </row>
    <row r="422" hidden="1" spans="1:9">
      <c r="A422">
        <v>10416</v>
      </c>
      <c r="B422" t="s">
        <v>437</v>
      </c>
      <c r="C422" t="s">
        <v>14</v>
      </c>
      <c r="D422" t="s">
        <v>23</v>
      </c>
      <c r="E422">
        <v>64</v>
      </c>
      <c r="F422">
        <v>91.5</v>
      </c>
      <c r="G422">
        <v>65.5</v>
      </c>
      <c r="H422">
        <v>63.5</v>
      </c>
      <c r="I422">
        <v>83</v>
      </c>
    </row>
    <row r="423" hidden="1" spans="1:9">
      <c r="A423">
        <v>10417</v>
      </c>
      <c r="B423" t="s">
        <v>438</v>
      </c>
      <c r="C423" t="s">
        <v>14</v>
      </c>
      <c r="D423" t="s">
        <v>30</v>
      </c>
      <c r="E423">
        <v>71.5</v>
      </c>
      <c r="F423">
        <v>69</v>
      </c>
      <c r="G423">
        <v>68</v>
      </c>
      <c r="H423">
        <v>66</v>
      </c>
      <c r="I423">
        <v>69</v>
      </c>
    </row>
    <row r="424" hidden="1" spans="1:9">
      <c r="A424">
        <v>10418</v>
      </c>
      <c r="B424" t="s">
        <v>439</v>
      </c>
      <c r="C424" t="s">
        <v>17</v>
      </c>
      <c r="D424" t="s">
        <v>18</v>
      </c>
      <c r="E424">
        <v>72.5</v>
      </c>
      <c r="F424">
        <v>66</v>
      </c>
      <c r="G424">
        <v>75</v>
      </c>
      <c r="H424">
        <v>73</v>
      </c>
      <c r="I424">
        <v>76</v>
      </c>
    </row>
    <row r="425" hidden="1" spans="1:9">
      <c r="A425">
        <v>10419</v>
      </c>
      <c r="B425" t="s">
        <v>440</v>
      </c>
      <c r="C425" t="s">
        <v>14</v>
      </c>
      <c r="D425" t="s">
        <v>20</v>
      </c>
      <c r="E425">
        <v>93.5</v>
      </c>
      <c r="F425">
        <v>74</v>
      </c>
      <c r="G425">
        <v>78.5</v>
      </c>
      <c r="H425">
        <v>76.5</v>
      </c>
      <c r="I425">
        <v>84.5</v>
      </c>
    </row>
    <row r="426" hidden="1" spans="1:9">
      <c r="A426">
        <v>10420</v>
      </c>
      <c r="B426" t="s">
        <v>441</v>
      </c>
      <c r="C426" t="s">
        <v>17</v>
      </c>
      <c r="D426" t="s">
        <v>18</v>
      </c>
      <c r="E426">
        <v>83.5</v>
      </c>
      <c r="F426">
        <v>58.5</v>
      </c>
      <c r="G426">
        <v>74.5</v>
      </c>
      <c r="H426">
        <v>72.5</v>
      </c>
      <c r="I426">
        <v>68.5</v>
      </c>
    </row>
    <row r="427" hidden="1" spans="1:9">
      <c r="A427">
        <v>10421</v>
      </c>
      <c r="B427" t="s">
        <v>442</v>
      </c>
      <c r="C427" t="s">
        <v>17</v>
      </c>
      <c r="D427" t="s">
        <v>30</v>
      </c>
      <c r="E427">
        <v>78.5</v>
      </c>
      <c r="F427">
        <v>87</v>
      </c>
      <c r="G427">
        <v>79.5</v>
      </c>
      <c r="H427">
        <v>77.5</v>
      </c>
      <c r="I427">
        <v>86.5</v>
      </c>
    </row>
    <row r="428" hidden="1" spans="1:9">
      <c r="A428">
        <v>10422</v>
      </c>
      <c r="B428" t="s">
        <v>443</v>
      </c>
      <c r="C428" t="s">
        <v>17</v>
      </c>
      <c r="D428" t="s">
        <v>30</v>
      </c>
      <c r="E428">
        <v>61</v>
      </c>
      <c r="F428">
        <v>77</v>
      </c>
      <c r="G428">
        <v>66.5</v>
      </c>
      <c r="H428">
        <v>64.5</v>
      </c>
      <c r="I428">
        <v>66.5</v>
      </c>
    </row>
    <row r="429" hidden="1" spans="1:9">
      <c r="A429">
        <v>10423</v>
      </c>
      <c r="B429" t="s">
        <v>444</v>
      </c>
      <c r="C429" t="s">
        <v>14</v>
      </c>
      <c r="D429" t="s">
        <v>20</v>
      </c>
      <c r="E429">
        <v>80.5</v>
      </c>
      <c r="F429">
        <v>86</v>
      </c>
      <c r="G429">
        <v>63.5</v>
      </c>
      <c r="H429">
        <v>61.5</v>
      </c>
      <c r="I429">
        <v>79.5</v>
      </c>
    </row>
    <row r="430" hidden="1" spans="1:9">
      <c r="A430">
        <v>10424</v>
      </c>
      <c r="B430" t="s">
        <v>445</v>
      </c>
      <c r="C430" t="s">
        <v>17</v>
      </c>
      <c r="D430" t="s">
        <v>23</v>
      </c>
      <c r="E430">
        <v>60.5</v>
      </c>
      <c r="F430">
        <v>86.5</v>
      </c>
      <c r="G430">
        <v>62.5</v>
      </c>
      <c r="H430">
        <v>60.5</v>
      </c>
      <c r="I430">
        <v>93</v>
      </c>
    </row>
    <row r="431" hidden="1" spans="1:9">
      <c r="A431">
        <v>10425</v>
      </c>
      <c r="B431" t="s">
        <v>446</v>
      </c>
      <c r="C431" t="s">
        <v>17</v>
      </c>
      <c r="D431" t="s">
        <v>15</v>
      </c>
      <c r="E431">
        <v>74.5</v>
      </c>
      <c r="F431">
        <v>66.5</v>
      </c>
      <c r="G431">
        <v>71</v>
      </c>
      <c r="H431">
        <v>69</v>
      </c>
      <c r="I431">
        <v>87.5</v>
      </c>
    </row>
    <row r="432" hidden="1" spans="1:9">
      <c r="A432">
        <v>10426</v>
      </c>
      <c r="B432" t="s">
        <v>447</v>
      </c>
      <c r="C432" t="s">
        <v>17</v>
      </c>
      <c r="D432" t="s">
        <v>15</v>
      </c>
      <c r="E432">
        <v>72.5</v>
      </c>
      <c r="F432">
        <v>73.5</v>
      </c>
      <c r="G432">
        <v>85.5</v>
      </c>
      <c r="H432">
        <v>83.5</v>
      </c>
      <c r="I432">
        <v>76</v>
      </c>
    </row>
    <row r="433" hidden="1" spans="1:9">
      <c r="A433">
        <v>10427</v>
      </c>
      <c r="B433" t="s">
        <v>448</v>
      </c>
      <c r="C433" t="s">
        <v>14</v>
      </c>
      <c r="D433" t="s">
        <v>37</v>
      </c>
      <c r="E433">
        <v>74</v>
      </c>
      <c r="F433">
        <v>59</v>
      </c>
      <c r="G433">
        <v>65</v>
      </c>
      <c r="H433">
        <v>63</v>
      </c>
      <c r="I433">
        <v>56</v>
      </c>
    </row>
    <row r="434" hidden="1" spans="1:9">
      <c r="A434">
        <v>10428</v>
      </c>
      <c r="B434" t="s">
        <v>449</v>
      </c>
      <c r="C434" t="s">
        <v>14</v>
      </c>
      <c r="D434" t="s">
        <v>18</v>
      </c>
      <c r="E434">
        <v>75.5</v>
      </c>
      <c r="F434">
        <v>64</v>
      </c>
      <c r="G434">
        <v>84</v>
      </c>
      <c r="H434">
        <v>82</v>
      </c>
      <c r="I434">
        <v>94</v>
      </c>
    </row>
    <row r="435" hidden="1" spans="1:9">
      <c r="A435">
        <v>10429</v>
      </c>
      <c r="B435" t="s">
        <v>450</v>
      </c>
      <c r="C435" t="s">
        <v>17</v>
      </c>
      <c r="D435" t="s">
        <v>18</v>
      </c>
      <c r="E435">
        <v>73.5</v>
      </c>
      <c r="F435">
        <v>82.5</v>
      </c>
      <c r="G435">
        <v>91</v>
      </c>
      <c r="H435">
        <v>89</v>
      </c>
      <c r="I435">
        <v>94.5</v>
      </c>
    </row>
    <row r="436" hidden="1" spans="1:9">
      <c r="A436">
        <v>10430</v>
      </c>
      <c r="B436" t="s">
        <v>451</v>
      </c>
      <c r="C436" t="s">
        <v>14</v>
      </c>
      <c r="D436" t="s">
        <v>20</v>
      </c>
      <c r="E436">
        <v>83</v>
      </c>
      <c r="F436">
        <v>85</v>
      </c>
      <c r="G436">
        <v>64</v>
      </c>
      <c r="H436">
        <v>62</v>
      </c>
      <c r="I436">
        <v>82.5</v>
      </c>
    </row>
    <row r="437" hidden="1" spans="1:9">
      <c r="A437">
        <v>10431</v>
      </c>
      <c r="B437" t="s">
        <v>452</v>
      </c>
      <c r="C437" t="s">
        <v>14</v>
      </c>
      <c r="D437" t="s">
        <v>15</v>
      </c>
      <c r="E437">
        <v>89.5</v>
      </c>
      <c r="F437">
        <v>67</v>
      </c>
      <c r="G437">
        <v>68</v>
      </c>
      <c r="H437">
        <v>66</v>
      </c>
      <c r="I437">
        <v>88.5</v>
      </c>
    </row>
    <row r="438" hidden="1" spans="1:9">
      <c r="A438">
        <v>10432</v>
      </c>
      <c r="B438" t="s">
        <v>453</v>
      </c>
      <c r="C438" t="s">
        <v>14</v>
      </c>
      <c r="D438" t="s">
        <v>37</v>
      </c>
      <c r="E438">
        <v>87</v>
      </c>
      <c r="F438">
        <v>94</v>
      </c>
      <c r="G438">
        <v>92</v>
      </c>
      <c r="H438">
        <v>84.5</v>
      </c>
      <c r="I438">
        <v>93</v>
      </c>
    </row>
    <row r="439" hidden="1" spans="1:9">
      <c r="A439">
        <v>10433</v>
      </c>
      <c r="B439" t="s">
        <v>454</v>
      </c>
      <c r="C439" t="s">
        <v>17</v>
      </c>
      <c r="D439" t="s">
        <v>37</v>
      </c>
      <c r="E439">
        <v>72</v>
      </c>
      <c r="F439">
        <v>70.5</v>
      </c>
      <c r="G439">
        <v>59</v>
      </c>
      <c r="H439">
        <v>57</v>
      </c>
      <c r="I439">
        <v>77</v>
      </c>
    </row>
    <row r="440" hidden="1" spans="1:9">
      <c r="A440">
        <v>10434</v>
      </c>
      <c r="B440" t="s">
        <v>455</v>
      </c>
      <c r="C440" t="s">
        <v>14</v>
      </c>
      <c r="D440" t="s">
        <v>20</v>
      </c>
      <c r="E440">
        <v>73.5</v>
      </c>
      <c r="F440">
        <v>73.5</v>
      </c>
      <c r="G440">
        <v>79.5</v>
      </c>
      <c r="H440">
        <v>77.5</v>
      </c>
      <c r="I440">
        <v>79</v>
      </c>
    </row>
    <row r="441" hidden="1" spans="1:9">
      <c r="A441">
        <v>10435</v>
      </c>
      <c r="B441" t="s">
        <v>456</v>
      </c>
      <c r="C441" t="s">
        <v>14</v>
      </c>
      <c r="D441" t="s">
        <v>30</v>
      </c>
      <c r="E441">
        <v>88</v>
      </c>
      <c r="F441">
        <v>82</v>
      </c>
      <c r="G441">
        <v>71.5</v>
      </c>
      <c r="H441">
        <v>69.5</v>
      </c>
      <c r="I441">
        <v>91</v>
      </c>
    </row>
    <row r="442" hidden="1" spans="1:9">
      <c r="A442">
        <v>10436</v>
      </c>
      <c r="B442" t="s">
        <v>457</v>
      </c>
      <c r="C442" t="s">
        <v>14</v>
      </c>
      <c r="D442" t="s">
        <v>37</v>
      </c>
      <c r="E442">
        <v>87</v>
      </c>
      <c r="F442">
        <v>66</v>
      </c>
      <c r="G442">
        <v>72</v>
      </c>
      <c r="H442">
        <v>70</v>
      </c>
      <c r="I442">
        <v>91</v>
      </c>
    </row>
    <row r="443" hidden="1" spans="1:9">
      <c r="A443">
        <v>10437</v>
      </c>
      <c r="B443" t="s">
        <v>458</v>
      </c>
      <c r="C443" t="s">
        <v>14</v>
      </c>
      <c r="D443" t="s">
        <v>18</v>
      </c>
      <c r="E443">
        <v>79</v>
      </c>
      <c r="F443">
        <v>71</v>
      </c>
      <c r="G443">
        <v>93.5</v>
      </c>
      <c r="H443">
        <v>91.5</v>
      </c>
      <c r="I443">
        <v>64</v>
      </c>
    </row>
    <row r="444" hidden="1" spans="1:9">
      <c r="A444">
        <v>10438</v>
      </c>
      <c r="B444" t="s">
        <v>459</v>
      </c>
      <c r="C444" t="s">
        <v>17</v>
      </c>
      <c r="D444" t="s">
        <v>37</v>
      </c>
      <c r="E444">
        <v>61.5</v>
      </c>
      <c r="F444">
        <v>69.5</v>
      </c>
      <c r="G444">
        <v>78.5</v>
      </c>
      <c r="H444">
        <v>76.5</v>
      </c>
      <c r="I444">
        <v>83</v>
      </c>
    </row>
    <row r="445" hidden="1" spans="1:9">
      <c r="A445">
        <v>10439</v>
      </c>
      <c r="B445" t="s">
        <v>460</v>
      </c>
      <c r="C445" t="s">
        <v>14</v>
      </c>
      <c r="D445" t="s">
        <v>20</v>
      </c>
      <c r="E445">
        <v>66</v>
      </c>
      <c r="F445">
        <v>55.5</v>
      </c>
      <c r="G445">
        <v>64</v>
      </c>
      <c r="H445">
        <v>62</v>
      </c>
      <c r="I445">
        <v>78</v>
      </c>
    </row>
    <row r="446" hidden="1" spans="1:9">
      <c r="A446">
        <v>10440</v>
      </c>
      <c r="B446" t="s">
        <v>461</v>
      </c>
      <c r="C446" t="s">
        <v>17</v>
      </c>
      <c r="D446" t="s">
        <v>37</v>
      </c>
      <c r="E446">
        <v>64</v>
      </c>
      <c r="F446">
        <v>91</v>
      </c>
      <c r="G446">
        <v>93.5</v>
      </c>
      <c r="H446">
        <v>91.5</v>
      </c>
      <c r="I446">
        <v>75.5</v>
      </c>
    </row>
    <row r="447" spans="1:9">
      <c r="A447">
        <v>10441</v>
      </c>
      <c r="B447" t="s">
        <v>462</v>
      </c>
      <c r="C447" t="s">
        <v>17</v>
      </c>
      <c r="D447" t="s">
        <v>15</v>
      </c>
      <c r="E447">
        <v>96</v>
      </c>
      <c r="F447">
        <v>96</v>
      </c>
      <c r="G447">
        <v>73.5</v>
      </c>
      <c r="H447">
        <v>71.5</v>
      </c>
      <c r="I447">
        <v>79.5</v>
      </c>
    </row>
    <row r="448" hidden="1" spans="1:9">
      <c r="A448">
        <v>10442</v>
      </c>
      <c r="B448" t="s">
        <v>463</v>
      </c>
      <c r="C448" t="s">
        <v>14</v>
      </c>
      <c r="D448" t="s">
        <v>37</v>
      </c>
      <c r="E448">
        <v>72</v>
      </c>
      <c r="F448">
        <v>91</v>
      </c>
      <c r="G448">
        <v>56</v>
      </c>
      <c r="H448">
        <v>54</v>
      </c>
      <c r="I448">
        <v>67</v>
      </c>
    </row>
    <row r="449" hidden="1" spans="1:9">
      <c r="A449">
        <v>10443</v>
      </c>
      <c r="B449" t="s">
        <v>464</v>
      </c>
      <c r="C449" t="s">
        <v>17</v>
      </c>
      <c r="D449" t="s">
        <v>37</v>
      </c>
      <c r="E449">
        <v>90</v>
      </c>
      <c r="F449">
        <v>70.5</v>
      </c>
      <c r="G449">
        <v>84.5</v>
      </c>
      <c r="H449">
        <v>82.5</v>
      </c>
      <c r="I449">
        <v>75.5</v>
      </c>
    </row>
    <row r="450" hidden="1" spans="1:9">
      <c r="A450">
        <v>10444</v>
      </c>
      <c r="B450" t="s">
        <v>465</v>
      </c>
      <c r="C450" t="s">
        <v>17</v>
      </c>
      <c r="D450" t="s">
        <v>15</v>
      </c>
      <c r="E450">
        <v>60.5</v>
      </c>
      <c r="F450">
        <v>62</v>
      </c>
      <c r="G450">
        <v>72.5</v>
      </c>
      <c r="H450">
        <v>70.5</v>
      </c>
      <c r="I450">
        <v>75</v>
      </c>
    </row>
    <row r="451" hidden="1" spans="1:9">
      <c r="A451">
        <v>10445</v>
      </c>
      <c r="B451" t="s">
        <v>466</v>
      </c>
      <c r="C451" t="s">
        <v>17</v>
      </c>
      <c r="D451" t="s">
        <v>20</v>
      </c>
      <c r="E451">
        <v>70.5</v>
      </c>
      <c r="F451">
        <v>78</v>
      </c>
      <c r="G451">
        <v>78.5</v>
      </c>
      <c r="H451">
        <v>88</v>
      </c>
      <c r="I451">
        <v>90</v>
      </c>
    </row>
    <row r="452" hidden="1" spans="1:9">
      <c r="A452">
        <v>10446</v>
      </c>
      <c r="B452" t="s">
        <v>467</v>
      </c>
      <c r="C452" t="s">
        <v>14</v>
      </c>
      <c r="D452" t="s">
        <v>37</v>
      </c>
      <c r="E452">
        <v>84.5</v>
      </c>
      <c r="F452">
        <v>76</v>
      </c>
      <c r="G452">
        <v>85</v>
      </c>
      <c r="H452">
        <v>78.5</v>
      </c>
      <c r="I452">
        <v>86</v>
      </c>
    </row>
    <row r="453" hidden="1" spans="1:9">
      <c r="A453">
        <v>10447</v>
      </c>
      <c r="B453" t="s">
        <v>468</v>
      </c>
      <c r="C453" t="s">
        <v>14</v>
      </c>
      <c r="D453" t="s">
        <v>15</v>
      </c>
      <c r="E453">
        <v>74.5</v>
      </c>
      <c r="F453">
        <v>67</v>
      </c>
      <c r="G453">
        <v>69</v>
      </c>
      <c r="H453">
        <v>67</v>
      </c>
      <c r="I453">
        <v>62</v>
      </c>
    </row>
    <row r="454" hidden="1" spans="1:9">
      <c r="A454">
        <v>10448</v>
      </c>
      <c r="B454" t="s">
        <v>469</v>
      </c>
      <c r="C454" t="s">
        <v>14</v>
      </c>
      <c r="D454" t="s">
        <v>18</v>
      </c>
      <c r="E454">
        <v>63</v>
      </c>
      <c r="F454">
        <v>66.5</v>
      </c>
      <c r="G454">
        <v>66</v>
      </c>
      <c r="H454">
        <v>64</v>
      </c>
      <c r="I454">
        <v>75</v>
      </c>
    </row>
    <row r="455" hidden="1" spans="1:9">
      <c r="A455">
        <v>10449</v>
      </c>
      <c r="B455" t="s">
        <v>470</v>
      </c>
      <c r="C455" t="s">
        <v>17</v>
      </c>
      <c r="D455" t="s">
        <v>37</v>
      </c>
      <c r="E455">
        <v>67</v>
      </c>
      <c r="F455">
        <v>92</v>
      </c>
      <c r="G455">
        <v>91</v>
      </c>
      <c r="H455">
        <v>89</v>
      </c>
      <c r="I455">
        <v>76</v>
      </c>
    </row>
    <row r="456" hidden="1" spans="1:9">
      <c r="A456">
        <v>10450</v>
      </c>
      <c r="B456" t="s">
        <v>471</v>
      </c>
      <c r="C456" t="s">
        <v>17</v>
      </c>
      <c r="D456" t="s">
        <v>15</v>
      </c>
      <c r="E456">
        <v>85</v>
      </c>
      <c r="F456">
        <v>71</v>
      </c>
      <c r="G456">
        <v>63</v>
      </c>
      <c r="H456">
        <v>61</v>
      </c>
      <c r="I456">
        <v>63</v>
      </c>
    </row>
    <row r="457" hidden="1" spans="1:9">
      <c r="A457">
        <v>10451</v>
      </c>
      <c r="B457" t="s">
        <v>472</v>
      </c>
      <c r="C457" t="s">
        <v>17</v>
      </c>
      <c r="D457" t="s">
        <v>15</v>
      </c>
      <c r="E457">
        <v>63</v>
      </c>
      <c r="F457">
        <v>73.5</v>
      </c>
      <c r="G457">
        <v>65</v>
      </c>
      <c r="H457">
        <v>63</v>
      </c>
      <c r="I457">
        <v>76</v>
      </c>
    </row>
    <row r="458" hidden="1" spans="1:9">
      <c r="A458">
        <v>10452</v>
      </c>
      <c r="B458" t="s">
        <v>473</v>
      </c>
      <c r="C458" t="s">
        <v>14</v>
      </c>
      <c r="D458" t="s">
        <v>30</v>
      </c>
      <c r="E458">
        <v>74</v>
      </c>
      <c r="F458">
        <v>76</v>
      </c>
      <c r="G458">
        <v>76</v>
      </c>
      <c r="H458">
        <v>80.5</v>
      </c>
      <c r="I458">
        <v>85.5</v>
      </c>
    </row>
    <row r="459" hidden="1" spans="1:9">
      <c r="A459">
        <v>10453</v>
      </c>
      <c r="B459" t="s">
        <v>474</v>
      </c>
      <c r="C459" t="s">
        <v>17</v>
      </c>
      <c r="D459" t="s">
        <v>23</v>
      </c>
      <c r="E459">
        <v>97</v>
      </c>
      <c r="F459">
        <v>92</v>
      </c>
      <c r="G459">
        <v>87.5</v>
      </c>
      <c r="H459">
        <v>85.5</v>
      </c>
      <c r="I459">
        <v>88</v>
      </c>
    </row>
    <row r="460" hidden="1" spans="1:9">
      <c r="A460">
        <v>10454</v>
      </c>
      <c r="B460" t="s">
        <v>475</v>
      </c>
      <c r="C460" t="s">
        <v>17</v>
      </c>
      <c r="D460" t="s">
        <v>30</v>
      </c>
      <c r="E460">
        <v>63</v>
      </c>
      <c r="F460">
        <v>58.5</v>
      </c>
      <c r="G460">
        <v>52.5</v>
      </c>
      <c r="H460">
        <v>50.5</v>
      </c>
      <c r="I460">
        <v>62</v>
      </c>
    </row>
    <row r="461" hidden="1" spans="1:9">
      <c r="A461">
        <v>10455</v>
      </c>
      <c r="B461" t="s">
        <v>476</v>
      </c>
      <c r="C461" t="s">
        <v>14</v>
      </c>
      <c r="D461" t="s">
        <v>15</v>
      </c>
      <c r="E461">
        <v>90</v>
      </c>
      <c r="F461">
        <v>77.5</v>
      </c>
      <c r="G461">
        <v>70</v>
      </c>
      <c r="H461">
        <v>79</v>
      </c>
      <c r="I461">
        <v>92.5</v>
      </c>
    </row>
    <row r="462" hidden="1" spans="1:9">
      <c r="A462">
        <v>10456</v>
      </c>
      <c r="B462" t="s">
        <v>477</v>
      </c>
      <c r="C462" t="s">
        <v>17</v>
      </c>
      <c r="D462" t="s">
        <v>20</v>
      </c>
      <c r="E462">
        <v>84.5</v>
      </c>
      <c r="F462">
        <v>73</v>
      </c>
      <c r="G462">
        <v>80</v>
      </c>
      <c r="H462">
        <v>78</v>
      </c>
      <c r="I462">
        <v>84</v>
      </c>
    </row>
    <row r="463" hidden="1" spans="1:9">
      <c r="A463">
        <v>10457</v>
      </c>
      <c r="B463" t="s">
        <v>478</v>
      </c>
      <c r="C463" t="s">
        <v>14</v>
      </c>
      <c r="D463" t="s">
        <v>30</v>
      </c>
      <c r="E463">
        <v>81</v>
      </c>
      <c r="F463">
        <v>79</v>
      </c>
      <c r="G463">
        <v>63</v>
      </c>
      <c r="H463">
        <v>61</v>
      </c>
      <c r="I463">
        <v>70</v>
      </c>
    </row>
    <row r="464" hidden="1" spans="1:9">
      <c r="A464">
        <v>10458</v>
      </c>
      <c r="B464" t="s">
        <v>479</v>
      </c>
      <c r="C464" t="s">
        <v>17</v>
      </c>
      <c r="D464" t="s">
        <v>30</v>
      </c>
      <c r="E464">
        <v>72.5</v>
      </c>
      <c r="F464">
        <v>75</v>
      </c>
      <c r="G464">
        <v>49.5</v>
      </c>
      <c r="H464">
        <v>47.5</v>
      </c>
      <c r="I464">
        <v>80</v>
      </c>
    </row>
    <row r="465" hidden="1" spans="1:9">
      <c r="A465">
        <v>10459</v>
      </c>
      <c r="B465" t="s">
        <v>480</v>
      </c>
      <c r="C465" t="s">
        <v>14</v>
      </c>
      <c r="D465" t="s">
        <v>18</v>
      </c>
      <c r="E465">
        <v>90</v>
      </c>
      <c r="F465">
        <v>69.5</v>
      </c>
      <c r="G465">
        <v>76.5</v>
      </c>
      <c r="H465">
        <v>88</v>
      </c>
      <c r="I465">
        <v>82.5</v>
      </c>
    </row>
    <row r="466" hidden="1" spans="1:9">
      <c r="A466">
        <v>10460</v>
      </c>
      <c r="B466" t="s">
        <v>481</v>
      </c>
      <c r="C466" t="s">
        <v>14</v>
      </c>
      <c r="D466" t="s">
        <v>20</v>
      </c>
      <c r="E466">
        <v>65</v>
      </c>
      <c r="F466">
        <v>63.5</v>
      </c>
      <c r="G466">
        <v>71</v>
      </c>
      <c r="H466">
        <v>69</v>
      </c>
      <c r="I466">
        <v>72.5</v>
      </c>
    </row>
    <row r="467" hidden="1" spans="1:9">
      <c r="A467">
        <v>10461</v>
      </c>
      <c r="B467" t="s">
        <v>482</v>
      </c>
      <c r="C467" t="s">
        <v>17</v>
      </c>
      <c r="D467" t="s">
        <v>37</v>
      </c>
      <c r="E467">
        <v>96</v>
      </c>
      <c r="F467">
        <v>74.5</v>
      </c>
      <c r="G467">
        <v>87.5</v>
      </c>
      <c r="H467">
        <v>85.5</v>
      </c>
      <c r="I467">
        <v>73</v>
      </c>
    </row>
    <row r="468" hidden="1" spans="1:9">
      <c r="A468">
        <v>10462</v>
      </c>
      <c r="B468" t="s">
        <v>483</v>
      </c>
      <c r="C468" t="s">
        <v>14</v>
      </c>
      <c r="D468" t="s">
        <v>18</v>
      </c>
      <c r="E468">
        <v>77</v>
      </c>
      <c r="F468">
        <v>88</v>
      </c>
      <c r="G468">
        <v>81.5</v>
      </c>
      <c r="H468">
        <v>79.5</v>
      </c>
      <c r="I468">
        <v>76.5</v>
      </c>
    </row>
    <row r="469" hidden="1" spans="1:9">
      <c r="A469">
        <v>10463</v>
      </c>
      <c r="B469" t="s">
        <v>484</v>
      </c>
      <c r="C469" t="s">
        <v>17</v>
      </c>
      <c r="D469" t="s">
        <v>18</v>
      </c>
      <c r="E469">
        <v>85.5</v>
      </c>
      <c r="F469">
        <v>62.5</v>
      </c>
      <c r="G469">
        <v>71.5</v>
      </c>
      <c r="H469">
        <v>69.5</v>
      </c>
      <c r="I469">
        <v>83.5</v>
      </c>
    </row>
    <row r="470" hidden="1" spans="1:9">
      <c r="A470">
        <v>10464</v>
      </c>
      <c r="B470" t="s">
        <v>485</v>
      </c>
      <c r="C470" t="s">
        <v>17</v>
      </c>
      <c r="D470" t="s">
        <v>15</v>
      </c>
      <c r="E470">
        <v>67</v>
      </c>
      <c r="F470">
        <v>74.5</v>
      </c>
      <c r="G470">
        <v>72</v>
      </c>
      <c r="H470">
        <v>70</v>
      </c>
      <c r="I470">
        <v>57</v>
      </c>
    </row>
    <row r="471" hidden="1" spans="1:9">
      <c r="A471">
        <v>10465</v>
      </c>
      <c r="B471" t="s">
        <v>486</v>
      </c>
      <c r="C471" t="s">
        <v>14</v>
      </c>
      <c r="D471" t="s">
        <v>15</v>
      </c>
      <c r="E471">
        <v>79.5</v>
      </c>
      <c r="F471">
        <v>59</v>
      </c>
      <c r="G471">
        <v>94</v>
      </c>
      <c r="H471">
        <v>97.5</v>
      </c>
      <c r="I471">
        <v>91</v>
      </c>
    </row>
    <row r="472" hidden="1" spans="1:9">
      <c r="A472">
        <v>10466</v>
      </c>
      <c r="B472" t="s">
        <v>487</v>
      </c>
      <c r="C472" t="s">
        <v>14</v>
      </c>
      <c r="D472" t="s">
        <v>23</v>
      </c>
      <c r="E472">
        <v>61</v>
      </c>
      <c r="F472">
        <v>65.5</v>
      </c>
      <c r="G472">
        <v>70</v>
      </c>
      <c r="H472">
        <v>68</v>
      </c>
      <c r="I472">
        <v>71</v>
      </c>
    </row>
    <row r="473" hidden="1" spans="1:9">
      <c r="A473">
        <v>10467</v>
      </c>
      <c r="B473" t="s">
        <v>488</v>
      </c>
      <c r="C473" t="s">
        <v>17</v>
      </c>
      <c r="D473" t="s">
        <v>37</v>
      </c>
      <c r="E473">
        <v>57</v>
      </c>
      <c r="F473">
        <v>82</v>
      </c>
      <c r="G473">
        <v>67.5</v>
      </c>
      <c r="H473">
        <v>65.5</v>
      </c>
      <c r="I473">
        <v>78.5</v>
      </c>
    </row>
    <row r="474" hidden="1" spans="1:9">
      <c r="A474">
        <v>10468</v>
      </c>
      <c r="B474" t="s">
        <v>489</v>
      </c>
      <c r="C474" t="s">
        <v>14</v>
      </c>
      <c r="D474" t="s">
        <v>18</v>
      </c>
      <c r="E474">
        <v>81</v>
      </c>
      <c r="F474">
        <v>81</v>
      </c>
      <c r="G474">
        <v>75</v>
      </c>
      <c r="H474">
        <v>90</v>
      </c>
      <c r="I474">
        <v>82.5</v>
      </c>
    </row>
    <row r="475" hidden="1" spans="1:9">
      <c r="A475">
        <v>10469</v>
      </c>
      <c r="B475" t="s">
        <v>490</v>
      </c>
      <c r="C475" t="s">
        <v>17</v>
      </c>
      <c r="D475" t="s">
        <v>23</v>
      </c>
      <c r="E475">
        <v>79</v>
      </c>
      <c r="F475">
        <v>81.5</v>
      </c>
      <c r="G475">
        <v>79.5</v>
      </c>
      <c r="H475">
        <v>77.5</v>
      </c>
      <c r="I475">
        <v>67.5</v>
      </c>
    </row>
    <row r="476" hidden="1" spans="1:9">
      <c r="A476">
        <v>10470</v>
      </c>
      <c r="B476" t="s">
        <v>491</v>
      </c>
      <c r="C476" t="s">
        <v>17</v>
      </c>
      <c r="D476" t="s">
        <v>18</v>
      </c>
      <c r="E476">
        <v>73.5</v>
      </c>
      <c r="F476">
        <v>62</v>
      </c>
      <c r="G476">
        <v>71.5</v>
      </c>
      <c r="H476">
        <v>69.5</v>
      </c>
      <c r="I476">
        <v>79.5</v>
      </c>
    </row>
    <row r="477" hidden="1" spans="1:9">
      <c r="A477">
        <v>10471</v>
      </c>
      <c r="B477" t="s">
        <v>492</v>
      </c>
      <c r="C477" t="s">
        <v>17</v>
      </c>
      <c r="D477" t="s">
        <v>20</v>
      </c>
      <c r="E477">
        <v>72</v>
      </c>
      <c r="F477">
        <v>74.5</v>
      </c>
      <c r="G477">
        <v>65</v>
      </c>
      <c r="H477">
        <v>67</v>
      </c>
      <c r="I477">
        <v>62</v>
      </c>
    </row>
    <row r="478" hidden="1" spans="1:9">
      <c r="A478">
        <v>10472</v>
      </c>
      <c r="B478" t="s">
        <v>493</v>
      </c>
      <c r="C478" t="s">
        <v>17</v>
      </c>
      <c r="D478" t="s">
        <v>37</v>
      </c>
      <c r="E478">
        <v>94.5</v>
      </c>
      <c r="F478">
        <v>81.5</v>
      </c>
      <c r="G478">
        <v>71.5</v>
      </c>
      <c r="H478">
        <v>69.5</v>
      </c>
      <c r="I478">
        <v>56</v>
      </c>
    </row>
    <row r="479" hidden="1" spans="1:9">
      <c r="A479">
        <v>10473</v>
      </c>
      <c r="B479" t="s">
        <v>494</v>
      </c>
      <c r="C479" t="s">
        <v>14</v>
      </c>
      <c r="D479" t="s">
        <v>15</v>
      </c>
      <c r="E479">
        <v>90.5</v>
      </c>
      <c r="F479">
        <v>81</v>
      </c>
      <c r="G479">
        <v>80.5</v>
      </c>
      <c r="H479">
        <v>78.5</v>
      </c>
      <c r="I479">
        <v>82.5</v>
      </c>
    </row>
    <row r="480" hidden="1" spans="1:9">
      <c r="A480">
        <v>10474</v>
      </c>
      <c r="B480" t="s">
        <v>495</v>
      </c>
      <c r="C480" t="s">
        <v>14</v>
      </c>
      <c r="D480" t="s">
        <v>20</v>
      </c>
      <c r="E480">
        <v>62</v>
      </c>
      <c r="F480">
        <v>60</v>
      </c>
      <c r="G480">
        <v>56</v>
      </c>
      <c r="H480">
        <v>54</v>
      </c>
      <c r="I480">
        <v>86.5</v>
      </c>
    </row>
    <row r="481" hidden="1" spans="1:9">
      <c r="A481">
        <v>10475</v>
      </c>
      <c r="B481" t="s">
        <v>496</v>
      </c>
      <c r="C481" t="s">
        <v>17</v>
      </c>
      <c r="D481" t="s">
        <v>37</v>
      </c>
      <c r="E481">
        <v>61.5</v>
      </c>
      <c r="F481">
        <v>74.5</v>
      </c>
      <c r="G481">
        <v>72</v>
      </c>
      <c r="H481">
        <v>70</v>
      </c>
      <c r="I481">
        <v>87.5</v>
      </c>
    </row>
    <row r="482" hidden="1" spans="1:9">
      <c r="A482">
        <v>10476</v>
      </c>
      <c r="B482" t="s">
        <v>497</v>
      </c>
      <c r="C482" t="s">
        <v>14</v>
      </c>
      <c r="D482" t="s">
        <v>20</v>
      </c>
      <c r="E482">
        <v>88</v>
      </c>
      <c r="F482">
        <v>96.5</v>
      </c>
      <c r="G482">
        <v>90</v>
      </c>
      <c r="H482">
        <v>79.5</v>
      </c>
      <c r="I482">
        <v>68.5</v>
      </c>
    </row>
    <row r="483" hidden="1" spans="1:9">
      <c r="A483">
        <v>10477</v>
      </c>
      <c r="B483" t="s">
        <v>498</v>
      </c>
      <c r="C483" t="s">
        <v>17</v>
      </c>
      <c r="D483" t="s">
        <v>37</v>
      </c>
      <c r="E483">
        <v>90</v>
      </c>
      <c r="F483">
        <v>68</v>
      </c>
      <c r="G483">
        <v>88.5</v>
      </c>
      <c r="H483">
        <v>86.5</v>
      </c>
      <c r="I483">
        <v>84.5</v>
      </c>
    </row>
    <row r="484" hidden="1" spans="1:9">
      <c r="A484">
        <v>10478</v>
      </c>
      <c r="B484" t="s">
        <v>499</v>
      </c>
      <c r="C484" t="s">
        <v>14</v>
      </c>
      <c r="D484" t="s">
        <v>30</v>
      </c>
      <c r="E484">
        <v>46.5</v>
      </c>
      <c r="F484">
        <v>75.5</v>
      </c>
      <c r="G484">
        <v>80.5</v>
      </c>
      <c r="H484">
        <v>78.5</v>
      </c>
      <c r="I484">
        <v>88</v>
      </c>
    </row>
    <row r="485" hidden="1" spans="1:9">
      <c r="A485">
        <v>10479</v>
      </c>
      <c r="B485" t="s">
        <v>500</v>
      </c>
      <c r="C485" t="s">
        <v>17</v>
      </c>
      <c r="D485" t="s">
        <v>30</v>
      </c>
      <c r="E485">
        <v>72.5</v>
      </c>
      <c r="F485">
        <v>63</v>
      </c>
      <c r="G485">
        <v>76</v>
      </c>
      <c r="H485">
        <v>74</v>
      </c>
      <c r="I485">
        <v>89.5</v>
      </c>
    </row>
    <row r="486" hidden="1" spans="1:9">
      <c r="A486">
        <v>10480</v>
      </c>
      <c r="B486" t="s">
        <v>501</v>
      </c>
      <c r="C486" t="s">
        <v>17</v>
      </c>
      <c r="D486" t="s">
        <v>20</v>
      </c>
      <c r="E486">
        <v>81</v>
      </c>
      <c r="F486">
        <v>74</v>
      </c>
      <c r="G486">
        <v>75</v>
      </c>
      <c r="H486">
        <v>90</v>
      </c>
      <c r="I486">
        <v>89.5</v>
      </c>
    </row>
    <row r="487" spans="1:9">
      <c r="A487">
        <v>10481</v>
      </c>
      <c r="B487" t="s">
        <v>502</v>
      </c>
      <c r="C487" t="s">
        <v>17</v>
      </c>
      <c r="D487" t="s">
        <v>20</v>
      </c>
      <c r="E487">
        <v>95.5</v>
      </c>
      <c r="F487">
        <v>68.5</v>
      </c>
      <c r="G487">
        <v>77.5</v>
      </c>
      <c r="H487">
        <v>85</v>
      </c>
      <c r="I487">
        <v>81.5</v>
      </c>
    </row>
    <row r="488" hidden="1" spans="1:9">
      <c r="A488">
        <v>10482</v>
      </c>
      <c r="B488" t="s">
        <v>503</v>
      </c>
      <c r="C488" t="s">
        <v>17</v>
      </c>
      <c r="D488" t="s">
        <v>30</v>
      </c>
      <c r="E488">
        <v>75</v>
      </c>
      <c r="F488">
        <v>85</v>
      </c>
      <c r="G488">
        <v>77.5</v>
      </c>
      <c r="H488">
        <v>75.5</v>
      </c>
      <c r="I488">
        <v>90</v>
      </c>
    </row>
    <row r="489" hidden="1" spans="1:9">
      <c r="A489">
        <v>10483</v>
      </c>
      <c r="B489" t="s">
        <v>504</v>
      </c>
      <c r="C489" t="s">
        <v>14</v>
      </c>
      <c r="D489" t="s">
        <v>18</v>
      </c>
      <c r="E489">
        <v>68.5</v>
      </c>
      <c r="F489">
        <v>83.5</v>
      </c>
      <c r="G489">
        <v>72</v>
      </c>
      <c r="H489">
        <v>70</v>
      </c>
      <c r="I489">
        <v>77</v>
      </c>
    </row>
    <row r="490" hidden="1" spans="1:9">
      <c r="A490">
        <v>10484</v>
      </c>
      <c r="B490" t="s">
        <v>505</v>
      </c>
      <c r="C490" t="s">
        <v>14</v>
      </c>
      <c r="D490" t="s">
        <v>30</v>
      </c>
      <c r="E490">
        <v>82</v>
      </c>
      <c r="F490">
        <v>90</v>
      </c>
      <c r="G490">
        <v>86.5</v>
      </c>
      <c r="H490">
        <v>84.5</v>
      </c>
      <c r="I490">
        <v>65</v>
      </c>
    </row>
    <row r="491" hidden="1" spans="1:9">
      <c r="A491">
        <v>10485</v>
      </c>
      <c r="B491" t="s">
        <v>506</v>
      </c>
      <c r="C491" t="s">
        <v>17</v>
      </c>
      <c r="D491" t="s">
        <v>30</v>
      </c>
      <c r="E491">
        <v>82.5</v>
      </c>
      <c r="F491">
        <v>65.5</v>
      </c>
      <c r="G491">
        <v>73</v>
      </c>
      <c r="H491">
        <v>71</v>
      </c>
      <c r="I491">
        <v>92.5</v>
      </c>
    </row>
    <row r="492" hidden="1" spans="1:9">
      <c r="A492">
        <v>10486</v>
      </c>
      <c r="B492" t="s">
        <v>507</v>
      </c>
      <c r="C492" t="s">
        <v>14</v>
      </c>
      <c r="D492" t="s">
        <v>23</v>
      </c>
      <c r="E492">
        <v>85.5</v>
      </c>
      <c r="F492">
        <v>62</v>
      </c>
      <c r="G492">
        <v>83</v>
      </c>
      <c r="H492">
        <v>81</v>
      </c>
      <c r="I492">
        <v>93.5</v>
      </c>
    </row>
    <row r="493" spans="1:9">
      <c r="A493">
        <v>10487</v>
      </c>
      <c r="B493" t="s">
        <v>508</v>
      </c>
      <c r="C493" t="s">
        <v>14</v>
      </c>
      <c r="D493" t="s">
        <v>15</v>
      </c>
      <c r="E493">
        <v>97</v>
      </c>
      <c r="F493">
        <v>55.5</v>
      </c>
      <c r="G493">
        <v>84.5</v>
      </c>
      <c r="H493">
        <v>82.5</v>
      </c>
      <c r="I493">
        <v>92</v>
      </c>
    </row>
    <row r="494" hidden="1" spans="1:9">
      <c r="A494">
        <v>10488</v>
      </c>
      <c r="B494" t="s">
        <v>509</v>
      </c>
      <c r="C494" t="s">
        <v>17</v>
      </c>
      <c r="D494" t="s">
        <v>15</v>
      </c>
      <c r="E494">
        <v>75.5</v>
      </c>
      <c r="F494">
        <v>57.5</v>
      </c>
      <c r="G494">
        <v>76</v>
      </c>
      <c r="H494">
        <v>60</v>
      </c>
      <c r="I494">
        <v>71</v>
      </c>
    </row>
    <row r="495" hidden="1" spans="1:9">
      <c r="A495">
        <v>10489</v>
      </c>
      <c r="B495" t="s">
        <v>510</v>
      </c>
      <c r="C495" t="s">
        <v>14</v>
      </c>
      <c r="D495" t="s">
        <v>30</v>
      </c>
      <c r="E495">
        <v>92</v>
      </c>
      <c r="F495">
        <v>97</v>
      </c>
      <c r="G495">
        <v>70</v>
      </c>
      <c r="H495">
        <v>68</v>
      </c>
      <c r="I495">
        <v>86</v>
      </c>
    </row>
    <row r="496" hidden="1" spans="1:9">
      <c r="A496">
        <v>10490</v>
      </c>
      <c r="B496" t="s">
        <v>511</v>
      </c>
      <c r="C496" t="s">
        <v>14</v>
      </c>
      <c r="D496" t="s">
        <v>37</v>
      </c>
      <c r="E496">
        <v>70</v>
      </c>
      <c r="F496">
        <v>67.5</v>
      </c>
      <c r="G496">
        <v>68.5</v>
      </c>
      <c r="H496">
        <v>66.5</v>
      </c>
      <c r="I496">
        <v>62</v>
      </c>
    </row>
    <row r="497" hidden="1" spans="1:9">
      <c r="A497">
        <v>10491</v>
      </c>
      <c r="B497" t="s">
        <v>512</v>
      </c>
      <c r="C497" t="s">
        <v>17</v>
      </c>
      <c r="D497" t="s">
        <v>30</v>
      </c>
      <c r="E497">
        <v>87.5</v>
      </c>
      <c r="F497">
        <v>78</v>
      </c>
      <c r="G497">
        <v>79</v>
      </c>
      <c r="H497">
        <v>88</v>
      </c>
      <c r="I497">
        <v>76.5</v>
      </c>
    </row>
    <row r="498" hidden="1" spans="1:9">
      <c r="A498">
        <v>10492</v>
      </c>
      <c r="B498" t="s">
        <v>513</v>
      </c>
      <c r="C498" t="s">
        <v>14</v>
      </c>
      <c r="D498" t="s">
        <v>18</v>
      </c>
      <c r="E498">
        <v>77</v>
      </c>
      <c r="F498">
        <v>80.5</v>
      </c>
      <c r="G498">
        <v>85</v>
      </c>
      <c r="H498">
        <v>76</v>
      </c>
      <c r="I498">
        <v>88</v>
      </c>
    </row>
    <row r="499" hidden="1" spans="1:9">
      <c r="A499">
        <v>10493</v>
      </c>
      <c r="B499" t="s">
        <v>514</v>
      </c>
      <c r="C499" t="s">
        <v>14</v>
      </c>
      <c r="D499" t="s">
        <v>18</v>
      </c>
      <c r="E499">
        <v>72.5</v>
      </c>
      <c r="F499">
        <v>64</v>
      </c>
      <c r="G499">
        <v>69</v>
      </c>
      <c r="H499">
        <v>67</v>
      </c>
      <c r="I499">
        <v>68</v>
      </c>
    </row>
    <row r="500" hidden="1" spans="1:9">
      <c r="A500">
        <v>10494</v>
      </c>
      <c r="B500" t="s">
        <v>515</v>
      </c>
      <c r="C500" t="s">
        <v>17</v>
      </c>
      <c r="D500" t="s">
        <v>30</v>
      </c>
      <c r="E500">
        <v>82</v>
      </c>
      <c r="F500">
        <v>70</v>
      </c>
      <c r="G500">
        <v>84</v>
      </c>
      <c r="H500">
        <v>82</v>
      </c>
      <c r="I500">
        <v>83</v>
      </c>
    </row>
    <row r="501" hidden="1" spans="1:9">
      <c r="A501">
        <v>10495</v>
      </c>
      <c r="B501" t="s">
        <v>516</v>
      </c>
      <c r="C501" t="s">
        <v>14</v>
      </c>
      <c r="D501" t="s">
        <v>23</v>
      </c>
      <c r="E501">
        <v>88</v>
      </c>
      <c r="F501">
        <v>74</v>
      </c>
      <c r="G501">
        <v>67.5</v>
      </c>
      <c r="H501">
        <v>65.5</v>
      </c>
      <c r="I501">
        <v>66</v>
      </c>
    </row>
    <row r="502" hidden="1" spans="1:9">
      <c r="A502">
        <v>10496</v>
      </c>
      <c r="B502" t="s">
        <v>517</v>
      </c>
      <c r="C502" t="s">
        <v>17</v>
      </c>
      <c r="D502" t="s">
        <v>15</v>
      </c>
      <c r="E502">
        <v>80.5</v>
      </c>
      <c r="F502">
        <v>86</v>
      </c>
      <c r="G502">
        <v>69</v>
      </c>
      <c r="H502">
        <v>67</v>
      </c>
      <c r="I502">
        <v>90</v>
      </c>
    </row>
    <row r="503" hidden="1" spans="1:9">
      <c r="A503">
        <v>10497</v>
      </c>
      <c r="B503" t="s">
        <v>518</v>
      </c>
      <c r="C503" t="s">
        <v>17</v>
      </c>
      <c r="D503" t="s">
        <v>30</v>
      </c>
      <c r="E503">
        <v>64.5</v>
      </c>
      <c r="F503">
        <v>60</v>
      </c>
      <c r="G503">
        <v>87</v>
      </c>
      <c r="H503">
        <v>85</v>
      </c>
      <c r="I503">
        <v>71</v>
      </c>
    </row>
    <row r="504" hidden="1" spans="1:9">
      <c r="A504">
        <v>10498</v>
      </c>
      <c r="B504" t="s">
        <v>519</v>
      </c>
      <c r="C504" t="s">
        <v>17</v>
      </c>
      <c r="D504" t="s">
        <v>23</v>
      </c>
      <c r="E504">
        <v>83.5</v>
      </c>
      <c r="F504">
        <v>76.5</v>
      </c>
      <c r="G504">
        <v>92.5</v>
      </c>
      <c r="H504">
        <v>90.5</v>
      </c>
      <c r="I504">
        <v>62.5</v>
      </c>
    </row>
    <row r="505" hidden="1" spans="1:9">
      <c r="A505">
        <v>10499</v>
      </c>
      <c r="B505" t="s">
        <v>520</v>
      </c>
      <c r="C505" t="s">
        <v>14</v>
      </c>
      <c r="D505" t="s">
        <v>37</v>
      </c>
      <c r="E505">
        <v>64.5</v>
      </c>
      <c r="F505">
        <v>74.5</v>
      </c>
      <c r="G505">
        <v>68</v>
      </c>
      <c r="H505">
        <v>66</v>
      </c>
      <c r="I505">
        <v>88</v>
      </c>
    </row>
    <row r="506" hidden="1" spans="1:9">
      <c r="A506">
        <v>10500</v>
      </c>
      <c r="B506" t="s">
        <v>521</v>
      </c>
      <c r="C506" t="s">
        <v>17</v>
      </c>
      <c r="D506" t="s">
        <v>37</v>
      </c>
      <c r="E506">
        <v>61</v>
      </c>
      <c r="F506">
        <v>65</v>
      </c>
      <c r="G506">
        <v>80.5</v>
      </c>
      <c r="H506">
        <v>88</v>
      </c>
      <c r="I506">
        <v>92.5</v>
      </c>
    </row>
    <row r="507" spans="1:9">
      <c r="A507">
        <v>10501</v>
      </c>
      <c r="B507" t="s">
        <v>522</v>
      </c>
      <c r="C507" t="s">
        <v>17</v>
      </c>
      <c r="D507" t="s">
        <v>15</v>
      </c>
      <c r="E507">
        <v>95</v>
      </c>
      <c r="F507">
        <v>87</v>
      </c>
      <c r="G507">
        <v>85</v>
      </c>
      <c r="H507">
        <v>92</v>
      </c>
      <c r="I507">
        <v>93.5</v>
      </c>
    </row>
    <row r="508" hidden="1" spans="1:9">
      <c r="A508">
        <v>10502</v>
      </c>
      <c r="B508" t="s">
        <v>523</v>
      </c>
      <c r="C508" t="s">
        <v>17</v>
      </c>
      <c r="D508" t="s">
        <v>30</v>
      </c>
      <c r="E508">
        <v>80</v>
      </c>
      <c r="F508">
        <v>86</v>
      </c>
      <c r="G508">
        <v>84</v>
      </c>
      <c r="H508">
        <v>78.5</v>
      </c>
      <c r="I508">
        <v>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6"/>
  <sheetViews>
    <sheetView workbookViewId="0">
      <selection activeCell="K1" sqref="K$1:K$1048576"/>
    </sheetView>
  </sheetViews>
  <sheetFormatPr defaultColWidth="9" defaultRowHeight="14"/>
  <cols>
    <col min="1" max="1" width="6.37272727272727" customWidth="1"/>
    <col min="2" max="2" width="7" customWidth="1"/>
    <col min="3" max="4" width="5.12727272727273" customWidth="1"/>
    <col min="5" max="6" width="8.87272727272727" customWidth="1"/>
    <col min="7" max="7" width="7" customWidth="1"/>
    <col min="8" max="8" width="10.8727272727273" customWidth="1"/>
    <col min="9" max="9" width="12.8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1" outlineLevel="2" spans="1:9">
      <c r="A2" s="1">
        <v>10002</v>
      </c>
      <c r="B2" s="1" t="s">
        <v>16</v>
      </c>
      <c r="C2" s="1" t="s">
        <v>17</v>
      </c>
      <c r="D2" s="1" t="s">
        <v>18</v>
      </c>
      <c r="E2" s="1">
        <v>87</v>
      </c>
      <c r="F2" s="1">
        <v>90</v>
      </c>
      <c r="G2" s="1">
        <v>97</v>
      </c>
      <c r="H2" s="1">
        <v>69.5</v>
      </c>
      <c r="I2" s="1">
        <v>88.5</v>
      </c>
    </row>
    <row r="3" hidden="1" outlineLevel="2" spans="1:9">
      <c r="A3" s="1">
        <v>10006</v>
      </c>
      <c r="B3" s="1" t="s">
        <v>27</v>
      </c>
      <c r="C3" s="1" t="s">
        <v>17</v>
      </c>
      <c r="D3" s="1" t="s">
        <v>15</v>
      </c>
      <c r="E3" s="1">
        <v>78</v>
      </c>
      <c r="F3" s="1">
        <v>86.5</v>
      </c>
      <c r="G3" s="1">
        <v>67</v>
      </c>
      <c r="H3" s="1">
        <v>65</v>
      </c>
      <c r="I3" s="1">
        <v>68</v>
      </c>
    </row>
    <row r="4" hidden="1" outlineLevel="2" spans="1:9">
      <c r="A4" s="1">
        <v>10007</v>
      </c>
      <c r="B4" s="1" t="s">
        <v>28</v>
      </c>
      <c r="C4" s="1" t="s">
        <v>17</v>
      </c>
      <c r="D4" s="1" t="s">
        <v>20</v>
      </c>
      <c r="E4" s="1">
        <v>84</v>
      </c>
      <c r="F4" s="1">
        <v>70.5</v>
      </c>
      <c r="G4" s="1">
        <v>75</v>
      </c>
      <c r="H4" s="1">
        <v>73</v>
      </c>
      <c r="I4" s="1">
        <v>75</v>
      </c>
    </row>
    <row r="5" hidden="1" outlineLevel="2" spans="1:9">
      <c r="A5" s="1">
        <v>10008</v>
      </c>
      <c r="B5" s="1" t="s">
        <v>29</v>
      </c>
      <c r="C5" s="1" t="s">
        <v>17</v>
      </c>
      <c r="D5" s="1" t="s">
        <v>30</v>
      </c>
      <c r="E5" s="1">
        <v>86.5</v>
      </c>
      <c r="F5" s="1">
        <v>65</v>
      </c>
      <c r="G5" s="1">
        <v>62.5</v>
      </c>
      <c r="H5" s="1">
        <v>60.5</v>
      </c>
      <c r="I5" s="1">
        <v>58.5</v>
      </c>
    </row>
    <row r="6" hidden="1" outlineLevel="2" spans="1:9">
      <c r="A6" s="1">
        <v>10009</v>
      </c>
      <c r="B6" s="1" t="s">
        <v>31</v>
      </c>
      <c r="C6" s="1" t="s">
        <v>17</v>
      </c>
      <c r="D6" s="1" t="s">
        <v>23</v>
      </c>
      <c r="E6" s="1">
        <v>90.5</v>
      </c>
      <c r="F6" s="1">
        <v>88</v>
      </c>
      <c r="G6" s="1">
        <v>95</v>
      </c>
      <c r="H6" s="1">
        <v>90</v>
      </c>
      <c r="I6" s="1">
        <v>94.5</v>
      </c>
    </row>
    <row r="7" hidden="1" outlineLevel="2" spans="1:9">
      <c r="A7" s="1">
        <v>10012</v>
      </c>
      <c r="B7" s="1" t="s">
        <v>34</v>
      </c>
      <c r="C7" s="1" t="s">
        <v>17</v>
      </c>
      <c r="D7" s="1" t="s">
        <v>23</v>
      </c>
      <c r="E7" s="1">
        <v>94</v>
      </c>
      <c r="F7" s="1">
        <v>90</v>
      </c>
      <c r="G7" s="1">
        <v>96</v>
      </c>
      <c r="H7" s="1">
        <v>83.5</v>
      </c>
      <c r="I7" s="1">
        <v>93</v>
      </c>
    </row>
    <row r="8" hidden="1" outlineLevel="2" spans="1:9">
      <c r="A8" s="1">
        <v>10013</v>
      </c>
      <c r="B8" s="1" t="s">
        <v>35</v>
      </c>
      <c r="C8" s="1" t="s">
        <v>17</v>
      </c>
      <c r="D8" s="1" t="s">
        <v>20</v>
      </c>
      <c r="E8" s="1">
        <v>65</v>
      </c>
      <c r="F8" s="1">
        <v>64</v>
      </c>
      <c r="G8" s="1">
        <v>75.5</v>
      </c>
      <c r="H8" s="1">
        <v>73.5</v>
      </c>
      <c r="I8" s="1">
        <v>83.5</v>
      </c>
    </row>
    <row r="9" hidden="1" outlineLevel="2" spans="1:9">
      <c r="A9" s="1">
        <v>10014</v>
      </c>
      <c r="B9" s="1" t="s">
        <v>36</v>
      </c>
      <c r="C9" s="1" t="s">
        <v>17</v>
      </c>
      <c r="D9" s="1" t="s">
        <v>37</v>
      </c>
      <c r="E9" s="1">
        <v>67</v>
      </c>
      <c r="F9" s="1">
        <v>86</v>
      </c>
      <c r="G9" s="1">
        <v>70.5</v>
      </c>
      <c r="H9" s="1">
        <v>68.5</v>
      </c>
      <c r="I9" s="1">
        <v>62.5</v>
      </c>
    </row>
    <row r="10" hidden="1" outlineLevel="2" spans="1:9">
      <c r="A10" s="1">
        <v>10016</v>
      </c>
      <c r="B10" s="1" t="s">
        <v>39</v>
      </c>
      <c r="C10" s="1" t="s">
        <v>17</v>
      </c>
      <c r="D10" s="1" t="s">
        <v>18</v>
      </c>
      <c r="E10" s="1">
        <v>89</v>
      </c>
      <c r="F10" s="1">
        <v>72</v>
      </c>
      <c r="G10" s="1">
        <v>79</v>
      </c>
      <c r="H10" s="1">
        <v>87</v>
      </c>
      <c r="I10" s="1">
        <v>97</v>
      </c>
    </row>
    <row r="11" hidden="1" outlineLevel="2" spans="1:9">
      <c r="A11" s="1">
        <v>10017</v>
      </c>
      <c r="B11" s="1" t="s">
        <v>40</v>
      </c>
      <c r="C11" s="1" t="s">
        <v>17</v>
      </c>
      <c r="D11" s="1" t="s">
        <v>30</v>
      </c>
      <c r="E11" s="1">
        <v>80</v>
      </c>
      <c r="F11" s="1">
        <v>90</v>
      </c>
      <c r="G11" s="1">
        <v>83</v>
      </c>
      <c r="H11" s="1">
        <v>81</v>
      </c>
      <c r="I11" s="1">
        <v>84</v>
      </c>
    </row>
    <row r="12" hidden="1" outlineLevel="2" spans="1:9">
      <c r="A12" s="1">
        <v>10020</v>
      </c>
      <c r="B12" s="1" t="s">
        <v>43</v>
      </c>
      <c r="C12" s="1" t="s">
        <v>17</v>
      </c>
      <c r="D12" s="1" t="s">
        <v>30</v>
      </c>
      <c r="E12" s="1">
        <v>71</v>
      </c>
      <c r="F12" s="1">
        <v>82.5</v>
      </c>
      <c r="G12" s="1">
        <v>89</v>
      </c>
      <c r="H12" s="1">
        <v>87</v>
      </c>
      <c r="I12" s="1">
        <v>79</v>
      </c>
    </row>
    <row r="13" hidden="1" outlineLevel="2" spans="1:9">
      <c r="A13" s="1">
        <v>10021</v>
      </c>
      <c r="B13" s="1" t="s">
        <v>44</v>
      </c>
      <c r="C13" s="1" t="s">
        <v>17</v>
      </c>
      <c r="D13" s="1" t="s">
        <v>20</v>
      </c>
      <c r="E13" s="1">
        <v>91</v>
      </c>
      <c r="F13" s="1">
        <v>68.5</v>
      </c>
      <c r="G13" s="1">
        <v>64.5</v>
      </c>
      <c r="H13" s="1">
        <v>62.5</v>
      </c>
      <c r="I13" s="1">
        <v>76.5</v>
      </c>
    </row>
    <row r="14" hidden="1" outlineLevel="2" spans="1:9">
      <c r="A14" s="1">
        <v>10022</v>
      </c>
      <c r="B14" s="1" t="s">
        <v>45</v>
      </c>
      <c r="C14" s="1" t="s">
        <v>17</v>
      </c>
      <c r="D14" s="1" t="s">
        <v>15</v>
      </c>
      <c r="E14" s="1">
        <v>78.5</v>
      </c>
      <c r="F14" s="1">
        <v>73</v>
      </c>
      <c r="G14" s="1">
        <v>83</v>
      </c>
      <c r="H14" s="1">
        <v>81</v>
      </c>
      <c r="I14" s="1">
        <v>73</v>
      </c>
    </row>
    <row r="15" hidden="1" outlineLevel="2" spans="1:9">
      <c r="A15" s="1">
        <v>10023</v>
      </c>
      <c r="B15" s="1" t="s">
        <v>46</v>
      </c>
      <c r="C15" s="1" t="s">
        <v>17</v>
      </c>
      <c r="D15" s="1" t="s">
        <v>18</v>
      </c>
      <c r="E15" s="1">
        <v>72.5</v>
      </c>
      <c r="F15" s="1">
        <v>74.5</v>
      </c>
      <c r="G15" s="1">
        <v>72.5</v>
      </c>
      <c r="H15" s="1">
        <v>70.5</v>
      </c>
      <c r="I15" s="1">
        <v>67</v>
      </c>
    </row>
    <row r="16" hidden="1" outlineLevel="2" spans="1:9">
      <c r="A16" s="1">
        <v>10024</v>
      </c>
      <c r="B16" s="1" t="s">
        <v>47</v>
      </c>
      <c r="C16" s="1" t="s">
        <v>17</v>
      </c>
      <c r="D16" s="1" t="s">
        <v>23</v>
      </c>
      <c r="E16" s="1">
        <v>78</v>
      </c>
      <c r="F16" s="1">
        <v>61.5</v>
      </c>
      <c r="G16" s="1">
        <v>66</v>
      </c>
      <c r="H16" s="1">
        <v>64</v>
      </c>
      <c r="I16" s="1">
        <v>69</v>
      </c>
    </row>
    <row r="17" hidden="1" outlineLevel="2" spans="1:9">
      <c r="A17" s="1">
        <v>10025</v>
      </c>
      <c r="B17" s="1" t="s">
        <v>48</v>
      </c>
      <c r="C17" s="1" t="s">
        <v>17</v>
      </c>
      <c r="D17" s="1" t="s">
        <v>30</v>
      </c>
      <c r="E17" s="1">
        <v>93</v>
      </c>
      <c r="F17" s="1">
        <v>86</v>
      </c>
      <c r="G17" s="1">
        <v>94.5</v>
      </c>
      <c r="H17" s="1">
        <v>92.5</v>
      </c>
      <c r="I17" s="1">
        <v>93</v>
      </c>
    </row>
    <row r="18" hidden="1" outlineLevel="2" spans="1:9">
      <c r="A18" s="1">
        <v>10027</v>
      </c>
      <c r="B18" s="1" t="s">
        <v>50</v>
      </c>
      <c r="C18" s="1" t="s">
        <v>17</v>
      </c>
      <c r="D18" s="1" t="s">
        <v>15</v>
      </c>
      <c r="E18" s="1">
        <v>63.5</v>
      </c>
      <c r="F18" s="1">
        <v>77.5</v>
      </c>
      <c r="G18" s="1">
        <v>84.5</v>
      </c>
      <c r="H18" s="1">
        <v>82.5</v>
      </c>
      <c r="I18" s="1">
        <v>80</v>
      </c>
    </row>
    <row r="19" hidden="1" outlineLevel="2" spans="1:9">
      <c r="A19" s="1">
        <v>10029</v>
      </c>
      <c r="B19" s="1" t="s">
        <v>52</v>
      </c>
      <c r="C19" s="1" t="s">
        <v>17</v>
      </c>
      <c r="D19" s="1" t="s">
        <v>15</v>
      </c>
      <c r="E19" s="1">
        <v>52.5</v>
      </c>
      <c r="F19" s="1">
        <v>50</v>
      </c>
      <c r="G19" s="1">
        <v>64</v>
      </c>
      <c r="H19" s="1">
        <v>62</v>
      </c>
      <c r="I19" s="1">
        <v>60</v>
      </c>
    </row>
    <row r="20" hidden="1" outlineLevel="2" spans="1:9">
      <c r="A20" s="1">
        <v>10031</v>
      </c>
      <c r="B20" s="1" t="s">
        <v>54</v>
      </c>
      <c r="C20" s="1" t="s">
        <v>17</v>
      </c>
      <c r="D20" s="1" t="s">
        <v>37</v>
      </c>
      <c r="E20" s="1">
        <v>77.5</v>
      </c>
      <c r="F20" s="1">
        <v>75.5</v>
      </c>
      <c r="G20" s="1">
        <v>79</v>
      </c>
      <c r="H20" s="1">
        <v>77</v>
      </c>
      <c r="I20" s="1">
        <v>80</v>
      </c>
    </row>
    <row r="21" hidden="1" outlineLevel="2" spans="1:9">
      <c r="A21" s="1">
        <v>10032</v>
      </c>
      <c r="B21" s="1" t="s">
        <v>55</v>
      </c>
      <c r="C21" s="1" t="s">
        <v>17</v>
      </c>
      <c r="D21" s="1" t="s">
        <v>20</v>
      </c>
      <c r="E21" s="1">
        <v>77</v>
      </c>
      <c r="F21" s="1">
        <v>85.5</v>
      </c>
      <c r="G21" s="1">
        <v>63.5</v>
      </c>
      <c r="H21" s="1">
        <v>61.5</v>
      </c>
      <c r="I21" s="1">
        <v>72</v>
      </c>
    </row>
    <row r="22" hidden="1" outlineLevel="2" spans="1:9">
      <c r="A22" s="1">
        <v>10034</v>
      </c>
      <c r="B22" s="1" t="s">
        <v>57</v>
      </c>
      <c r="C22" s="1" t="s">
        <v>17</v>
      </c>
      <c r="D22" s="1" t="s">
        <v>20</v>
      </c>
      <c r="E22" s="1">
        <v>80</v>
      </c>
      <c r="F22" s="1">
        <v>76.5</v>
      </c>
      <c r="G22" s="1">
        <v>89.5</v>
      </c>
      <c r="H22" s="1">
        <v>87.5</v>
      </c>
      <c r="I22" s="1">
        <v>80</v>
      </c>
    </row>
    <row r="23" hidden="1" outlineLevel="2" spans="1:9">
      <c r="A23" s="1">
        <v>10035</v>
      </c>
      <c r="B23" s="1" t="s">
        <v>58</v>
      </c>
      <c r="C23" s="1" t="s">
        <v>17</v>
      </c>
      <c r="D23" s="1" t="s">
        <v>20</v>
      </c>
      <c r="E23" s="1">
        <v>65</v>
      </c>
      <c r="F23" s="1">
        <v>60</v>
      </c>
      <c r="G23" s="1">
        <v>50</v>
      </c>
      <c r="H23" s="1">
        <v>52.5</v>
      </c>
      <c r="I23" s="1">
        <v>62</v>
      </c>
    </row>
    <row r="24" hidden="1" outlineLevel="2" spans="1:9">
      <c r="A24" s="1">
        <v>10036</v>
      </c>
      <c r="B24" s="1" t="s">
        <v>59</v>
      </c>
      <c r="C24" s="1" t="s">
        <v>17</v>
      </c>
      <c r="D24" s="1" t="s">
        <v>15</v>
      </c>
      <c r="E24" s="1">
        <v>93</v>
      </c>
      <c r="F24" s="1">
        <v>82</v>
      </c>
      <c r="G24" s="1">
        <v>97</v>
      </c>
      <c r="H24" s="1">
        <v>97</v>
      </c>
      <c r="I24" s="1">
        <v>92</v>
      </c>
    </row>
    <row r="25" hidden="1" outlineLevel="2" spans="1:9">
      <c r="A25" s="1">
        <v>10037</v>
      </c>
      <c r="B25" s="1" t="s">
        <v>60</v>
      </c>
      <c r="C25" s="1" t="s">
        <v>17</v>
      </c>
      <c r="D25" s="1" t="s">
        <v>30</v>
      </c>
      <c r="E25" s="1">
        <v>76.5</v>
      </c>
      <c r="F25" s="1">
        <v>79.5</v>
      </c>
      <c r="G25" s="1">
        <v>68</v>
      </c>
      <c r="H25" s="1">
        <v>66</v>
      </c>
      <c r="I25" s="1">
        <v>71.5</v>
      </c>
    </row>
    <row r="26" hidden="1" outlineLevel="2" spans="1:9">
      <c r="A26" s="1">
        <v>10039</v>
      </c>
      <c r="B26" s="1" t="s">
        <v>62</v>
      </c>
      <c r="C26" s="1" t="s">
        <v>17</v>
      </c>
      <c r="D26" s="1" t="s">
        <v>20</v>
      </c>
      <c r="E26" s="1">
        <v>85.5</v>
      </c>
      <c r="F26" s="1">
        <v>91.5</v>
      </c>
      <c r="G26" s="1">
        <v>56.5</v>
      </c>
      <c r="H26" s="1">
        <v>54.5</v>
      </c>
      <c r="I26" s="1">
        <v>76.5</v>
      </c>
    </row>
    <row r="27" hidden="1" outlineLevel="2" spans="1:9">
      <c r="A27" s="1">
        <v>10046</v>
      </c>
      <c r="B27" s="1" t="s">
        <v>69</v>
      </c>
      <c r="C27" s="1" t="s">
        <v>17</v>
      </c>
      <c r="D27" s="1" t="s">
        <v>37</v>
      </c>
      <c r="E27" s="1">
        <v>92</v>
      </c>
      <c r="F27" s="1">
        <v>93</v>
      </c>
      <c r="G27" s="1">
        <v>92</v>
      </c>
      <c r="H27" s="1">
        <v>63.5</v>
      </c>
      <c r="I27" s="1">
        <v>65</v>
      </c>
    </row>
    <row r="28" hidden="1" outlineLevel="2" spans="1:9">
      <c r="A28" s="1">
        <v>10047</v>
      </c>
      <c r="B28" s="1" t="s">
        <v>70</v>
      </c>
      <c r="C28" s="1" t="s">
        <v>17</v>
      </c>
      <c r="D28" s="1" t="s">
        <v>23</v>
      </c>
      <c r="E28" s="1">
        <v>64.5</v>
      </c>
      <c r="F28" s="1">
        <v>66.5</v>
      </c>
      <c r="G28" s="1">
        <v>75.5</v>
      </c>
      <c r="H28" s="1">
        <v>73.5</v>
      </c>
      <c r="I28" s="1">
        <v>90</v>
      </c>
    </row>
    <row r="29" hidden="1" outlineLevel="2" spans="1:9">
      <c r="A29" s="1">
        <v>10050</v>
      </c>
      <c r="B29" s="1" t="s">
        <v>73</v>
      </c>
      <c r="C29" s="1" t="s">
        <v>17</v>
      </c>
      <c r="D29" s="1" t="s">
        <v>18</v>
      </c>
      <c r="E29" s="1">
        <v>78</v>
      </c>
      <c r="F29" s="1">
        <v>74</v>
      </c>
      <c r="G29" s="1">
        <v>78</v>
      </c>
      <c r="H29" s="1">
        <v>76</v>
      </c>
      <c r="I29" s="1">
        <v>74</v>
      </c>
    </row>
    <row r="30" hidden="1" outlineLevel="2" spans="1:9">
      <c r="A30" s="1">
        <v>10052</v>
      </c>
      <c r="B30" s="1" t="s">
        <v>75</v>
      </c>
      <c r="C30" s="1" t="s">
        <v>17</v>
      </c>
      <c r="D30" s="1" t="s">
        <v>23</v>
      </c>
      <c r="E30" s="1">
        <v>77.5</v>
      </c>
      <c r="F30" s="1">
        <v>72.5</v>
      </c>
      <c r="G30" s="1">
        <v>73.5</v>
      </c>
      <c r="H30" s="1">
        <v>71.5</v>
      </c>
      <c r="I30" s="1">
        <v>65</v>
      </c>
    </row>
    <row r="31" hidden="1" outlineLevel="2" spans="1:9">
      <c r="A31" s="1">
        <v>10053</v>
      </c>
      <c r="B31" s="1" t="s">
        <v>76</v>
      </c>
      <c r="C31" s="1" t="s">
        <v>17</v>
      </c>
      <c r="D31" s="1" t="s">
        <v>15</v>
      </c>
      <c r="E31" s="1">
        <v>76</v>
      </c>
      <c r="F31" s="1">
        <v>71.5</v>
      </c>
      <c r="G31" s="1">
        <v>76</v>
      </c>
      <c r="H31" s="1">
        <v>74</v>
      </c>
      <c r="I31" s="1">
        <v>72</v>
      </c>
    </row>
    <row r="32" hidden="1" outlineLevel="2" spans="1:9">
      <c r="A32" s="1">
        <v>10054</v>
      </c>
      <c r="B32" s="1" t="s">
        <v>77</v>
      </c>
      <c r="C32" s="1" t="s">
        <v>17</v>
      </c>
      <c r="D32" s="1" t="s">
        <v>37</v>
      </c>
      <c r="E32" s="1">
        <v>96</v>
      </c>
      <c r="F32" s="1">
        <v>88</v>
      </c>
      <c r="G32" s="1">
        <v>93</v>
      </c>
      <c r="H32" s="1">
        <v>88</v>
      </c>
      <c r="I32" s="1">
        <v>92</v>
      </c>
    </row>
    <row r="33" hidden="1" outlineLevel="2" spans="1:9">
      <c r="A33" s="1">
        <v>10056</v>
      </c>
      <c r="B33" s="1" t="s">
        <v>79</v>
      </c>
      <c r="C33" s="1" t="s">
        <v>17</v>
      </c>
      <c r="D33" s="1" t="s">
        <v>37</v>
      </c>
      <c r="E33" s="1">
        <v>79.5</v>
      </c>
      <c r="F33" s="1">
        <v>87.5</v>
      </c>
      <c r="G33" s="1">
        <v>74.5</v>
      </c>
      <c r="H33" s="1">
        <v>72.5</v>
      </c>
      <c r="I33" s="1">
        <v>75</v>
      </c>
    </row>
    <row r="34" hidden="1" outlineLevel="2" spans="1:9">
      <c r="A34" s="1">
        <v>10058</v>
      </c>
      <c r="B34" s="1" t="s">
        <v>81</v>
      </c>
      <c r="C34" s="1" t="s">
        <v>17</v>
      </c>
      <c r="D34" s="1" t="s">
        <v>15</v>
      </c>
      <c r="E34" s="1">
        <v>93.5</v>
      </c>
      <c r="F34" s="1">
        <v>83</v>
      </c>
      <c r="G34" s="1">
        <v>73.5</v>
      </c>
      <c r="H34" s="1">
        <v>71.5</v>
      </c>
      <c r="I34" s="1">
        <v>91</v>
      </c>
    </row>
    <row r="35" hidden="1" outlineLevel="2" spans="1:9">
      <c r="A35" s="1">
        <v>10059</v>
      </c>
      <c r="B35" s="1" t="s">
        <v>82</v>
      </c>
      <c r="C35" s="1" t="s">
        <v>17</v>
      </c>
      <c r="D35" s="1" t="s">
        <v>18</v>
      </c>
      <c r="E35" s="1">
        <v>62</v>
      </c>
      <c r="F35" s="1">
        <v>75</v>
      </c>
      <c r="G35" s="1">
        <v>84.5</v>
      </c>
      <c r="H35" s="1">
        <v>82.5</v>
      </c>
      <c r="I35" s="1">
        <v>67.5</v>
      </c>
    </row>
    <row r="36" hidden="1" outlineLevel="2" spans="1:9">
      <c r="A36" s="1">
        <v>10060</v>
      </c>
      <c r="B36" s="1" t="s">
        <v>83</v>
      </c>
      <c r="C36" s="1" t="s">
        <v>17</v>
      </c>
      <c r="D36" s="1" t="s">
        <v>20</v>
      </c>
      <c r="E36" s="1">
        <v>96</v>
      </c>
      <c r="F36" s="1">
        <v>84</v>
      </c>
      <c r="G36" s="1">
        <v>98</v>
      </c>
      <c r="H36" s="1">
        <v>96</v>
      </c>
      <c r="I36" s="1">
        <v>69.5</v>
      </c>
    </row>
    <row r="37" hidden="1" outlineLevel="2" spans="1:9">
      <c r="A37" s="1">
        <v>10064</v>
      </c>
      <c r="B37" s="1" t="s">
        <v>87</v>
      </c>
      <c r="C37" s="1" t="s">
        <v>17</v>
      </c>
      <c r="D37" s="1" t="s">
        <v>23</v>
      </c>
      <c r="E37" s="1">
        <v>74</v>
      </c>
      <c r="F37" s="1">
        <v>85.5</v>
      </c>
      <c r="G37" s="1">
        <v>73.5</v>
      </c>
      <c r="H37" s="1">
        <v>71.5</v>
      </c>
      <c r="I37" s="1">
        <v>79</v>
      </c>
    </row>
    <row r="38" hidden="1" outlineLevel="2" spans="1:9">
      <c r="A38" s="1">
        <v>10065</v>
      </c>
      <c r="B38" s="1" t="s">
        <v>88</v>
      </c>
      <c r="C38" s="1" t="s">
        <v>17</v>
      </c>
      <c r="D38" s="1" t="s">
        <v>18</v>
      </c>
      <c r="E38" s="1">
        <v>82.5</v>
      </c>
      <c r="F38" s="1">
        <v>80</v>
      </c>
      <c r="G38" s="1">
        <v>92.5</v>
      </c>
      <c r="H38" s="1">
        <v>90.5</v>
      </c>
      <c r="I38" s="1">
        <v>73.5</v>
      </c>
    </row>
    <row r="39" hidden="1" outlineLevel="2" spans="1:9">
      <c r="A39" s="1">
        <v>10067</v>
      </c>
      <c r="B39" s="1" t="s">
        <v>90</v>
      </c>
      <c r="C39" s="1" t="s">
        <v>17</v>
      </c>
      <c r="D39" s="1" t="s">
        <v>20</v>
      </c>
      <c r="E39" s="1">
        <v>71.5</v>
      </c>
      <c r="F39" s="1">
        <v>73</v>
      </c>
      <c r="G39" s="1">
        <v>77</v>
      </c>
      <c r="H39" s="1">
        <v>75</v>
      </c>
      <c r="I39" s="1">
        <v>78.5</v>
      </c>
    </row>
    <row r="40" hidden="1" outlineLevel="2" spans="1:9">
      <c r="A40" s="1">
        <v>10069</v>
      </c>
      <c r="B40" s="1" t="s">
        <v>92</v>
      </c>
      <c r="C40" s="1" t="s">
        <v>17</v>
      </c>
      <c r="D40" s="1" t="s">
        <v>23</v>
      </c>
      <c r="E40" s="1">
        <v>79.5</v>
      </c>
      <c r="F40" s="1">
        <v>86</v>
      </c>
      <c r="G40" s="1">
        <v>85</v>
      </c>
      <c r="H40" s="1">
        <v>83</v>
      </c>
      <c r="I40" s="1">
        <v>61</v>
      </c>
    </row>
    <row r="41" hidden="1" outlineLevel="2" spans="1:9">
      <c r="A41" s="1">
        <v>10071</v>
      </c>
      <c r="B41" s="1" t="s">
        <v>94</v>
      </c>
      <c r="C41" s="1" t="s">
        <v>17</v>
      </c>
      <c r="D41" s="1" t="s">
        <v>15</v>
      </c>
      <c r="E41" s="1">
        <v>56</v>
      </c>
      <c r="F41" s="1">
        <v>60.5</v>
      </c>
      <c r="G41" s="1">
        <v>54</v>
      </c>
      <c r="H41" s="1">
        <v>79</v>
      </c>
      <c r="I41" s="1">
        <v>76.5</v>
      </c>
    </row>
    <row r="42" hidden="1" outlineLevel="2" spans="1:9">
      <c r="A42" s="1">
        <v>10072</v>
      </c>
      <c r="B42" s="1" t="s">
        <v>95</v>
      </c>
      <c r="C42" s="1" t="s">
        <v>17</v>
      </c>
      <c r="D42" s="1" t="s">
        <v>23</v>
      </c>
      <c r="E42" s="1">
        <v>85.5</v>
      </c>
      <c r="F42" s="1">
        <v>94</v>
      </c>
      <c r="G42" s="1">
        <v>94</v>
      </c>
      <c r="H42" s="1">
        <v>75.5</v>
      </c>
      <c r="I42" s="1">
        <v>70</v>
      </c>
    </row>
    <row r="43" hidden="1" outlineLevel="2" spans="1:9">
      <c r="A43" s="1">
        <v>10075</v>
      </c>
      <c r="B43" s="1" t="s">
        <v>98</v>
      </c>
      <c r="C43" s="1" t="s">
        <v>17</v>
      </c>
      <c r="D43" s="1" t="s">
        <v>30</v>
      </c>
      <c r="E43" s="1">
        <v>70.5</v>
      </c>
      <c r="F43" s="1">
        <v>74</v>
      </c>
      <c r="G43" s="1">
        <v>74</v>
      </c>
      <c r="H43" s="1">
        <v>72</v>
      </c>
      <c r="I43" s="1">
        <v>77</v>
      </c>
    </row>
    <row r="44" hidden="1" outlineLevel="2" spans="1:9">
      <c r="A44" s="1">
        <v>10077</v>
      </c>
      <c r="B44" s="1" t="s">
        <v>100</v>
      </c>
      <c r="C44" s="1" t="s">
        <v>17</v>
      </c>
      <c r="D44" s="1" t="s">
        <v>37</v>
      </c>
      <c r="E44" s="1">
        <v>71.5</v>
      </c>
      <c r="F44" s="1">
        <v>79.5</v>
      </c>
      <c r="G44" s="1">
        <v>75.5</v>
      </c>
      <c r="H44" s="1">
        <v>73.5</v>
      </c>
      <c r="I44" s="1">
        <v>87.5</v>
      </c>
    </row>
    <row r="45" hidden="1" outlineLevel="2" spans="1:9">
      <c r="A45" s="1">
        <v>10079</v>
      </c>
      <c r="B45" s="1" t="s">
        <v>102</v>
      </c>
      <c r="C45" s="1" t="s">
        <v>17</v>
      </c>
      <c r="D45" s="1" t="s">
        <v>15</v>
      </c>
      <c r="E45" s="1">
        <v>74</v>
      </c>
      <c r="F45" s="1">
        <v>85</v>
      </c>
      <c r="G45" s="1">
        <v>73</v>
      </c>
      <c r="H45" s="1">
        <v>71</v>
      </c>
      <c r="I45" s="1">
        <v>88</v>
      </c>
    </row>
    <row r="46" hidden="1" outlineLevel="2" spans="1:9">
      <c r="A46" s="1">
        <v>10080</v>
      </c>
      <c r="B46" s="1" t="s">
        <v>103</v>
      </c>
      <c r="C46" s="1" t="s">
        <v>17</v>
      </c>
      <c r="D46" s="1" t="s">
        <v>30</v>
      </c>
      <c r="E46" s="1">
        <v>87</v>
      </c>
      <c r="F46" s="1">
        <v>80</v>
      </c>
      <c r="G46" s="1">
        <v>82</v>
      </c>
      <c r="H46" s="1">
        <v>72</v>
      </c>
      <c r="I46" s="1">
        <v>84</v>
      </c>
    </row>
    <row r="47" hidden="1" outlineLevel="2" spans="1:9">
      <c r="A47" s="1">
        <v>10081</v>
      </c>
      <c r="B47" s="1" t="s">
        <v>104</v>
      </c>
      <c r="C47" s="1" t="s">
        <v>17</v>
      </c>
      <c r="D47" s="1" t="s">
        <v>37</v>
      </c>
      <c r="E47" s="1">
        <v>87.5</v>
      </c>
      <c r="F47" s="1">
        <v>73</v>
      </c>
      <c r="G47" s="1">
        <v>91</v>
      </c>
      <c r="H47" s="1">
        <v>89</v>
      </c>
      <c r="I47" s="1">
        <v>69.5</v>
      </c>
    </row>
    <row r="48" hidden="1" outlineLevel="2" spans="1:9">
      <c r="A48" s="1">
        <v>10082</v>
      </c>
      <c r="B48" s="1" t="s">
        <v>105</v>
      </c>
      <c r="C48" s="1" t="s">
        <v>17</v>
      </c>
      <c r="D48" s="1" t="s">
        <v>20</v>
      </c>
      <c r="E48" s="1">
        <v>81</v>
      </c>
      <c r="F48" s="1">
        <v>91.5</v>
      </c>
      <c r="G48" s="1">
        <v>97</v>
      </c>
      <c r="H48" s="1">
        <v>95</v>
      </c>
      <c r="I48" s="1">
        <v>92</v>
      </c>
    </row>
    <row r="49" hidden="1" outlineLevel="2" spans="1:9">
      <c r="A49" s="1">
        <v>10083</v>
      </c>
      <c r="B49" s="1" t="s">
        <v>106</v>
      </c>
      <c r="C49" s="1" t="s">
        <v>17</v>
      </c>
      <c r="D49" s="1" t="s">
        <v>18</v>
      </c>
      <c r="E49" s="1">
        <v>83</v>
      </c>
      <c r="F49" s="1">
        <v>80</v>
      </c>
      <c r="G49" s="1">
        <v>72.5</v>
      </c>
      <c r="H49" s="1">
        <v>82</v>
      </c>
      <c r="I49" s="1">
        <v>93.5</v>
      </c>
    </row>
    <row r="50" hidden="1" outlineLevel="2" spans="1:9">
      <c r="A50" s="1">
        <v>10084</v>
      </c>
      <c r="B50" s="1" t="s">
        <v>107</v>
      </c>
      <c r="C50" s="1" t="s">
        <v>17</v>
      </c>
      <c r="D50" s="1" t="s">
        <v>15</v>
      </c>
      <c r="E50" s="1">
        <v>58.5</v>
      </c>
      <c r="F50" s="1">
        <v>82</v>
      </c>
      <c r="G50" s="1">
        <v>70</v>
      </c>
      <c r="H50" s="1">
        <v>60</v>
      </c>
      <c r="I50" s="1">
        <v>64.5</v>
      </c>
    </row>
    <row r="51" hidden="1" outlineLevel="2" spans="1:9">
      <c r="A51" s="1">
        <v>10087</v>
      </c>
      <c r="B51" s="1" t="s">
        <v>110</v>
      </c>
      <c r="C51" s="1" t="s">
        <v>17</v>
      </c>
      <c r="D51" s="1" t="s">
        <v>37</v>
      </c>
      <c r="E51" s="1">
        <v>88</v>
      </c>
      <c r="F51" s="1">
        <v>81.5</v>
      </c>
      <c r="G51" s="1">
        <v>83</v>
      </c>
      <c r="H51" s="1">
        <v>81</v>
      </c>
      <c r="I51" s="1">
        <v>73.5</v>
      </c>
    </row>
    <row r="52" hidden="1" outlineLevel="2" spans="1:9">
      <c r="A52" s="1">
        <v>10089</v>
      </c>
      <c r="B52" s="1" t="s">
        <v>112</v>
      </c>
      <c r="C52" s="1" t="s">
        <v>17</v>
      </c>
      <c r="D52" s="1" t="s">
        <v>15</v>
      </c>
      <c r="E52" s="1">
        <v>80</v>
      </c>
      <c r="F52" s="1">
        <v>85</v>
      </c>
      <c r="G52" s="1">
        <v>97</v>
      </c>
      <c r="H52" s="1">
        <v>98</v>
      </c>
      <c r="I52" s="1">
        <v>95</v>
      </c>
    </row>
    <row r="53" hidden="1" outlineLevel="2" spans="1:9">
      <c r="A53" s="1">
        <v>10091</v>
      </c>
      <c r="B53" s="1" t="s">
        <v>114</v>
      </c>
      <c r="C53" s="1" t="s">
        <v>17</v>
      </c>
      <c r="D53" s="1" t="s">
        <v>20</v>
      </c>
      <c r="E53" s="1">
        <v>66</v>
      </c>
      <c r="F53" s="1">
        <v>69.5</v>
      </c>
      <c r="G53" s="1">
        <v>79.5</v>
      </c>
      <c r="H53" s="1">
        <v>77.5</v>
      </c>
      <c r="I53" s="1">
        <v>83</v>
      </c>
    </row>
    <row r="54" hidden="1" outlineLevel="2" spans="1:9">
      <c r="A54" s="1">
        <v>10094</v>
      </c>
      <c r="B54" s="1" t="s">
        <v>117</v>
      </c>
      <c r="C54" s="1" t="s">
        <v>17</v>
      </c>
      <c r="D54" s="1" t="s">
        <v>15</v>
      </c>
      <c r="E54" s="1">
        <v>74.5</v>
      </c>
      <c r="F54" s="1">
        <v>80.5</v>
      </c>
      <c r="G54" s="1">
        <v>81</v>
      </c>
      <c r="H54" s="1">
        <v>79</v>
      </c>
      <c r="I54" s="1">
        <v>75</v>
      </c>
    </row>
    <row r="55" hidden="1" outlineLevel="2" spans="1:9">
      <c r="A55" s="1">
        <v>10095</v>
      </c>
      <c r="B55" s="1" t="s">
        <v>118</v>
      </c>
      <c r="C55" s="1" t="s">
        <v>17</v>
      </c>
      <c r="D55" s="1" t="s">
        <v>20</v>
      </c>
      <c r="E55" s="1">
        <v>76.5</v>
      </c>
      <c r="F55" s="1">
        <v>62.5</v>
      </c>
      <c r="G55" s="1">
        <v>79.5</v>
      </c>
      <c r="H55" s="1">
        <v>77.5</v>
      </c>
      <c r="I55" s="1">
        <v>83</v>
      </c>
    </row>
    <row r="56" hidden="1" outlineLevel="2" spans="1:9">
      <c r="A56" s="1">
        <v>10099</v>
      </c>
      <c r="B56" s="1" t="s">
        <v>122</v>
      </c>
      <c r="C56" s="1" t="s">
        <v>17</v>
      </c>
      <c r="D56" s="1" t="s">
        <v>37</v>
      </c>
      <c r="E56" s="1">
        <v>81</v>
      </c>
      <c r="F56" s="1">
        <v>85</v>
      </c>
      <c r="G56" s="1">
        <v>79.5</v>
      </c>
      <c r="H56" s="1">
        <v>77.5</v>
      </c>
      <c r="I56" s="1">
        <v>83</v>
      </c>
    </row>
    <row r="57" hidden="1" outlineLevel="2" spans="1:9">
      <c r="A57" s="1">
        <v>10100</v>
      </c>
      <c r="B57" s="1" t="s">
        <v>123</v>
      </c>
      <c r="C57" s="1" t="s">
        <v>17</v>
      </c>
      <c r="D57" s="1" t="s">
        <v>37</v>
      </c>
      <c r="E57" s="1">
        <v>63</v>
      </c>
      <c r="F57" s="1">
        <v>79.5</v>
      </c>
      <c r="G57" s="1">
        <v>88.5</v>
      </c>
      <c r="H57" s="1">
        <v>86.5</v>
      </c>
      <c r="I57" s="1">
        <v>93</v>
      </c>
    </row>
    <row r="58" hidden="1" outlineLevel="2" spans="1:9">
      <c r="A58" s="1">
        <v>10101</v>
      </c>
      <c r="B58" s="1" t="s">
        <v>124</v>
      </c>
      <c r="C58" s="1" t="s">
        <v>17</v>
      </c>
      <c r="D58" s="1" t="s">
        <v>37</v>
      </c>
      <c r="E58" s="1">
        <v>64</v>
      </c>
      <c r="F58" s="1">
        <v>82.5</v>
      </c>
      <c r="G58" s="1">
        <v>72</v>
      </c>
      <c r="H58" s="1">
        <v>70</v>
      </c>
      <c r="I58" s="1">
        <v>62.5</v>
      </c>
    </row>
    <row r="59" hidden="1" outlineLevel="2" spans="1:9">
      <c r="A59" s="1">
        <v>10104</v>
      </c>
      <c r="B59" s="1" t="s">
        <v>127</v>
      </c>
      <c r="C59" s="1" t="s">
        <v>17</v>
      </c>
      <c r="D59" s="1" t="s">
        <v>18</v>
      </c>
      <c r="E59" s="1">
        <v>88</v>
      </c>
      <c r="F59" s="1">
        <v>77.5</v>
      </c>
      <c r="G59" s="1">
        <v>77.5</v>
      </c>
      <c r="H59" s="1">
        <v>75.5</v>
      </c>
      <c r="I59" s="1">
        <v>61</v>
      </c>
    </row>
    <row r="60" hidden="1" outlineLevel="2" spans="1:9">
      <c r="A60" s="1">
        <v>10107</v>
      </c>
      <c r="B60" s="1" t="s">
        <v>130</v>
      </c>
      <c r="C60" s="1" t="s">
        <v>17</v>
      </c>
      <c r="D60" s="1" t="s">
        <v>15</v>
      </c>
      <c r="E60" s="1">
        <v>82</v>
      </c>
      <c r="F60" s="1">
        <v>69</v>
      </c>
      <c r="G60" s="1">
        <v>75.5</v>
      </c>
      <c r="H60" s="1">
        <v>73.5</v>
      </c>
      <c r="I60" s="1">
        <v>79</v>
      </c>
    </row>
    <row r="61" hidden="1" outlineLevel="2" spans="1:9">
      <c r="A61" s="1">
        <v>10110</v>
      </c>
      <c r="B61" s="1" t="s">
        <v>133</v>
      </c>
      <c r="C61" s="1" t="s">
        <v>17</v>
      </c>
      <c r="D61" s="1" t="s">
        <v>23</v>
      </c>
      <c r="E61" s="1">
        <v>65</v>
      </c>
      <c r="F61" s="1">
        <v>66.5</v>
      </c>
      <c r="G61" s="1">
        <v>73.5</v>
      </c>
      <c r="H61" s="1">
        <v>71.5</v>
      </c>
      <c r="I61" s="1">
        <v>62</v>
      </c>
    </row>
    <row r="62" hidden="1" outlineLevel="2" spans="1:9">
      <c r="A62" s="1">
        <v>10111</v>
      </c>
      <c r="B62" s="1" t="s">
        <v>134</v>
      </c>
      <c r="C62" s="1" t="s">
        <v>17</v>
      </c>
      <c r="D62" s="1" t="s">
        <v>20</v>
      </c>
      <c r="E62" s="1">
        <v>97</v>
      </c>
      <c r="F62" s="1">
        <v>57</v>
      </c>
      <c r="G62" s="1">
        <v>73.5</v>
      </c>
      <c r="H62" s="1">
        <v>71.5</v>
      </c>
      <c r="I62" s="1">
        <v>78.5</v>
      </c>
    </row>
    <row r="63" hidden="1" outlineLevel="2" spans="1:9">
      <c r="A63" s="1">
        <v>10112</v>
      </c>
      <c r="B63" s="1" t="s">
        <v>135</v>
      </c>
      <c r="C63" s="1" t="s">
        <v>17</v>
      </c>
      <c r="D63" s="1" t="s">
        <v>23</v>
      </c>
      <c r="E63" s="1">
        <v>68.5</v>
      </c>
      <c r="F63" s="1">
        <v>78</v>
      </c>
      <c r="G63" s="1">
        <v>68</v>
      </c>
      <c r="H63" s="1">
        <v>66</v>
      </c>
      <c r="I63" s="1">
        <v>61</v>
      </c>
    </row>
    <row r="64" hidden="1" outlineLevel="2" spans="1:9">
      <c r="A64" s="1">
        <v>10113</v>
      </c>
      <c r="B64" s="1" t="s">
        <v>136</v>
      </c>
      <c r="C64" s="1" t="s">
        <v>17</v>
      </c>
      <c r="D64" s="1" t="s">
        <v>30</v>
      </c>
      <c r="E64" s="1">
        <v>75.5</v>
      </c>
      <c r="F64" s="1">
        <v>82</v>
      </c>
      <c r="G64" s="1">
        <v>94.5</v>
      </c>
      <c r="H64" s="1">
        <v>92.5</v>
      </c>
      <c r="I64" s="1">
        <v>84.5</v>
      </c>
    </row>
    <row r="65" hidden="1" outlineLevel="2" spans="1:9">
      <c r="A65" s="1">
        <v>10114</v>
      </c>
      <c r="B65" s="1" t="s">
        <v>137</v>
      </c>
      <c r="C65" s="1" t="s">
        <v>17</v>
      </c>
      <c r="D65" s="1" t="s">
        <v>15</v>
      </c>
      <c r="E65" s="1">
        <v>66</v>
      </c>
      <c r="F65" s="1">
        <v>70.5</v>
      </c>
      <c r="G65" s="1">
        <v>87</v>
      </c>
      <c r="H65" s="1">
        <v>85</v>
      </c>
      <c r="I65" s="1">
        <v>57</v>
      </c>
    </row>
    <row r="66" hidden="1" outlineLevel="2" spans="1:9">
      <c r="A66" s="1">
        <v>10115</v>
      </c>
      <c r="B66" s="1" t="s">
        <v>138</v>
      </c>
      <c r="C66" s="1" t="s">
        <v>17</v>
      </c>
      <c r="D66" s="1" t="s">
        <v>37</v>
      </c>
      <c r="E66" s="1">
        <v>61</v>
      </c>
      <c r="F66" s="1">
        <v>58.5</v>
      </c>
      <c r="G66" s="1">
        <v>47</v>
      </c>
      <c r="H66" s="1">
        <v>75</v>
      </c>
      <c r="I66" s="1">
        <v>73</v>
      </c>
    </row>
    <row r="67" hidden="1" outlineLevel="2" spans="1:9">
      <c r="A67" s="1">
        <v>10120</v>
      </c>
      <c r="B67" s="1" t="s">
        <v>143</v>
      </c>
      <c r="C67" s="1" t="s">
        <v>17</v>
      </c>
      <c r="D67" s="1" t="s">
        <v>23</v>
      </c>
      <c r="E67" s="1">
        <v>83</v>
      </c>
      <c r="F67" s="1">
        <v>94</v>
      </c>
      <c r="G67" s="1">
        <v>77.5</v>
      </c>
      <c r="H67" s="1">
        <v>75.5</v>
      </c>
      <c r="I67" s="1">
        <v>70.5</v>
      </c>
    </row>
    <row r="68" hidden="1" outlineLevel="2" spans="1:9">
      <c r="A68" s="1">
        <v>10121</v>
      </c>
      <c r="B68" s="1" t="s">
        <v>144</v>
      </c>
      <c r="C68" s="1" t="s">
        <v>17</v>
      </c>
      <c r="D68" s="1" t="s">
        <v>23</v>
      </c>
      <c r="E68" s="1">
        <v>71.5</v>
      </c>
      <c r="F68" s="1">
        <v>92.5</v>
      </c>
      <c r="G68" s="1">
        <v>58.5</v>
      </c>
      <c r="H68" s="1">
        <v>56.5</v>
      </c>
      <c r="I68" s="1">
        <v>86.5</v>
      </c>
    </row>
    <row r="69" hidden="1" outlineLevel="2" spans="1:9">
      <c r="A69" s="1">
        <v>10123</v>
      </c>
      <c r="B69" s="1" t="s">
        <v>146</v>
      </c>
      <c r="C69" s="1" t="s">
        <v>17</v>
      </c>
      <c r="D69" s="1" t="s">
        <v>20</v>
      </c>
      <c r="E69" s="1">
        <v>85</v>
      </c>
      <c r="F69" s="1">
        <v>72.5</v>
      </c>
      <c r="G69" s="1">
        <v>87</v>
      </c>
      <c r="H69" s="1">
        <v>85</v>
      </c>
      <c r="I69" s="1">
        <v>82</v>
      </c>
    </row>
    <row r="70" hidden="1" outlineLevel="2" spans="1:9">
      <c r="A70" s="1">
        <v>10124</v>
      </c>
      <c r="B70" s="1" t="s">
        <v>147</v>
      </c>
      <c r="C70" s="1" t="s">
        <v>17</v>
      </c>
      <c r="D70" s="1" t="s">
        <v>30</v>
      </c>
      <c r="E70" s="1">
        <v>74.5</v>
      </c>
      <c r="F70" s="1">
        <v>77.5</v>
      </c>
      <c r="G70" s="1">
        <v>67.5</v>
      </c>
      <c r="H70" s="1">
        <v>65.5</v>
      </c>
      <c r="I70" s="1">
        <v>71.5</v>
      </c>
    </row>
    <row r="71" hidden="1" outlineLevel="2" spans="1:9">
      <c r="A71" s="1">
        <v>10125</v>
      </c>
      <c r="B71" s="1" t="s">
        <v>148</v>
      </c>
      <c r="C71" s="1" t="s">
        <v>17</v>
      </c>
      <c r="D71" s="1" t="s">
        <v>37</v>
      </c>
      <c r="E71" s="1">
        <v>91.5</v>
      </c>
      <c r="F71" s="1">
        <v>90</v>
      </c>
      <c r="G71" s="1">
        <v>91.5</v>
      </c>
      <c r="H71" s="1">
        <v>89.5</v>
      </c>
      <c r="I71" s="1">
        <v>88</v>
      </c>
    </row>
    <row r="72" hidden="1" outlineLevel="2" spans="1:9">
      <c r="A72" s="1">
        <v>10129</v>
      </c>
      <c r="B72" s="1" t="s">
        <v>152</v>
      </c>
      <c r="C72" s="1" t="s">
        <v>17</v>
      </c>
      <c r="D72" s="1" t="s">
        <v>37</v>
      </c>
      <c r="E72" s="1">
        <v>78</v>
      </c>
      <c r="F72" s="1">
        <v>80</v>
      </c>
      <c r="G72" s="1">
        <v>68</v>
      </c>
      <c r="H72" s="1">
        <v>66</v>
      </c>
      <c r="I72" s="1">
        <v>70.5</v>
      </c>
    </row>
    <row r="73" hidden="1" outlineLevel="2" spans="1:9">
      <c r="A73" s="1">
        <v>10131</v>
      </c>
      <c r="B73" s="1" t="s">
        <v>154</v>
      </c>
      <c r="C73" s="1" t="s">
        <v>17</v>
      </c>
      <c r="D73" s="1" t="s">
        <v>23</v>
      </c>
      <c r="E73" s="1">
        <v>85</v>
      </c>
      <c r="F73" s="1">
        <v>82.5</v>
      </c>
      <c r="G73" s="1">
        <v>69</v>
      </c>
      <c r="H73" s="1">
        <v>67</v>
      </c>
      <c r="I73" s="1">
        <v>87</v>
      </c>
    </row>
    <row r="74" hidden="1" outlineLevel="2" spans="1:9">
      <c r="A74" s="1">
        <v>10133</v>
      </c>
      <c r="B74" s="1" t="s">
        <v>156</v>
      </c>
      <c r="C74" s="1" t="s">
        <v>17</v>
      </c>
      <c r="D74" s="1" t="s">
        <v>20</v>
      </c>
      <c r="E74" s="1">
        <v>75.5</v>
      </c>
      <c r="F74" s="1">
        <v>60.5</v>
      </c>
      <c r="G74" s="1">
        <v>75.5</v>
      </c>
      <c r="H74" s="1">
        <v>73.5</v>
      </c>
      <c r="I74" s="1">
        <v>81</v>
      </c>
    </row>
    <row r="75" hidden="1" outlineLevel="2" spans="1:9">
      <c r="A75" s="1">
        <v>10135</v>
      </c>
      <c r="B75" s="1" t="s">
        <v>158</v>
      </c>
      <c r="C75" s="1" t="s">
        <v>17</v>
      </c>
      <c r="D75" s="1" t="s">
        <v>20</v>
      </c>
      <c r="E75" s="1">
        <v>74.5</v>
      </c>
      <c r="F75" s="1">
        <v>72</v>
      </c>
      <c r="G75" s="1">
        <v>65</v>
      </c>
      <c r="H75" s="1">
        <v>63</v>
      </c>
      <c r="I75" s="1">
        <v>64</v>
      </c>
    </row>
    <row r="76" hidden="1" outlineLevel="2" spans="1:9">
      <c r="A76" s="1">
        <v>10137</v>
      </c>
      <c r="B76" s="1" t="s">
        <v>160</v>
      </c>
      <c r="C76" s="1" t="s">
        <v>17</v>
      </c>
      <c r="D76" s="1" t="s">
        <v>23</v>
      </c>
      <c r="E76" s="1">
        <v>61</v>
      </c>
      <c r="F76" s="1">
        <v>76</v>
      </c>
      <c r="G76" s="1">
        <v>67.5</v>
      </c>
      <c r="H76" s="1">
        <v>65.5</v>
      </c>
      <c r="I76" s="1">
        <v>74.5</v>
      </c>
    </row>
    <row r="77" hidden="1" outlineLevel="2" spans="1:9">
      <c r="A77" s="1">
        <v>10138</v>
      </c>
      <c r="B77" s="1" t="s">
        <v>161</v>
      </c>
      <c r="C77" s="1" t="s">
        <v>17</v>
      </c>
      <c r="D77" s="1" t="s">
        <v>37</v>
      </c>
      <c r="E77" s="1">
        <v>90</v>
      </c>
      <c r="F77" s="1">
        <v>94.5</v>
      </c>
      <c r="G77" s="1">
        <v>66</v>
      </c>
      <c r="H77" s="1">
        <v>64</v>
      </c>
      <c r="I77" s="1">
        <v>71</v>
      </c>
    </row>
    <row r="78" hidden="1" outlineLevel="2" spans="1:9">
      <c r="A78" s="1">
        <v>10140</v>
      </c>
      <c r="B78" s="1" t="s">
        <v>163</v>
      </c>
      <c r="C78" s="1" t="s">
        <v>17</v>
      </c>
      <c r="D78" s="1" t="s">
        <v>18</v>
      </c>
      <c r="E78" s="1">
        <v>59.5</v>
      </c>
      <c r="F78" s="1">
        <v>78.5</v>
      </c>
      <c r="G78" s="1">
        <v>79.5</v>
      </c>
      <c r="H78" s="1">
        <v>77.5</v>
      </c>
      <c r="I78" s="1">
        <v>68</v>
      </c>
    </row>
    <row r="79" hidden="1" outlineLevel="2" spans="1:9">
      <c r="A79" s="1">
        <v>10144</v>
      </c>
      <c r="B79" s="1" t="s">
        <v>167</v>
      </c>
      <c r="C79" s="1" t="s">
        <v>17</v>
      </c>
      <c r="D79" s="1" t="s">
        <v>20</v>
      </c>
      <c r="E79" s="1">
        <v>68.5</v>
      </c>
      <c r="F79" s="1">
        <v>65</v>
      </c>
      <c r="G79" s="1">
        <v>96.5</v>
      </c>
      <c r="H79" s="1">
        <v>94.5</v>
      </c>
      <c r="I79" s="1">
        <v>88</v>
      </c>
    </row>
    <row r="80" hidden="1" outlineLevel="2" spans="1:9">
      <c r="A80" s="1">
        <v>10145</v>
      </c>
      <c r="B80" s="1" t="s">
        <v>168</v>
      </c>
      <c r="C80" s="1" t="s">
        <v>17</v>
      </c>
      <c r="D80" s="1" t="s">
        <v>18</v>
      </c>
      <c r="E80" s="1">
        <v>77.5</v>
      </c>
      <c r="F80" s="1">
        <v>79.5</v>
      </c>
      <c r="G80" s="1">
        <v>71.5</v>
      </c>
      <c r="H80" s="1">
        <v>69.5</v>
      </c>
      <c r="I80" s="1">
        <v>84.5</v>
      </c>
    </row>
    <row r="81" hidden="1" outlineLevel="2" spans="1:9">
      <c r="A81" s="1">
        <v>10147</v>
      </c>
      <c r="B81" s="1" t="s">
        <v>170</v>
      </c>
      <c r="C81" s="1" t="s">
        <v>17</v>
      </c>
      <c r="D81" s="1" t="s">
        <v>20</v>
      </c>
      <c r="E81" s="1">
        <v>80</v>
      </c>
      <c r="F81" s="1">
        <v>78</v>
      </c>
      <c r="G81" s="1">
        <v>56</v>
      </c>
      <c r="H81" s="1">
        <v>54</v>
      </c>
      <c r="I81" s="1">
        <v>66.5</v>
      </c>
    </row>
    <row r="82" hidden="1" outlineLevel="2" spans="1:9">
      <c r="A82" s="1">
        <v>10148</v>
      </c>
      <c r="B82" s="1" t="s">
        <v>171</v>
      </c>
      <c r="C82" s="1" t="s">
        <v>17</v>
      </c>
      <c r="D82" s="1" t="s">
        <v>20</v>
      </c>
      <c r="E82" s="1">
        <v>58</v>
      </c>
      <c r="F82" s="1">
        <v>51</v>
      </c>
      <c r="G82" s="1">
        <v>63.5</v>
      </c>
      <c r="H82" s="1">
        <v>61.5</v>
      </c>
      <c r="I82" s="1">
        <v>56.5</v>
      </c>
    </row>
    <row r="83" hidden="1" outlineLevel="2" spans="1:9">
      <c r="A83" s="1">
        <v>10149</v>
      </c>
      <c r="B83" s="1" t="s">
        <v>172</v>
      </c>
      <c r="C83" s="1" t="s">
        <v>17</v>
      </c>
      <c r="D83" s="1" t="s">
        <v>23</v>
      </c>
      <c r="E83" s="1">
        <v>66.5</v>
      </c>
      <c r="F83" s="1">
        <v>69.5</v>
      </c>
      <c r="G83" s="1">
        <v>59</v>
      </c>
      <c r="H83" s="1">
        <v>57</v>
      </c>
      <c r="I83" s="1">
        <v>66.5</v>
      </c>
    </row>
    <row r="84" hidden="1" outlineLevel="2" spans="1:9">
      <c r="A84" s="1">
        <v>10150</v>
      </c>
      <c r="B84" s="1" t="s">
        <v>173</v>
      </c>
      <c r="C84" s="1" t="s">
        <v>17</v>
      </c>
      <c r="D84" s="1" t="s">
        <v>20</v>
      </c>
      <c r="E84" s="1">
        <v>69.5</v>
      </c>
      <c r="F84" s="1">
        <v>76.5</v>
      </c>
      <c r="G84" s="1">
        <v>91.5</v>
      </c>
      <c r="H84" s="1">
        <v>89.5</v>
      </c>
      <c r="I84" s="1">
        <v>69.5</v>
      </c>
    </row>
    <row r="85" hidden="1" outlineLevel="2" spans="1:9">
      <c r="A85" s="1">
        <v>10153</v>
      </c>
      <c r="B85" s="1" t="s">
        <v>176</v>
      </c>
      <c r="C85" s="1" t="s">
        <v>17</v>
      </c>
      <c r="D85" s="1" t="s">
        <v>37</v>
      </c>
      <c r="E85" s="1">
        <v>81</v>
      </c>
      <c r="F85" s="1">
        <v>71.5</v>
      </c>
      <c r="G85" s="1">
        <v>75.5</v>
      </c>
      <c r="H85" s="1">
        <v>73.5</v>
      </c>
      <c r="I85" s="1">
        <v>79.5</v>
      </c>
    </row>
    <row r="86" hidden="1" outlineLevel="2" spans="1:9">
      <c r="A86" s="1">
        <v>10154</v>
      </c>
      <c r="B86" s="1" t="s">
        <v>177</v>
      </c>
      <c r="C86" s="1" t="s">
        <v>17</v>
      </c>
      <c r="D86" s="1" t="s">
        <v>20</v>
      </c>
      <c r="E86" s="1">
        <v>73</v>
      </c>
      <c r="F86" s="1">
        <v>60.5</v>
      </c>
      <c r="G86" s="1">
        <v>73</v>
      </c>
      <c r="H86" s="1">
        <v>71</v>
      </c>
      <c r="I86" s="1">
        <v>78</v>
      </c>
    </row>
    <row r="87" hidden="1" outlineLevel="2" spans="1:9">
      <c r="A87" s="1">
        <v>10155</v>
      </c>
      <c r="B87" s="1" t="s">
        <v>178</v>
      </c>
      <c r="C87" s="1" t="s">
        <v>17</v>
      </c>
      <c r="D87" s="1" t="s">
        <v>20</v>
      </c>
      <c r="E87" s="1">
        <v>93</v>
      </c>
      <c r="F87" s="1">
        <v>95</v>
      </c>
      <c r="G87" s="1">
        <v>80</v>
      </c>
      <c r="H87" s="1">
        <v>68</v>
      </c>
      <c r="I87" s="1">
        <v>53.5</v>
      </c>
    </row>
    <row r="88" hidden="1" outlineLevel="2" spans="1:9">
      <c r="A88" s="1">
        <v>10156</v>
      </c>
      <c r="B88" s="1" t="s">
        <v>179</v>
      </c>
      <c r="C88" s="1" t="s">
        <v>17</v>
      </c>
      <c r="D88" s="1" t="s">
        <v>18</v>
      </c>
      <c r="E88" s="1">
        <v>76.5</v>
      </c>
      <c r="F88" s="1">
        <v>85</v>
      </c>
      <c r="G88" s="1">
        <v>88.5</v>
      </c>
      <c r="H88" s="1">
        <v>72</v>
      </c>
      <c r="I88" s="1">
        <v>86</v>
      </c>
    </row>
    <row r="89" hidden="1" outlineLevel="2" spans="1:9">
      <c r="A89" s="1">
        <v>10159</v>
      </c>
      <c r="B89" s="1" t="s">
        <v>182</v>
      </c>
      <c r="C89" s="1" t="s">
        <v>17</v>
      </c>
      <c r="D89" s="1" t="s">
        <v>20</v>
      </c>
      <c r="E89" s="1">
        <v>77.5</v>
      </c>
      <c r="F89" s="1">
        <v>67</v>
      </c>
      <c r="G89" s="1">
        <v>62</v>
      </c>
      <c r="H89" s="1">
        <v>60</v>
      </c>
      <c r="I89" s="1">
        <v>84.5</v>
      </c>
    </row>
    <row r="90" hidden="1" outlineLevel="2" spans="1:9">
      <c r="A90" s="1">
        <v>10168</v>
      </c>
      <c r="B90" s="1" t="s">
        <v>191</v>
      </c>
      <c r="C90" s="1" t="s">
        <v>17</v>
      </c>
      <c r="D90" s="1" t="s">
        <v>20</v>
      </c>
      <c r="E90" s="1">
        <v>82.5</v>
      </c>
      <c r="F90" s="1">
        <v>70</v>
      </c>
      <c r="G90" s="1">
        <v>82.5</v>
      </c>
      <c r="H90" s="1">
        <v>80.5</v>
      </c>
      <c r="I90" s="1">
        <v>86.5</v>
      </c>
    </row>
    <row r="91" hidden="1" outlineLevel="2" spans="1:9">
      <c r="A91" s="1">
        <v>10169</v>
      </c>
      <c r="B91" s="1" t="s">
        <v>192</v>
      </c>
      <c r="C91" s="1" t="s">
        <v>17</v>
      </c>
      <c r="D91" s="1" t="s">
        <v>23</v>
      </c>
      <c r="E91" s="1">
        <v>52</v>
      </c>
      <c r="F91" s="1">
        <v>62.5</v>
      </c>
      <c r="G91" s="1">
        <v>70</v>
      </c>
      <c r="H91" s="1">
        <v>68</v>
      </c>
      <c r="I91" s="1">
        <v>71</v>
      </c>
    </row>
    <row r="92" hidden="1" outlineLevel="2" spans="1:9">
      <c r="A92" s="1">
        <v>10175</v>
      </c>
      <c r="B92" s="1" t="s">
        <v>198</v>
      </c>
      <c r="C92" s="1" t="s">
        <v>17</v>
      </c>
      <c r="D92" s="1" t="s">
        <v>18</v>
      </c>
      <c r="E92" s="1">
        <v>79</v>
      </c>
      <c r="F92" s="1">
        <v>84.5</v>
      </c>
      <c r="G92" s="1">
        <v>72</v>
      </c>
      <c r="H92" s="1">
        <v>70</v>
      </c>
      <c r="I92" s="1">
        <v>87.5</v>
      </c>
    </row>
    <row r="93" hidden="1" outlineLevel="2" spans="1:9">
      <c r="A93" s="1">
        <v>10178</v>
      </c>
      <c r="B93" s="1" t="s">
        <v>201</v>
      </c>
      <c r="C93" s="1" t="s">
        <v>17</v>
      </c>
      <c r="D93" s="1" t="s">
        <v>20</v>
      </c>
      <c r="E93" s="1">
        <v>64</v>
      </c>
      <c r="F93" s="1">
        <v>85</v>
      </c>
      <c r="G93" s="1">
        <v>77</v>
      </c>
      <c r="H93" s="1">
        <v>75</v>
      </c>
      <c r="I93" s="1">
        <v>85.5</v>
      </c>
    </row>
    <row r="94" hidden="1" outlineLevel="2" spans="1:9">
      <c r="A94" s="1">
        <v>10179</v>
      </c>
      <c r="B94" s="1" t="s">
        <v>202</v>
      </c>
      <c r="C94" s="1" t="s">
        <v>17</v>
      </c>
      <c r="D94" s="1" t="s">
        <v>23</v>
      </c>
      <c r="E94" s="1">
        <v>81</v>
      </c>
      <c r="F94" s="1">
        <v>79</v>
      </c>
      <c r="G94" s="1">
        <v>82.5</v>
      </c>
      <c r="H94" s="1">
        <v>80.5</v>
      </c>
      <c r="I94" s="1">
        <v>83</v>
      </c>
    </row>
    <row r="95" hidden="1" outlineLevel="2" spans="1:9">
      <c r="A95" s="1">
        <v>10180</v>
      </c>
      <c r="B95" s="1" t="s">
        <v>203</v>
      </c>
      <c r="C95" s="1" t="s">
        <v>17</v>
      </c>
      <c r="D95" s="1" t="s">
        <v>37</v>
      </c>
      <c r="E95" s="1">
        <v>79</v>
      </c>
      <c r="F95" s="1">
        <v>83.5</v>
      </c>
      <c r="G95" s="1">
        <v>63</v>
      </c>
      <c r="H95" s="1">
        <v>61</v>
      </c>
      <c r="I95" s="1">
        <v>77</v>
      </c>
    </row>
    <row r="96" hidden="1" outlineLevel="2" spans="1:9">
      <c r="A96" s="1">
        <v>10182</v>
      </c>
      <c r="B96" s="1" t="s">
        <v>205</v>
      </c>
      <c r="C96" s="1" t="s">
        <v>17</v>
      </c>
      <c r="D96" s="1" t="s">
        <v>20</v>
      </c>
      <c r="E96" s="1">
        <v>69.5</v>
      </c>
      <c r="F96" s="1">
        <v>69.5</v>
      </c>
      <c r="G96" s="1">
        <v>76</v>
      </c>
      <c r="H96" s="1">
        <v>74</v>
      </c>
      <c r="I96" s="1">
        <v>93.5</v>
      </c>
    </row>
    <row r="97" hidden="1" outlineLevel="2" spans="1:9">
      <c r="A97" s="1">
        <v>10186</v>
      </c>
      <c r="B97" s="1" t="s">
        <v>209</v>
      </c>
      <c r="C97" s="1" t="s">
        <v>17</v>
      </c>
      <c r="D97" s="1" t="s">
        <v>37</v>
      </c>
      <c r="E97" s="1">
        <v>75.5</v>
      </c>
      <c r="F97" s="1">
        <v>64.5</v>
      </c>
      <c r="G97" s="1">
        <v>74.5</v>
      </c>
      <c r="H97" s="1">
        <v>72.5</v>
      </c>
      <c r="I97" s="1">
        <v>82</v>
      </c>
    </row>
    <row r="98" hidden="1" outlineLevel="2" spans="1:9">
      <c r="A98" s="1">
        <v>10193</v>
      </c>
      <c r="B98" s="1" t="s">
        <v>216</v>
      </c>
      <c r="C98" s="1" t="s">
        <v>17</v>
      </c>
      <c r="D98" s="1" t="s">
        <v>37</v>
      </c>
      <c r="E98" s="1">
        <v>84</v>
      </c>
      <c r="F98" s="1">
        <v>67</v>
      </c>
      <c r="G98" s="1">
        <v>79</v>
      </c>
      <c r="H98" s="1">
        <v>87</v>
      </c>
      <c r="I98" s="1">
        <v>83.5</v>
      </c>
    </row>
    <row r="99" hidden="1" outlineLevel="2" spans="1:9">
      <c r="A99" s="1">
        <v>10194</v>
      </c>
      <c r="B99" s="1" t="s">
        <v>217</v>
      </c>
      <c r="C99" s="1" t="s">
        <v>17</v>
      </c>
      <c r="D99" s="1" t="s">
        <v>20</v>
      </c>
      <c r="E99" s="1">
        <v>69</v>
      </c>
      <c r="F99" s="1">
        <v>91.5</v>
      </c>
      <c r="G99" s="1">
        <v>74.5</v>
      </c>
      <c r="H99" s="1">
        <v>72.5</v>
      </c>
      <c r="I99" s="1">
        <v>72</v>
      </c>
    </row>
    <row r="100" hidden="1" outlineLevel="2" spans="1:9">
      <c r="A100" s="1">
        <v>10195</v>
      </c>
      <c r="B100" s="1" t="s">
        <v>218</v>
      </c>
      <c r="C100" s="1" t="s">
        <v>17</v>
      </c>
      <c r="D100" s="1" t="s">
        <v>15</v>
      </c>
      <c r="E100" s="1">
        <v>93</v>
      </c>
      <c r="F100" s="1">
        <v>90</v>
      </c>
      <c r="G100" s="1">
        <v>93</v>
      </c>
      <c r="H100" s="1">
        <v>89</v>
      </c>
      <c r="I100" s="1">
        <v>87.5</v>
      </c>
    </row>
    <row r="101" hidden="1" outlineLevel="2" spans="1:9">
      <c r="A101" s="1">
        <v>10196</v>
      </c>
      <c r="B101" s="1" t="s">
        <v>219</v>
      </c>
      <c r="C101" s="1" t="s">
        <v>17</v>
      </c>
      <c r="D101" s="1" t="s">
        <v>23</v>
      </c>
      <c r="E101" s="1">
        <v>70</v>
      </c>
      <c r="F101" s="1">
        <v>68.5</v>
      </c>
      <c r="G101" s="1">
        <v>80</v>
      </c>
      <c r="H101" s="1">
        <v>78</v>
      </c>
      <c r="I101" s="1">
        <v>91.5</v>
      </c>
    </row>
    <row r="102" hidden="1" outlineLevel="2" spans="1:9">
      <c r="A102" s="1">
        <v>10197</v>
      </c>
      <c r="B102" s="1" t="s">
        <v>220</v>
      </c>
      <c r="C102" s="1" t="s">
        <v>17</v>
      </c>
      <c r="D102" s="1" t="s">
        <v>30</v>
      </c>
      <c r="E102" s="1">
        <v>65.5</v>
      </c>
      <c r="F102" s="1">
        <v>67.5</v>
      </c>
      <c r="G102" s="1">
        <v>71</v>
      </c>
      <c r="H102" s="1">
        <v>69</v>
      </c>
      <c r="I102" s="1">
        <v>68</v>
      </c>
    </row>
    <row r="103" hidden="1" outlineLevel="2" spans="1:9">
      <c r="A103" s="1">
        <v>10198</v>
      </c>
      <c r="B103" s="1" t="s">
        <v>221</v>
      </c>
      <c r="C103" s="1" t="s">
        <v>17</v>
      </c>
      <c r="D103" s="1" t="s">
        <v>20</v>
      </c>
      <c r="E103" s="1">
        <v>85</v>
      </c>
      <c r="F103" s="1">
        <v>73</v>
      </c>
      <c r="G103" s="1">
        <v>83.5</v>
      </c>
      <c r="H103" s="1">
        <v>81.5</v>
      </c>
      <c r="I103" s="1">
        <v>77.5</v>
      </c>
    </row>
    <row r="104" hidden="1" outlineLevel="2" spans="1:9">
      <c r="A104" s="1">
        <v>10201</v>
      </c>
      <c r="B104" s="1" t="s">
        <v>224</v>
      </c>
      <c r="C104" s="1" t="s">
        <v>17</v>
      </c>
      <c r="D104" s="1" t="s">
        <v>37</v>
      </c>
      <c r="E104" s="1">
        <v>91</v>
      </c>
      <c r="F104" s="1">
        <v>85.5</v>
      </c>
      <c r="G104" s="1">
        <v>97</v>
      </c>
      <c r="H104" s="1">
        <v>86</v>
      </c>
      <c r="I104" s="1">
        <v>64</v>
      </c>
    </row>
    <row r="105" hidden="1" outlineLevel="2" spans="1:9">
      <c r="A105" s="1">
        <v>10202</v>
      </c>
      <c r="B105" s="1" t="s">
        <v>225</v>
      </c>
      <c r="C105" s="1" t="s">
        <v>17</v>
      </c>
      <c r="D105" s="1" t="s">
        <v>15</v>
      </c>
      <c r="E105" s="1">
        <v>81.5</v>
      </c>
      <c r="F105" s="1">
        <v>69</v>
      </c>
      <c r="G105" s="1">
        <v>81</v>
      </c>
      <c r="H105" s="1">
        <v>79</v>
      </c>
      <c r="I105" s="1">
        <v>71</v>
      </c>
    </row>
    <row r="106" hidden="1" outlineLevel="2" spans="1:9">
      <c r="A106" s="1">
        <v>10203</v>
      </c>
      <c r="B106" s="1" t="s">
        <v>226</v>
      </c>
      <c r="C106" s="1" t="s">
        <v>17</v>
      </c>
      <c r="D106" s="1" t="s">
        <v>23</v>
      </c>
      <c r="E106" s="1">
        <v>81</v>
      </c>
      <c r="F106" s="1">
        <v>71.5</v>
      </c>
      <c r="G106" s="1">
        <v>74</v>
      </c>
      <c r="H106" s="1">
        <v>72</v>
      </c>
      <c r="I106" s="1">
        <v>79</v>
      </c>
    </row>
    <row r="107" hidden="1" outlineLevel="2" spans="1:9">
      <c r="A107" s="1">
        <v>10204</v>
      </c>
      <c r="B107" s="1" t="s">
        <v>227</v>
      </c>
      <c r="C107" s="1" t="s">
        <v>17</v>
      </c>
      <c r="D107" s="1" t="s">
        <v>30</v>
      </c>
      <c r="E107" s="1">
        <v>76.5</v>
      </c>
      <c r="F107" s="1">
        <v>88</v>
      </c>
      <c r="G107" s="1">
        <v>75.5</v>
      </c>
      <c r="H107" s="1">
        <v>73.5</v>
      </c>
      <c r="I107" s="1">
        <v>92</v>
      </c>
    </row>
    <row r="108" hidden="1" outlineLevel="2" spans="1:9">
      <c r="A108" s="1">
        <v>10207</v>
      </c>
      <c r="B108" s="1" t="s">
        <v>230</v>
      </c>
      <c r="C108" s="1" t="s">
        <v>17</v>
      </c>
      <c r="D108" s="1" t="s">
        <v>23</v>
      </c>
      <c r="E108" s="1">
        <v>91</v>
      </c>
      <c r="F108" s="1">
        <v>93</v>
      </c>
      <c r="G108" s="1">
        <v>90</v>
      </c>
      <c r="H108" s="1">
        <v>88</v>
      </c>
      <c r="I108" s="1">
        <v>91</v>
      </c>
    </row>
    <row r="109" hidden="1" outlineLevel="2" spans="1:9">
      <c r="A109" s="1">
        <v>10208</v>
      </c>
      <c r="B109" s="1" t="s">
        <v>231</v>
      </c>
      <c r="C109" s="1" t="s">
        <v>17</v>
      </c>
      <c r="D109" s="1" t="s">
        <v>23</v>
      </c>
      <c r="E109" s="1">
        <v>75.5</v>
      </c>
      <c r="F109" s="1">
        <v>66</v>
      </c>
      <c r="G109" s="1">
        <v>69.5</v>
      </c>
      <c r="H109" s="1">
        <v>67.5</v>
      </c>
      <c r="I109" s="1">
        <v>63.5</v>
      </c>
    </row>
    <row r="110" hidden="1" outlineLevel="2" spans="1:9">
      <c r="A110" s="1">
        <v>10210</v>
      </c>
      <c r="B110" s="1" t="s">
        <v>233</v>
      </c>
      <c r="C110" s="1" t="s">
        <v>17</v>
      </c>
      <c r="D110" s="1" t="s">
        <v>37</v>
      </c>
      <c r="E110" s="1">
        <v>74.5</v>
      </c>
      <c r="F110" s="1">
        <v>87</v>
      </c>
      <c r="G110" s="1">
        <v>92.5</v>
      </c>
      <c r="H110" s="1">
        <v>90.5</v>
      </c>
      <c r="I110" s="1">
        <v>74</v>
      </c>
    </row>
    <row r="111" hidden="1" outlineLevel="2" spans="1:9">
      <c r="A111" s="1">
        <v>10212</v>
      </c>
      <c r="B111" s="1" t="s">
        <v>235</v>
      </c>
      <c r="C111" s="1" t="s">
        <v>17</v>
      </c>
      <c r="D111" s="1" t="s">
        <v>37</v>
      </c>
      <c r="E111" s="1">
        <v>79</v>
      </c>
      <c r="F111" s="1">
        <v>80</v>
      </c>
      <c r="G111" s="1">
        <v>75.5</v>
      </c>
      <c r="H111" s="1">
        <v>90</v>
      </c>
      <c r="I111" s="1">
        <v>84</v>
      </c>
    </row>
    <row r="112" hidden="1" outlineLevel="2" spans="1:9">
      <c r="A112" s="1">
        <v>10213</v>
      </c>
      <c r="B112" s="1" t="s">
        <v>236</v>
      </c>
      <c r="C112" s="1" t="s">
        <v>17</v>
      </c>
      <c r="D112" s="1" t="s">
        <v>30</v>
      </c>
      <c r="E112" s="1">
        <v>71</v>
      </c>
      <c r="F112" s="1">
        <v>80</v>
      </c>
      <c r="G112" s="1">
        <v>81.5</v>
      </c>
      <c r="H112" s="1">
        <v>79.5</v>
      </c>
      <c r="I112" s="1">
        <v>89.5</v>
      </c>
    </row>
    <row r="113" hidden="1" outlineLevel="2" spans="1:9">
      <c r="A113" s="1">
        <v>10215</v>
      </c>
      <c r="B113" s="1" t="s">
        <v>238</v>
      </c>
      <c r="C113" s="1" t="s">
        <v>17</v>
      </c>
      <c r="D113" s="1" t="s">
        <v>30</v>
      </c>
      <c r="E113" s="1">
        <v>88.5</v>
      </c>
      <c r="F113" s="1">
        <v>88.5</v>
      </c>
      <c r="G113" s="1">
        <v>80.5</v>
      </c>
      <c r="H113" s="1">
        <v>78.5</v>
      </c>
      <c r="I113" s="1">
        <v>65.5</v>
      </c>
    </row>
    <row r="114" hidden="1" outlineLevel="2" spans="1:9">
      <c r="A114" s="1">
        <v>10217</v>
      </c>
      <c r="B114" s="1" t="s">
        <v>240</v>
      </c>
      <c r="C114" s="1" t="s">
        <v>17</v>
      </c>
      <c r="D114" s="1" t="s">
        <v>30</v>
      </c>
      <c r="E114" s="1">
        <v>82.5</v>
      </c>
      <c r="F114" s="1">
        <v>75</v>
      </c>
      <c r="G114" s="1">
        <v>87</v>
      </c>
      <c r="H114" s="1">
        <v>85</v>
      </c>
      <c r="I114" s="1">
        <v>74.5</v>
      </c>
    </row>
    <row r="115" hidden="1" outlineLevel="2" spans="1:9">
      <c r="A115" s="1">
        <v>10219</v>
      </c>
      <c r="B115" s="1" t="s">
        <v>242</v>
      </c>
      <c r="C115" s="1" t="s">
        <v>17</v>
      </c>
      <c r="D115" s="1" t="s">
        <v>23</v>
      </c>
      <c r="E115" s="1">
        <v>82.5</v>
      </c>
      <c r="F115" s="1">
        <v>77</v>
      </c>
      <c r="G115" s="1">
        <v>78</v>
      </c>
      <c r="H115" s="1">
        <v>88</v>
      </c>
      <c r="I115" s="1">
        <v>81.5</v>
      </c>
    </row>
    <row r="116" hidden="1" outlineLevel="2" spans="1:9">
      <c r="A116" s="1">
        <v>10220</v>
      </c>
      <c r="B116" s="1" t="s">
        <v>243</v>
      </c>
      <c r="C116" s="1" t="s">
        <v>17</v>
      </c>
      <c r="D116" s="1" t="s">
        <v>37</v>
      </c>
      <c r="E116" s="1">
        <v>79</v>
      </c>
      <c r="F116" s="1">
        <v>68.5</v>
      </c>
      <c r="G116" s="1">
        <v>80</v>
      </c>
      <c r="H116" s="1">
        <v>78</v>
      </c>
      <c r="I116" s="1">
        <v>64</v>
      </c>
    </row>
    <row r="117" hidden="1" outlineLevel="2" spans="1:9">
      <c r="A117" s="1">
        <v>10222</v>
      </c>
      <c r="B117" s="1" t="s">
        <v>245</v>
      </c>
      <c r="C117" s="1" t="s">
        <v>17</v>
      </c>
      <c r="D117" s="1" t="s">
        <v>18</v>
      </c>
      <c r="E117" s="1">
        <v>90</v>
      </c>
      <c r="F117" s="1">
        <v>58</v>
      </c>
      <c r="G117" s="1">
        <v>84.5</v>
      </c>
      <c r="H117" s="1">
        <v>82.5</v>
      </c>
      <c r="I117" s="1">
        <v>96</v>
      </c>
    </row>
    <row r="118" hidden="1" outlineLevel="2" spans="1:9">
      <c r="A118" s="1">
        <v>10224</v>
      </c>
      <c r="B118" s="1" t="s">
        <v>247</v>
      </c>
      <c r="C118" s="1" t="s">
        <v>17</v>
      </c>
      <c r="D118" s="1" t="s">
        <v>23</v>
      </c>
      <c r="E118" s="1">
        <v>75.5</v>
      </c>
      <c r="F118" s="1">
        <v>73.5</v>
      </c>
      <c r="G118" s="1">
        <v>77</v>
      </c>
      <c r="H118" s="1">
        <v>75</v>
      </c>
      <c r="I118" s="1">
        <v>68.5</v>
      </c>
    </row>
    <row r="119" hidden="1" outlineLevel="2" spans="1:9">
      <c r="A119" s="1">
        <v>10226</v>
      </c>
      <c r="B119" s="1" t="s">
        <v>249</v>
      </c>
      <c r="C119" s="1" t="s">
        <v>17</v>
      </c>
      <c r="D119" s="1" t="s">
        <v>23</v>
      </c>
      <c r="E119" s="1">
        <v>64.5</v>
      </c>
      <c r="F119" s="1">
        <v>61.5</v>
      </c>
      <c r="G119" s="1">
        <v>79.5</v>
      </c>
      <c r="H119" s="1">
        <v>77.5</v>
      </c>
      <c r="I119" s="1">
        <v>69.5</v>
      </c>
    </row>
    <row r="120" hidden="1" outlineLevel="2" spans="1:9">
      <c r="A120" s="1">
        <v>10230</v>
      </c>
      <c r="B120" s="1" t="s">
        <v>253</v>
      </c>
      <c r="C120" s="1" t="s">
        <v>17</v>
      </c>
      <c r="D120" s="1" t="s">
        <v>30</v>
      </c>
      <c r="E120" s="1">
        <v>66</v>
      </c>
      <c r="F120" s="1">
        <v>73</v>
      </c>
      <c r="G120" s="1">
        <v>79</v>
      </c>
      <c r="H120" s="1">
        <v>77</v>
      </c>
      <c r="I120" s="1">
        <v>88</v>
      </c>
    </row>
    <row r="121" hidden="1" outlineLevel="2" spans="1:9">
      <c r="A121" s="1">
        <v>10231</v>
      </c>
      <c r="B121" s="1" t="s">
        <v>254</v>
      </c>
      <c r="C121" s="1" t="s">
        <v>17</v>
      </c>
      <c r="D121" s="1" t="s">
        <v>23</v>
      </c>
      <c r="E121" s="1">
        <v>62.5</v>
      </c>
      <c r="F121" s="1">
        <v>86.5</v>
      </c>
      <c r="G121" s="1">
        <v>86.5</v>
      </c>
      <c r="H121" s="1">
        <v>84.5</v>
      </c>
      <c r="I121" s="1">
        <v>92</v>
      </c>
    </row>
    <row r="122" hidden="1" outlineLevel="2" spans="1:9">
      <c r="A122" s="1">
        <v>10233</v>
      </c>
      <c r="B122" s="1" t="s">
        <v>256</v>
      </c>
      <c r="C122" s="1" t="s">
        <v>17</v>
      </c>
      <c r="D122" s="1" t="s">
        <v>15</v>
      </c>
      <c r="E122" s="1">
        <v>69.5</v>
      </c>
      <c r="F122" s="1">
        <v>81</v>
      </c>
      <c r="G122" s="1">
        <v>74.5</v>
      </c>
      <c r="H122" s="1">
        <v>72.5</v>
      </c>
      <c r="I122" s="1">
        <v>73</v>
      </c>
    </row>
    <row r="123" hidden="1" outlineLevel="2" spans="1:9">
      <c r="A123" s="1">
        <v>10234</v>
      </c>
      <c r="B123" s="1" t="s">
        <v>257</v>
      </c>
      <c r="C123" s="1" t="s">
        <v>17</v>
      </c>
      <c r="D123" s="1" t="s">
        <v>23</v>
      </c>
      <c r="E123" s="1">
        <v>97</v>
      </c>
      <c r="F123" s="1">
        <v>82.5</v>
      </c>
      <c r="G123" s="1">
        <v>72</v>
      </c>
      <c r="H123" s="1">
        <v>90</v>
      </c>
      <c r="I123" s="1">
        <v>76</v>
      </c>
    </row>
    <row r="124" hidden="1" outlineLevel="2" spans="1:9">
      <c r="A124" s="1">
        <v>10235</v>
      </c>
      <c r="B124" s="1" t="s">
        <v>258</v>
      </c>
      <c r="C124" s="1" t="s">
        <v>17</v>
      </c>
      <c r="D124" s="1" t="s">
        <v>15</v>
      </c>
      <c r="E124" s="1">
        <v>64</v>
      </c>
      <c r="F124" s="1">
        <v>64.5</v>
      </c>
      <c r="G124" s="1">
        <v>75</v>
      </c>
      <c r="H124" s="1">
        <v>78</v>
      </c>
      <c r="I124" s="1">
        <v>60</v>
      </c>
    </row>
    <row r="125" hidden="1" outlineLevel="2" spans="1:9">
      <c r="A125" s="1">
        <v>10239</v>
      </c>
      <c r="B125" s="1" t="s">
        <v>262</v>
      </c>
      <c r="C125" s="1" t="s">
        <v>17</v>
      </c>
      <c r="D125" s="1" t="s">
        <v>20</v>
      </c>
      <c r="E125" s="1">
        <v>88.5</v>
      </c>
      <c r="F125" s="1">
        <v>66.5</v>
      </c>
      <c r="G125" s="1">
        <v>68.5</v>
      </c>
      <c r="H125" s="1">
        <v>66.5</v>
      </c>
      <c r="I125" s="1">
        <v>81.5</v>
      </c>
    </row>
    <row r="126" hidden="1" outlineLevel="2" spans="1:9">
      <c r="A126" s="1">
        <v>10240</v>
      </c>
      <c r="B126" s="1" t="s">
        <v>263</v>
      </c>
      <c r="C126" s="1" t="s">
        <v>17</v>
      </c>
      <c r="D126" s="1" t="s">
        <v>23</v>
      </c>
      <c r="E126" s="1">
        <v>91.5</v>
      </c>
      <c r="F126" s="1">
        <v>72.5</v>
      </c>
      <c r="G126" s="1">
        <v>67.5</v>
      </c>
      <c r="H126" s="1">
        <v>65.5</v>
      </c>
      <c r="I126" s="1">
        <v>89.5</v>
      </c>
    </row>
    <row r="127" hidden="1" outlineLevel="2" spans="1:9">
      <c r="A127" s="1">
        <v>10241</v>
      </c>
      <c r="B127" s="1" t="s">
        <v>264</v>
      </c>
      <c r="C127" s="1" t="s">
        <v>17</v>
      </c>
      <c r="D127" s="1" t="s">
        <v>30</v>
      </c>
      <c r="E127" s="1">
        <v>76</v>
      </c>
      <c r="F127" s="1">
        <v>92</v>
      </c>
      <c r="G127" s="1">
        <v>95</v>
      </c>
      <c r="H127" s="1">
        <v>93</v>
      </c>
      <c r="I127" s="1">
        <v>67</v>
      </c>
    </row>
    <row r="128" hidden="1" outlineLevel="2" spans="1:9">
      <c r="A128" s="1">
        <v>10247</v>
      </c>
      <c r="B128" s="1" t="s">
        <v>270</v>
      </c>
      <c r="C128" s="1" t="s">
        <v>17</v>
      </c>
      <c r="D128" s="1" t="s">
        <v>23</v>
      </c>
      <c r="E128" s="1">
        <v>71.5</v>
      </c>
      <c r="F128" s="1">
        <v>60</v>
      </c>
      <c r="G128" s="1">
        <v>70.5</v>
      </c>
      <c r="H128" s="1">
        <v>68.5</v>
      </c>
      <c r="I128" s="1">
        <v>90</v>
      </c>
    </row>
    <row r="129" hidden="1" outlineLevel="2" spans="1:9">
      <c r="A129" s="1">
        <v>10248</v>
      </c>
      <c r="B129" s="1" t="s">
        <v>271</v>
      </c>
      <c r="C129" s="1" t="s">
        <v>17</v>
      </c>
      <c r="D129" s="1" t="s">
        <v>20</v>
      </c>
      <c r="E129" s="1">
        <v>74.5</v>
      </c>
      <c r="F129" s="1">
        <v>72.5</v>
      </c>
      <c r="G129" s="1">
        <v>71</v>
      </c>
      <c r="H129" s="1">
        <v>62</v>
      </c>
      <c r="I129" s="1">
        <v>62</v>
      </c>
    </row>
    <row r="130" hidden="1" outlineLevel="2" spans="1:9">
      <c r="A130" s="1">
        <v>10250</v>
      </c>
      <c r="B130" s="1" t="s">
        <v>273</v>
      </c>
      <c r="C130" s="1" t="s">
        <v>17</v>
      </c>
      <c r="D130" s="1" t="s">
        <v>37</v>
      </c>
      <c r="E130" s="1">
        <v>81.5</v>
      </c>
      <c r="F130" s="1">
        <v>72</v>
      </c>
      <c r="G130" s="1">
        <v>79</v>
      </c>
      <c r="H130" s="1">
        <v>89</v>
      </c>
      <c r="I130" s="1">
        <v>87</v>
      </c>
    </row>
    <row r="131" hidden="1" outlineLevel="2" spans="1:9">
      <c r="A131" s="1">
        <v>10251</v>
      </c>
      <c r="B131" s="1" t="s">
        <v>230</v>
      </c>
      <c r="C131" s="1" t="s">
        <v>17</v>
      </c>
      <c r="D131" s="1" t="s">
        <v>20</v>
      </c>
      <c r="E131" s="1">
        <v>65.5</v>
      </c>
      <c r="F131" s="1">
        <v>85</v>
      </c>
      <c r="G131" s="1">
        <v>83</v>
      </c>
      <c r="H131" s="1">
        <v>81</v>
      </c>
      <c r="I131" s="1">
        <v>97</v>
      </c>
    </row>
    <row r="132" hidden="1" outlineLevel="2" spans="1:9">
      <c r="A132" s="1">
        <v>10252</v>
      </c>
      <c r="B132" s="1" t="s">
        <v>274</v>
      </c>
      <c r="C132" s="1" t="s">
        <v>17</v>
      </c>
      <c r="D132" s="1" t="s">
        <v>18</v>
      </c>
      <c r="E132" s="1">
        <v>73.5</v>
      </c>
      <c r="F132" s="1">
        <v>68</v>
      </c>
      <c r="G132" s="1">
        <v>68.5</v>
      </c>
      <c r="H132" s="1">
        <v>66.5</v>
      </c>
      <c r="I132" s="1">
        <v>65</v>
      </c>
    </row>
    <row r="133" hidden="1" outlineLevel="2" spans="1:9">
      <c r="A133" s="1">
        <v>10254</v>
      </c>
      <c r="B133" s="1" t="s">
        <v>276</v>
      </c>
      <c r="C133" s="1" t="s">
        <v>17</v>
      </c>
      <c r="D133" s="1" t="s">
        <v>20</v>
      </c>
      <c r="E133" s="1">
        <v>92.5</v>
      </c>
      <c r="F133" s="1">
        <v>57.5</v>
      </c>
      <c r="G133" s="1">
        <v>88</v>
      </c>
      <c r="H133" s="1">
        <v>86</v>
      </c>
      <c r="I133" s="1">
        <v>81</v>
      </c>
    </row>
    <row r="134" hidden="1" outlineLevel="2" spans="1:9">
      <c r="A134" s="1">
        <v>10256</v>
      </c>
      <c r="B134" s="1" t="s">
        <v>278</v>
      </c>
      <c r="C134" s="1" t="s">
        <v>17</v>
      </c>
      <c r="D134" s="1" t="s">
        <v>20</v>
      </c>
      <c r="E134" s="1">
        <v>82.5</v>
      </c>
      <c r="F134" s="1">
        <v>95.5</v>
      </c>
      <c r="G134" s="1">
        <v>72.5</v>
      </c>
      <c r="H134" s="1">
        <v>85</v>
      </c>
      <c r="I134" s="1">
        <v>69</v>
      </c>
    </row>
    <row r="135" hidden="1" outlineLevel="2" spans="1:9">
      <c r="A135" s="1">
        <v>10257</v>
      </c>
      <c r="B135" s="1" t="s">
        <v>279</v>
      </c>
      <c r="C135" s="1" t="s">
        <v>17</v>
      </c>
      <c r="D135" s="1" t="s">
        <v>37</v>
      </c>
      <c r="E135" s="1">
        <v>65</v>
      </c>
      <c r="F135" s="1">
        <v>83</v>
      </c>
      <c r="G135" s="1">
        <v>57</v>
      </c>
      <c r="H135" s="1">
        <v>55</v>
      </c>
      <c r="I135" s="1">
        <v>72.5</v>
      </c>
    </row>
    <row r="136" hidden="1" outlineLevel="2" spans="1:9">
      <c r="A136" s="1">
        <v>10258</v>
      </c>
      <c r="B136" s="1" t="s">
        <v>280</v>
      </c>
      <c r="C136" s="1" t="s">
        <v>17</v>
      </c>
      <c r="D136" s="1" t="s">
        <v>20</v>
      </c>
      <c r="E136" s="1">
        <v>66</v>
      </c>
      <c r="F136" s="1">
        <v>68.5</v>
      </c>
      <c r="G136" s="1">
        <v>76.5</v>
      </c>
      <c r="H136" s="1">
        <v>74.5</v>
      </c>
      <c r="I136" s="1">
        <v>74.5</v>
      </c>
    </row>
    <row r="137" hidden="1" outlineLevel="2" spans="1:9">
      <c r="A137" s="1">
        <v>10260</v>
      </c>
      <c r="B137" s="1" t="s">
        <v>282</v>
      </c>
      <c r="C137" s="1" t="s">
        <v>17</v>
      </c>
      <c r="D137" s="1" t="s">
        <v>37</v>
      </c>
      <c r="E137" s="1">
        <v>69</v>
      </c>
      <c r="F137" s="1">
        <v>85</v>
      </c>
      <c r="G137" s="1">
        <v>80</v>
      </c>
      <c r="H137" s="1">
        <v>78</v>
      </c>
      <c r="I137" s="1">
        <v>90.5</v>
      </c>
    </row>
    <row r="138" hidden="1" outlineLevel="2" spans="1:9">
      <c r="A138" s="1">
        <v>10261</v>
      </c>
      <c r="B138" s="1" t="s">
        <v>283</v>
      </c>
      <c r="C138" s="1" t="s">
        <v>17</v>
      </c>
      <c r="D138" s="1" t="s">
        <v>30</v>
      </c>
      <c r="E138" s="1">
        <v>95.5</v>
      </c>
      <c r="F138" s="1">
        <v>63.5</v>
      </c>
      <c r="G138" s="1">
        <v>89</v>
      </c>
      <c r="H138" s="1">
        <v>87</v>
      </c>
      <c r="I138" s="1">
        <v>84.5</v>
      </c>
    </row>
    <row r="139" hidden="1" outlineLevel="2" spans="1:9">
      <c r="A139" s="1">
        <v>10262</v>
      </c>
      <c r="B139" s="1" t="s">
        <v>284</v>
      </c>
      <c r="C139" s="1" t="s">
        <v>17</v>
      </c>
      <c r="D139" s="1" t="s">
        <v>30</v>
      </c>
      <c r="E139" s="1">
        <v>57</v>
      </c>
      <c r="F139" s="1">
        <v>85.5</v>
      </c>
      <c r="G139" s="1">
        <v>88.5</v>
      </c>
      <c r="H139" s="1">
        <v>86.5</v>
      </c>
      <c r="I139" s="1">
        <v>70.5</v>
      </c>
    </row>
    <row r="140" hidden="1" outlineLevel="2" spans="1:9">
      <c r="A140" s="1">
        <v>10263</v>
      </c>
      <c r="B140" s="1" t="s">
        <v>285</v>
      </c>
      <c r="C140" s="1" t="s">
        <v>17</v>
      </c>
      <c r="D140" s="1" t="s">
        <v>20</v>
      </c>
      <c r="E140" s="1">
        <v>74</v>
      </c>
      <c r="F140" s="1">
        <v>81</v>
      </c>
      <c r="G140" s="1">
        <v>82</v>
      </c>
      <c r="H140" s="1">
        <v>80</v>
      </c>
      <c r="I140" s="1">
        <v>91</v>
      </c>
    </row>
    <row r="141" hidden="1" outlineLevel="2" spans="1:9">
      <c r="A141" s="1">
        <v>10264</v>
      </c>
      <c r="B141" s="1" t="s">
        <v>85</v>
      </c>
      <c r="C141" s="1" t="s">
        <v>17</v>
      </c>
      <c r="D141" s="1" t="s">
        <v>15</v>
      </c>
      <c r="E141" s="1">
        <v>90</v>
      </c>
      <c r="F141" s="1">
        <v>92</v>
      </c>
      <c r="G141" s="1">
        <v>87</v>
      </c>
      <c r="H141" s="1">
        <v>91</v>
      </c>
      <c r="I141" s="1">
        <v>90</v>
      </c>
    </row>
    <row r="142" hidden="1" outlineLevel="2" spans="1:9">
      <c r="A142" s="1">
        <v>10265</v>
      </c>
      <c r="B142" s="1" t="s">
        <v>286</v>
      </c>
      <c r="C142" s="1" t="s">
        <v>17</v>
      </c>
      <c r="D142" s="1" t="s">
        <v>15</v>
      </c>
      <c r="E142" s="1">
        <v>79</v>
      </c>
      <c r="F142" s="1">
        <v>82</v>
      </c>
      <c r="G142" s="1">
        <v>76.5</v>
      </c>
      <c r="H142" s="1">
        <v>74.5</v>
      </c>
      <c r="I142" s="1">
        <v>72.5</v>
      </c>
    </row>
    <row r="143" hidden="1" outlineLevel="2" spans="1:9">
      <c r="A143" s="1">
        <v>10268</v>
      </c>
      <c r="B143" s="1" t="s">
        <v>289</v>
      </c>
      <c r="C143" s="1" t="s">
        <v>17</v>
      </c>
      <c r="D143" s="1" t="s">
        <v>30</v>
      </c>
      <c r="E143" s="1">
        <v>78</v>
      </c>
      <c r="F143" s="1">
        <v>68</v>
      </c>
      <c r="G143" s="1">
        <v>88.5</v>
      </c>
      <c r="H143" s="1">
        <v>86.5</v>
      </c>
      <c r="I143" s="1">
        <v>82.5</v>
      </c>
    </row>
    <row r="144" hidden="1" outlineLevel="2" spans="1:9">
      <c r="A144" s="1">
        <v>10270</v>
      </c>
      <c r="B144" s="1" t="s">
        <v>291</v>
      </c>
      <c r="C144" s="1" t="s">
        <v>17</v>
      </c>
      <c r="D144" s="1" t="s">
        <v>18</v>
      </c>
      <c r="E144" s="1">
        <v>71</v>
      </c>
      <c r="F144" s="1">
        <v>79</v>
      </c>
      <c r="G144" s="1">
        <v>93</v>
      </c>
      <c r="H144" s="1">
        <v>91</v>
      </c>
      <c r="I144" s="1">
        <v>82.5</v>
      </c>
    </row>
    <row r="145" hidden="1" outlineLevel="2" spans="1:9">
      <c r="A145" s="1">
        <v>10273</v>
      </c>
      <c r="B145" s="1" t="s">
        <v>294</v>
      </c>
      <c r="C145" s="1" t="s">
        <v>17</v>
      </c>
      <c r="D145" s="1" t="s">
        <v>23</v>
      </c>
      <c r="E145" s="1">
        <v>78</v>
      </c>
      <c r="F145" s="1">
        <v>63</v>
      </c>
      <c r="G145" s="1">
        <v>92</v>
      </c>
      <c r="H145" s="1">
        <v>90</v>
      </c>
      <c r="I145" s="1">
        <v>65</v>
      </c>
    </row>
    <row r="146" hidden="1" outlineLevel="2" spans="1:9">
      <c r="A146" s="1">
        <v>10276</v>
      </c>
      <c r="B146" s="1" t="s">
        <v>297</v>
      </c>
      <c r="C146" s="1" t="s">
        <v>17</v>
      </c>
      <c r="D146" s="1" t="s">
        <v>23</v>
      </c>
      <c r="E146" s="1">
        <v>76</v>
      </c>
      <c r="F146" s="1">
        <v>75</v>
      </c>
      <c r="G146" s="1">
        <v>67</v>
      </c>
      <c r="H146" s="1">
        <v>65</v>
      </c>
      <c r="I146" s="1">
        <v>59</v>
      </c>
    </row>
    <row r="147" hidden="1" outlineLevel="2" spans="1:9">
      <c r="A147" s="1">
        <v>10277</v>
      </c>
      <c r="B147" s="1" t="s">
        <v>298</v>
      </c>
      <c r="C147" s="1" t="s">
        <v>17</v>
      </c>
      <c r="D147" s="1" t="s">
        <v>15</v>
      </c>
      <c r="E147" s="1">
        <v>83.5</v>
      </c>
      <c r="F147" s="1">
        <v>86.5</v>
      </c>
      <c r="G147" s="1">
        <v>84</v>
      </c>
      <c r="H147" s="1">
        <v>82</v>
      </c>
      <c r="I147" s="1">
        <v>80</v>
      </c>
    </row>
    <row r="148" hidden="1" outlineLevel="2" spans="1:9">
      <c r="A148" s="1">
        <v>10278</v>
      </c>
      <c r="B148" s="1" t="s">
        <v>299</v>
      </c>
      <c r="C148" s="1" t="s">
        <v>17</v>
      </c>
      <c r="D148" s="1" t="s">
        <v>20</v>
      </c>
      <c r="E148" s="1">
        <v>86.5</v>
      </c>
      <c r="F148" s="1">
        <v>94</v>
      </c>
      <c r="G148" s="1">
        <v>67.5</v>
      </c>
      <c r="H148" s="1">
        <v>65.5</v>
      </c>
      <c r="I148" s="1">
        <v>74.5</v>
      </c>
    </row>
    <row r="149" hidden="1" outlineLevel="2" spans="1:9">
      <c r="A149" s="1">
        <v>10279</v>
      </c>
      <c r="B149" s="1" t="s">
        <v>300</v>
      </c>
      <c r="C149" s="1" t="s">
        <v>17</v>
      </c>
      <c r="D149" s="1" t="s">
        <v>20</v>
      </c>
      <c r="E149" s="1">
        <v>82</v>
      </c>
      <c r="F149" s="1">
        <v>82.5</v>
      </c>
      <c r="G149" s="1">
        <v>79</v>
      </c>
      <c r="H149" s="1">
        <v>77</v>
      </c>
      <c r="I149" s="1">
        <v>81</v>
      </c>
    </row>
    <row r="150" hidden="1" outlineLevel="2" spans="1:9">
      <c r="A150" s="1">
        <v>10284</v>
      </c>
      <c r="B150" s="1" t="s">
        <v>305</v>
      </c>
      <c r="C150" s="1" t="s">
        <v>17</v>
      </c>
      <c r="D150" s="1" t="s">
        <v>30</v>
      </c>
      <c r="E150" s="1">
        <v>97</v>
      </c>
      <c r="F150" s="1">
        <v>74</v>
      </c>
      <c r="G150" s="1">
        <v>75</v>
      </c>
      <c r="H150" s="1">
        <v>85</v>
      </c>
      <c r="I150" s="1">
        <v>77</v>
      </c>
    </row>
    <row r="151" hidden="1" outlineLevel="2" spans="1:9">
      <c r="A151" s="1">
        <v>10285</v>
      </c>
      <c r="B151" s="1" t="s">
        <v>306</v>
      </c>
      <c r="C151" s="1" t="s">
        <v>17</v>
      </c>
      <c r="D151" s="1" t="s">
        <v>30</v>
      </c>
      <c r="E151" s="1">
        <v>83.5</v>
      </c>
      <c r="F151" s="1">
        <v>59.5</v>
      </c>
      <c r="G151" s="1">
        <v>79.5</v>
      </c>
      <c r="H151" s="1">
        <v>77.5</v>
      </c>
      <c r="I151" s="1">
        <v>79.5</v>
      </c>
    </row>
    <row r="152" hidden="1" outlineLevel="2" spans="1:9">
      <c r="A152" s="1">
        <v>10286</v>
      </c>
      <c r="B152" s="1" t="s">
        <v>307</v>
      </c>
      <c r="C152" s="1" t="s">
        <v>17</v>
      </c>
      <c r="D152" s="1" t="s">
        <v>20</v>
      </c>
      <c r="E152" s="1">
        <v>77</v>
      </c>
      <c r="F152" s="1">
        <v>57</v>
      </c>
      <c r="G152" s="1">
        <v>68.5</v>
      </c>
      <c r="H152" s="1">
        <v>66.5</v>
      </c>
      <c r="I152" s="1">
        <v>72</v>
      </c>
    </row>
    <row r="153" hidden="1" outlineLevel="2" spans="1:9">
      <c r="A153" s="1">
        <v>10288</v>
      </c>
      <c r="B153" s="1" t="s">
        <v>309</v>
      </c>
      <c r="C153" s="1" t="s">
        <v>17</v>
      </c>
      <c r="D153" s="1" t="s">
        <v>30</v>
      </c>
      <c r="E153" s="1">
        <v>49</v>
      </c>
      <c r="F153" s="1">
        <v>73.5</v>
      </c>
      <c r="G153" s="1">
        <v>86</v>
      </c>
      <c r="H153" s="1">
        <v>84</v>
      </c>
      <c r="I153" s="1">
        <v>76.5</v>
      </c>
    </row>
    <row r="154" hidden="1" outlineLevel="2" spans="1:9">
      <c r="A154" s="1">
        <v>10290</v>
      </c>
      <c r="B154" s="1" t="s">
        <v>311</v>
      </c>
      <c r="C154" s="1" t="s">
        <v>17</v>
      </c>
      <c r="D154" s="1" t="s">
        <v>18</v>
      </c>
      <c r="E154" s="1">
        <v>90</v>
      </c>
      <c r="F154" s="1">
        <v>68</v>
      </c>
      <c r="G154" s="1">
        <v>97.5</v>
      </c>
      <c r="H154" s="1">
        <v>95.5</v>
      </c>
      <c r="I154" s="1">
        <v>81</v>
      </c>
    </row>
    <row r="155" hidden="1" outlineLevel="2" spans="1:9">
      <c r="A155" s="1">
        <v>10291</v>
      </c>
      <c r="B155" s="1" t="s">
        <v>312</v>
      </c>
      <c r="C155" s="1" t="s">
        <v>17</v>
      </c>
      <c r="D155" s="1" t="s">
        <v>18</v>
      </c>
      <c r="E155" s="1">
        <v>78</v>
      </c>
      <c r="F155" s="1">
        <v>79.5</v>
      </c>
      <c r="G155" s="1">
        <v>76.5</v>
      </c>
      <c r="H155" s="1">
        <v>74.5</v>
      </c>
      <c r="I155" s="1">
        <v>75</v>
      </c>
    </row>
    <row r="156" hidden="1" outlineLevel="2" spans="1:9">
      <c r="A156" s="1">
        <v>10292</v>
      </c>
      <c r="B156" s="1" t="s">
        <v>313</v>
      </c>
      <c r="C156" s="1" t="s">
        <v>17</v>
      </c>
      <c r="D156" s="1" t="s">
        <v>37</v>
      </c>
      <c r="E156" s="1">
        <v>80.5</v>
      </c>
      <c r="F156" s="1">
        <v>65</v>
      </c>
      <c r="G156" s="1">
        <v>73.5</v>
      </c>
      <c r="H156" s="1">
        <v>71.5</v>
      </c>
      <c r="I156" s="1">
        <v>81</v>
      </c>
    </row>
    <row r="157" hidden="1" outlineLevel="2" spans="1:9">
      <c r="A157" s="1">
        <v>10293</v>
      </c>
      <c r="B157" s="1" t="s">
        <v>314</v>
      </c>
      <c r="C157" s="1" t="s">
        <v>17</v>
      </c>
      <c r="D157" s="1" t="s">
        <v>15</v>
      </c>
      <c r="E157" s="1">
        <v>87.5</v>
      </c>
      <c r="F157" s="1">
        <v>81.5</v>
      </c>
      <c r="G157" s="1">
        <v>85</v>
      </c>
      <c r="H157" s="1">
        <v>83</v>
      </c>
      <c r="I157" s="1">
        <v>89.5</v>
      </c>
    </row>
    <row r="158" hidden="1" outlineLevel="2" spans="1:9">
      <c r="A158" s="1">
        <v>10295</v>
      </c>
      <c r="B158" s="1" t="s">
        <v>316</v>
      </c>
      <c r="C158" s="1" t="s">
        <v>17</v>
      </c>
      <c r="D158" s="1" t="s">
        <v>18</v>
      </c>
      <c r="E158" s="1">
        <v>69</v>
      </c>
      <c r="F158" s="1">
        <v>82</v>
      </c>
      <c r="G158" s="1">
        <v>70</v>
      </c>
      <c r="H158" s="1">
        <v>68</v>
      </c>
      <c r="I158" s="1">
        <v>87.5</v>
      </c>
    </row>
    <row r="159" hidden="1" outlineLevel="2" spans="1:9">
      <c r="A159" s="1">
        <v>10301</v>
      </c>
      <c r="B159" s="1" t="s">
        <v>322</v>
      </c>
      <c r="C159" s="1" t="s">
        <v>17</v>
      </c>
      <c r="D159" s="1" t="s">
        <v>15</v>
      </c>
      <c r="E159" s="1">
        <v>81.5</v>
      </c>
      <c r="F159" s="1">
        <v>74.5</v>
      </c>
      <c r="G159" s="1">
        <v>68.5</v>
      </c>
      <c r="H159" s="1">
        <v>66.5</v>
      </c>
      <c r="I159" s="1">
        <v>91</v>
      </c>
    </row>
    <row r="160" hidden="1" outlineLevel="2" spans="1:9">
      <c r="A160" s="1">
        <v>10302</v>
      </c>
      <c r="B160" s="1" t="s">
        <v>323</v>
      </c>
      <c r="C160" s="1" t="s">
        <v>17</v>
      </c>
      <c r="D160" s="1" t="s">
        <v>20</v>
      </c>
      <c r="E160" s="1">
        <v>82.5</v>
      </c>
      <c r="F160" s="1">
        <v>88</v>
      </c>
      <c r="G160" s="1">
        <v>86</v>
      </c>
      <c r="H160" s="1">
        <v>84</v>
      </c>
      <c r="I160" s="1">
        <v>81.5</v>
      </c>
    </row>
    <row r="161" hidden="1" outlineLevel="2" spans="1:9">
      <c r="A161" s="1">
        <v>10303</v>
      </c>
      <c r="B161" s="1" t="s">
        <v>324</v>
      </c>
      <c r="C161" s="1" t="s">
        <v>17</v>
      </c>
      <c r="D161" s="1" t="s">
        <v>23</v>
      </c>
      <c r="E161" s="1">
        <v>75.5</v>
      </c>
      <c r="F161" s="1">
        <v>66</v>
      </c>
      <c r="G161" s="1">
        <v>87</v>
      </c>
      <c r="H161" s="1">
        <v>85</v>
      </c>
      <c r="I161" s="1">
        <v>72.5</v>
      </c>
    </row>
    <row r="162" hidden="1" outlineLevel="2" spans="1:9">
      <c r="A162" s="1">
        <v>10307</v>
      </c>
      <c r="B162" s="1" t="s">
        <v>328</v>
      </c>
      <c r="C162" s="1" t="s">
        <v>17</v>
      </c>
      <c r="D162" s="1" t="s">
        <v>37</v>
      </c>
      <c r="E162" s="1">
        <v>85</v>
      </c>
      <c r="F162" s="1">
        <v>73</v>
      </c>
      <c r="G162" s="1">
        <v>93</v>
      </c>
      <c r="H162" s="1">
        <v>96.5</v>
      </c>
      <c r="I162" s="1">
        <v>82</v>
      </c>
    </row>
    <row r="163" hidden="1" outlineLevel="2" spans="1:9">
      <c r="A163" s="1">
        <v>10309</v>
      </c>
      <c r="B163" s="1" t="s">
        <v>330</v>
      </c>
      <c r="C163" s="1" t="s">
        <v>17</v>
      </c>
      <c r="D163" s="1" t="s">
        <v>30</v>
      </c>
      <c r="E163" s="1">
        <v>80</v>
      </c>
      <c r="F163" s="1">
        <v>69</v>
      </c>
      <c r="G163" s="1">
        <v>96</v>
      </c>
      <c r="H163" s="1">
        <v>96</v>
      </c>
      <c r="I163" s="1">
        <v>88</v>
      </c>
    </row>
    <row r="164" hidden="1" outlineLevel="2" spans="1:9">
      <c r="A164" s="1">
        <v>10310</v>
      </c>
      <c r="B164" s="1" t="s">
        <v>331</v>
      </c>
      <c r="C164" s="1" t="s">
        <v>17</v>
      </c>
      <c r="D164" s="1" t="s">
        <v>20</v>
      </c>
      <c r="E164" s="1">
        <v>77</v>
      </c>
      <c r="F164" s="1">
        <v>90</v>
      </c>
      <c r="G164" s="1">
        <v>76</v>
      </c>
      <c r="H164" s="1">
        <v>74</v>
      </c>
      <c r="I164" s="1">
        <v>74</v>
      </c>
    </row>
    <row r="165" hidden="1" outlineLevel="2" spans="1:9">
      <c r="A165" s="1">
        <v>10311</v>
      </c>
      <c r="B165" s="1" t="s">
        <v>332</v>
      </c>
      <c r="C165" s="1" t="s">
        <v>17</v>
      </c>
      <c r="D165" s="1" t="s">
        <v>15</v>
      </c>
      <c r="E165" s="1">
        <v>76.5</v>
      </c>
      <c r="F165" s="1">
        <v>78.5</v>
      </c>
      <c r="G165" s="1">
        <v>63</v>
      </c>
      <c r="H165" s="1">
        <v>61</v>
      </c>
      <c r="I165" s="1">
        <v>69.5</v>
      </c>
    </row>
    <row r="166" hidden="1" outlineLevel="2" spans="1:9">
      <c r="A166" s="1">
        <v>10312</v>
      </c>
      <c r="B166" s="1" t="s">
        <v>333</v>
      </c>
      <c r="C166" s="1" t="s">
        <v>17</v>
      </c>
      <c r="D166" s="1" t="s">
        <v>18</v>
      </c>
      <c r="E166" s="1">
        <v>91</v>
      </c>
      <c r="F166" s="1">
        <v>94</v>
      </c>
      <c r="G166" s="1">
        <v>74.5</v>
      </c>
      <c r="H166" s="1">
        <v>72.5</v>
      </c>
      <c r="I166" s="1">
        <v>89</v>
      </c>
    </row>
    <row r="167" hidden="1" outlineLevel="2" spans="1:9">
      <c r="A167" s="1">
        <v>10315</v>
      </c>
      <c r="B167" s="1" t="s">
        <v>336</v>
      </c>
      <c r="C167" s="1" t="s">
        <v>17</v>
      </c>
      <c r="D167" s="1" t="s">
        <v>20</v>
      </c>
      <c r="E167" s="1">
        <v>64.5</v>
      </c>
      <c r="F167" s="1">
        <v>62</v>
      </c>
      <c r="G167" s="1">
        <v>76.5</v>
      </c>
      <c r="H167" s="1">
        <v>74.5</v>
      </c>
      <c r="I167" s="1">
        <v>65.5</v>
      </c>
    </row>
    <row r="168" hidden="1" outlineLevel="2" spans="1:9">
      <c r="A168" s="1">
        <v>10316</v>
      </c>
      <c r="B168" s="1" t="s">
        <v>337</v>
      </c>
      <c r="C168" s="1" t="s">
        <v>17</v>
      </c>
      <c r="D168" s="1" t="s">
        <v>37</v>
      </c>
      <c r="E168" s="1">
        <v>66</v>
      </c>
      <c r="F168" s="1">
        <v>73</v>
      </c>
      <c r="G168" s="1">
        <v>77</v>
      </c>
      <c r="H168" s="1">
        <v>63</v>
      </c>
      <c r="I168" s="1">
        <v>65</v>
      </c>
    </row>
    <row r="169" hidden="1" outlineLevel="2" spans="1:9">
      <c r="A169" s="1">
        <v>10317</v>
      </c>
      <c r="B169" s="1" t="s">
        <v>338</v>
      </c>
      <c r="C169" s="1" t="s">
        <v>17</v>
      </c>
      <c r="D169" s="1" t="s">
        <v>23</v>
      </c>
      <c r="E169" s="1">
        <v>86</v>
      </c>
      <c r="F169" s="1">
        <v>97</v>
      </c>
      <c r="G169" s="1">
        <v>78</v>
      </c>
      <c r="H169" s="1">
        <v>76</v>
      </c>
      <c r="I169" s="1">
        <v>69</v>
      </c>
    </row>
    <row r="170" hidden="1" outlineLevel="2" spans="1:9">
      <c r="A170" s="1">
        <v>10318</v>
      </c>
      <c r="B170" s="1" t="s">
        <v>339</v>
      </c>
      <c r="C170" s="1" t="s">
        <v>17</v>
      </c>
      <c r="D170" s="1" t="s">
        <v>23</v>
      </c>
      <c r="E170" s="1">
        <v>94.5</v>
      </c>
      <c r="F170" s="1">
        <v>70</v>
      </c>
      <c r="G170" s="1">
        <v>77</v>
      </c>
      <c r="H170" s="1">
        <v>75</v>
      </c>
      <c r="I170" s="1">
        <v>61</v>
      </c>
    </row>
    <row r="171" hidden="1" outlineLevel="2" spans="1:9">
      <c r="A171" s="1">
        <v>10319</v>
      </c>
      <c r="B171" s="1" t="s">
        <v>340</v>
      </c>
      <c r="C171" s="1" t="s">
        <v>17</v>
      </c>
      <c r="D171" s="1" t="s">
        <v>15</v>
      </c>
      <c r="E171" s="1">
        <v>90</v>
      </c>
      <c r="F171" s="1">
        <v>94</v>
      </c>
      <c r="G171" s="1">
        <v>70.5</v>
      </c>
      <c r="H171" s="1">
        <v>68.5</v>
      </c>
      <c r="I171" s="1">
        <v>88</v>
      </c>
    </row>
    <row r="172" hidden="1" outlineLevel="2" spans="1:9">
      <c r="A172" s="1">
        <v>10324</v>
      </c>
      <c r="B172" s="1" t="s">
        <v>345</v>
      </c>
      <c r="C172" s="1" t="s">
        <v>17</v>
      </c>
      <c r="D172" s="1" t="s">
        <v>15</v>
      </c>
      <c r="E172" s="1">
        <v>76</v>
      </c>
      <c r="F172" s="1">
        <v>88</v>
      </c>
      <c r="G172" s="1">
        <v>83</v>
      </c>
      <c r="H172" s="1">
        <v>81</v>
      </c>
      <c r="I172" s="1">
        <v>72</v>
      </c>
    </row>
    <row r="173" hidden="1" outlineLevel="2" spans="1:9">
      <c r="A173" s="1">
        <v>10325</v>
      </c>
      <c r="B173" s="1" t="s">
        <v>346</v>
      </c>
      <c r="C173" s="1" t="s">
        <v>17</v>
      </c>
      <c r="D173" s="1" t="s">
        <v>15</v>
      </c>
      <c r="E173" s="1">
        <v>76.5</v>
      </c>
      <c r="F173" s="1">
        <v>80.5</v>
      </c>
      <c r="G173" s="1">
        <v>68.5</v>
      </c>
      <c r="H173" s="1">
        <v>66.5</v>
      </c>
      <c r="I173" s="1">
        <v>86.5</v>
      </c>
    </row>
    <row r="174" hidden="1" outlineLevel="2" spans="1:9">
      <c r="A174" s="1">
        <v>10326</v>
      </c>
      <c r="B174" s="1" t="s">
        <v>347</v>
      </c>
      <c r="C174" s="1" t="s">
        <v>17</v>
      </c>
      <c r="D174" s="1" t="s">
        <v>18</v>
      </c>
      <c r="E174" s="1">
        <v>66</v>
      </c>
      <c r="F174" s="1">
        <v>95</v>
      </c>
      <c r="G174" s="1">
        <v>62.5</v>
      </c>
      <c r="H174" s="1">
        <v>60.5</v>
      </c>
      <c r="I174" s="1">
        <v>86</v>
      </c>
    </row>
    <row r="175" hidden="1" outlineLevel="2" spans="1:9">
      <c r="A175" s="1">
        <v>10329</v>
      </c>
      <c r="B175" s="1" t="s">
        <v>350</v>
      </c>
      <c r="C175" s="1" t="s">
        <v>17</v>
      </c>
      <c r="D175" s="1" t="s">
        <v>18</v>
      </c>
      <c r="E175" s="1">
        <v>61</v>
      </c>
      <c r="F175" s="1">
        <v>63</v>
      </c>
      <c r="G175" s="1">
        <v>74</v>
      </c>
      <c r="H175" s="1">
        <v>72</v>
      </c>
      <c r="I175" s="1">
        <v>72</v>
      </c>
    </row>
    <row r="176" hidden="1" outlineLevel="2" spans="1:9">
      <c r="A176" s="1">
        <v>10330</v>
      </c>
      <c r="B176" s="1" t="s">
        <v>351</v>
      </c>
      <c r="C176" s="1" t="s">
        <v>17</v>
      </c>
      <c r="D176" s="1" t="s">
        <v>23</v>
      </c>
      <c r="E176" s="1">
        <v>79</v>
      </c>
      <c r="F176" s="1">
        <v>85.5</v>
      </c>
      <c r="G176" s="1">
        <v>63.5</v>
      </c>
      <c r="H176" s="1">
        <v>61.5</v>
      </c>
      <c r="I176" s="1">
        <v>85.5</v>
      </c>
    </row>
    <row r="177" hidden="1" outlineLevel="2" spans="1:9">
      <c r="A177" s="1">
        <v>10331</v>
      </c>
      <c r="B177" s="1" t="s">
        <v>352</v>
      </c>
      <c r="C177" s="1" t="s">
        <v>17</v>
      </c>
      <c r="D177" s="1" t="s">
        <v>30</v>
      </c>
      <c r="E177" s="1">
        <v>66</v>
      </c>
      <c r="F177" s="1">
        <v>49</v>
      </c>
      <c r="G177" s="1">
        <v>73</v>
      </c>
      <c r="H177" s="1">
        <v>71</v>
      </c>
      <c r="I177" s="1">
        <v>80.5</v>
      </c>
    </row>
    <row r="178" hidden="1" outlineLevel="2" spans="1:9">
      <c r="A178" s="1">
        <v>10332</v>
      </c>
      <c r="B178" s="1" t="s">
        <v>353</v>
      </c>
      <c r="C178" s="1" t="s">
        <v>17</v>
      </c>
      <c r="D178" s="1" t="s">
        <v>23</v>
      </c>
      <c r="E178" s="1">
        <v>63</v>
      </c>
      <c r="F178" s="1">
        <v>79</v>
      </c>
      <c r="G178" s="1">
        <v>76</v>
      </c>
      <c r="H178" s="1">
        <v>74</v>
      </c>
      <c r="I178" s="1">
        <v>76</v>
      </c>
    </row>
    <row r="179" hidden="1" outlineLevel="2" spans="1:9">
      <c r="A179" s="1">
        <v>10336</v>
      </c>
      <c r="B179" s="1" t="s">
        <v>357</v>
      </c>
      <c r="C179" s="1" t="s">
        <v>17</v>
      </c>
      <c r="D179" s="1" t="s">
        <v>30</v>
      </c>
      <c r="E179" s="1">
        <v>69</v>
      </c>
      <c r="F179" s="1">
        <v>79</v>
      </c>
      <c r="G179" s="1">
        <v>69</v>
      </c>
      <c r="H179" s="1">
        <v>67</v>
      </c>
      <c r="I179" s="1">
        <v>81</v>
      </c>
    </row>
    <row r="180" hidden="1" outlineLevel="2" spans="1:9">
      <c r="A180" s="1">
        <v>10337</v>
      </c>
      <c r="B180" s="1" t="s">
        <v>358</v>
      </c>
      <c r="C180" s="1" t="s">
        <v>17</v>
      </c>
      <c r="D180" s="1" t="s">
        <v>15</v>
      </c>
      <c r="E180" s="1">
        <v>84.5</v>
      </c>
      <c r="F180" s="1">
        <v>60</v>
      </c>
      <c r="G180" s="1">
        <v>75.5</v>
      </c>
      <c r="H180" s="1">
        <v>73.5</v>
      </c>
      <c r="I180" s="1">
        <v>82</v>
      </c>
    </row>
    <row r="181" hidden="1" outlineLevel="2" spans="1:9">
      <c r="A181" s="1">
        <v>10338</v>
      </c>
      <c r="B181" s="1" t="s">
        <v>359</v>
      </c>
      <c r="C181" s="1" t="s">
        <v>17</v>
      </c>
      <c r="D181" s="1" t="s">
        <v>20</v>
      </c>
      <c r="E181" s="1">
        <v>85.5</v>
      </c>
      <c r="F181" s="1">
        <v>79</v>
      </c>
      <c r="G181" s="1">
        <v>83</v>
      </c>
      <c r="H181" s="1">
        <v>81</v>
      </c>
      <c r="I181" s="1">
        <v>75</v>
      </c>
    </row>
    <row r="182" hidden="1" outlineLevel="2" spans="1:9">
      <c r="A182" s="1">
        <v>10340</v>
      </c>
      <c r="B182" s="1" t="s">
        <v>361</v>
      </c>
      <c r="C182" s="1" t="s">
        <v>17</v>
      </c>
      <c r="D182" s="1" t="s">
        <v>30</v>
      </c>
      <c r="E182" s="1">
        <v>85</v>
      </c>
      <c r="F182" s="1">
        <v>82.5</v>
      </c>
      <c r="G182" s="1">
        <v>79.5</v>
      </c>
      <c r="H182" s="1">
        <v>77.5</v>
      </c>
      <c r="I182" s="1">
        <v>84</v>
      </c>
    </row>
    <row r="183" hidden="1" outlineLevel="2" spans="1:9">
      <c r="A183" s="1">
        <v>10341</v>
      </c>
      <c r="B183" s="1" t="s">
        <v>362</v>
      </c>
      <c r="C183" s="1" t="s">
        <v>17</v>
      </c>
      <c r="D183" s="1" t="s">
        <v>37</v>
      </c>
      <c r="E183" s="1">
        <v>69</v>
      </c>
      <c r="F183" s="1">
        <v>61</v>
      </c>
      <c r="G183" s="1">
        <v>58.5</v>
      </c>
      <c r="H183" s="1">
        <v>56.5</v>
      </c>
      <c r="I183" s="1">
        <v>75.5</v>
      </c>
    </row>
    <row r="184" hidden="1" outlineLevel="2" spans="1:9">
      <c r="A184" s="1">
        <v>10344</v>
      </c>
      <c r="B184" s="1" t="s">
        <v>365</v>
      </c>
      <c r="C184" s="1" t="s">
        <v>17</v>
      </c>
      <c r="D184" s="1" t="s">
        <v>30</v>
      </c>
      <c r="E184" s="1">
        <v>83</v>
      </c>
      <c r="F184" s="1">
        <v>70.5</v>
      </c>
      <c r="G184" s="1">
        <v>76.5</v>
      </c>
      <c r="H184" s="1">
        <v>86</v>
      </c>
      <c r="I184" s="1">
        <v>91</v>
      </c>
    </row>
    <row r="185" hidden="1" outlineLevel="2" spans="1:9">
      <c r="A185" s="1">
        <v>10346</v>
      </c>
      <c r="B185" s="1" t="s">
        <v>367</v>
      </c>
      <c r="C185" s="1" t="s">
        <v>17</v>
      </c>
      <c r="D185" s="1" t="s">
        <v>18</v>
      </c>
      <c r="E185" s="1">
        <v>69</v>
      </c>
      <c r="F185" s="1">
        <v>72.5</v>
      </c>
      <c r="G185" s="1">
        <v>83.5</v>
      </c>
      <c r="H185" s="1">
        <v>81.5</v>
      </c>
      <c r="I185" s="1">
        <v>73.5</v>
      </c>
    </row>
    <row r="186" hidden="1" outlineLevel="2" spans="1:9">
      <c r="A186" s="1">
        <v>10352</v>
      </c>
      <c r="B186" s="1" t="s">
        <v>373</v>
      </c>
      <c r="C186" s="1" t="s">
        <v>17</v>
      </c>
      <c r="D186" s="1" t="s">
        <v>23</v>
      </c>
      <c r="E186" s="1">
        <v>90</v>
      </c>
      <c r="F186" s="1">
        <v>76.5</v>
      </c>
      <c r="G186" s="1">
        <v>71.5</v>
      </c>
      <c r="H186" s="1">
        <v>69.5</v>
      </c>
      <c r="I186" s="1">
        <v>84</v>
      </c>
    </row>
    <row r="187" hidden="1" outlineLevel="2" spans="1:9">
      <c r="A187" s="1">
        <v>10353</v>
      </c>
      <c r="B187" s="1" t="s">
        <v>374</v>
      </c>
      <c r="C187" s="1" t="s">
        <v>17</v>
      </c>
      <c r="D187" s="1" t="s">
        <v>37</v>
      </c>
      <c r="E187" s="1">
        <v>57</v>
      </c>
      <c r="F187" s="1">
        <v>66.5</v>
      </c>
      <c r="G187" s="1">
        <v>79.5</v>
      </c>
      <c r="H187" s="1">
        <v>68</v>
      </c>
      <c r="I187" s="1">
        <v>65</v>
      </c>
    </row>
    <row r="188" hidden="1" outlineLevel="2" spans="1:9">
      <c r="A188" s="1">
        <v>10354</v>
      </c>
      <c r="B188" s="1" t="s">
        <v>375</v>
      </c>
      <c r="C188" s="1" t="s">
        <v>17</v>
      </c>
      <c r="D188" s="1" t="s">
        <v>37</v>
      </c>
      <c r="E188" s="1">
        <v>72</v>
      </c>
      <c r="F188" s="1">
        <v>82</v>
      </c>
      <c r="G188" s="1">
        <v>66</v>
      </c>
      <c r="H188" s="1">
        <v>64</v>
      </c>
      <c r="I188" s="1">
        <v>73.5</v>
      </c>
    </row>
    <row r="189" hidden="1" outlineLevel="2" spans="1:9">
      <c r="A189" s="1">
        <v>10355</v>
      </c>
      <c r="B189" s="1" t="s">
        <v>376</v>
      </c>
      <c r="C189" s="1" t="s">
        <v>17</v>
      </c>
      <c r="D189" s="1" t="s">
        <v>23</v>
      </c>
      <c r="E189" s="1">
        <v>76</v>
      </c>
      <c r="F189" s="1">
        <v>80</v>
      </c>
      <c r="G189" s="1">
        <v>85.5</v>
      </c>
      <c r="H189" s="1">
        <v>83.5</v>
      </c>
      <c r="I189" s="1">
        <v>83</v>
      </c>
    </row>
    <row r="190" hidden="1" outlineLevel="2" spans="1:9">
      <c r="A190" s="1">
        <v>10356</v>
      </c>
      <c r="B190" s="1" t="s">
        <v>377</v>
      </c>
      <c r="C190" s="1" t="s">
        <v>17</v>
      </c>
      <c r="D190" s="1" t="s">
        <v>20</v>
      </c>
      <c r="E190" s="1">
        <v>66</v>
      </c>
      <c r="F190" s="1">
        <v>68.5</v>
      </c>
      <c r="G190" s="1">
        <v>83</v>
      </c>
      <c r="H190" s="1">
        <v>81</v>
      </c>
      <c r="I190" s="1">
        <v>93</v>
      </c>
    </row>
    <row r="191" hidden="1" outlineLevel="2" spans="1:9">
      <c r="A191" s="1">
        <v>10357</v>
      </c>
      <c r="B191" s="1" t="s">
        <v>378</v>
      </c>
      <c r="C191" s="1" t="s">
        <v>17</v>
      </c>
      <c r="D191" s="1" t="s">
        <v>15</v>
      </c>
      <c r="E191" s="1">
        <v>90</v>
      </c>
      <c r="F191" s="1">
        <v>73</v>
      </c>
      <c r="G191" s="1">
        <v>84</v>
      </c>
      <c r="H191" s="1">
        <v>82</v>
      </c>
      <c r="I191" s="1">
        <v>80</v>
      </c>
    </row>
    <row r="192" hidden="1" outlineLevel="2" spans="1:9">
      <c r="A192" s="1">
        <v>10360</v>
      </c>
      <c r="B192" s="1" t="s">
        <v>381</v>
      </c>
      <c r="C192" s="1" t="s">
        <v>17</v>
      </c>
      <c r="D192" s="1" t="s">
        <v>23</v>
      </c>
      <c r="E192" s="1">
        <v>83</v>
      </c>
      <c r="F192" s="1">
        <v>71</v>
      </c>
      <c r="G192" s="1">
        <v>90</v>
      </c>
      <c r="H192" s="1">
        <v>93.5</v>
      </c>
      <c r="I192" s="1">
        <v>95</v>
      </c>
    </row>
    <row r="193" hidden="1" outlineLevel="2" spans="1:9">
      <c r="A193" s="1">
        <v>10361</v>
      </c>
      <c r="B193" s="1" t="s">
        <v>382</v>
      </c>
      <c r="C193" s="1" t="s">
        <v>17</v>
      </c>
      <c r="D193" s="1" t="s">
        <v>30</v>
      </c>
      <c r="E193" s="1">
        <v>78</v>
      </c>
      <c r="F193" s="1">
        <v>79.5</v>
      </c>
      <c r="G193" s="1">
        <v>90</v>
      </c>
      <c r="H193" s="1">
        <v>77.5</v>
      </c>
      <c r="I193" s="1">
        <v>78</v>
      </c>
    </row>
    <row r="194" hidden="1" outlineLevel="2" spans="1:9">
      <c r="A194" s="1">
        <v>10362</v>
      </c>
      <c r="B194" s="1" t="s">
        <v>383</v>
      </c>
      <c r="C194" s="1" t="s">
        <v>17</v>
      </c>
      <c r="D194" s="1" t="s">
        <v>15</v>
      </c>
      <c r="E194" s="1">
        <v>60.5</v>
      </c>
      <c r="F194" s="1">
        <v>86</v>
      </c>
      <c r="G194" s="1">
        <v>79</v>
      </c>
      <c r="H194" s="1">
        <v>77</v>
      </c>
      <c r="I194" s="1">
        <v>78.5</v>
      </c>
    </row>
    <row r="195" hidden="1" outlineLevel="2" spans="1:9">
      <c r="A195" s="1">
        <v>10363</v>
      </c>
      <c r="B195" s="1" t="s">
        <v>384</v>
      </c>
      <c r="C195" s="1" t="s">
        <v>17</v>
      </c>
      <c r="D195" s="1" t="s">
        <v>15</v>
      </c>
      <c r="E195" s="1">
        <v>93</v>
      </c>
      <c r="F195" s="1">
        <v>66.5</v>
      </c>
      <c r="G195" s="1">
        <v>67</v>
      </c>
      <c r="H195" s="1">
        <v>65</v>
      </c>
      <c r="I195" s="1">
        <v>79.5</v>
      </c>
    </row>
    <row r="196" hidden="1" outlineLevel="2" spans="1:9">
      <c r="A196" s="1">
        <v>10366</v>
      </c>
      <c r="B196" s="1" t="s">
        <v>387</v>
      </c>
      <c r="C196" s="1" t="s">
        <v>17</v>
      </c>
      <c r="D196" s="1" t="s">
        <v>18</v>
      </c>
      <c r="E196" s="1">
        <v>64.5</v>
      </c>
      <c r="F196" s="1">
        <v>62</v>
      </c>
      <c r="G196" s="1">
        <v>74.5</v>
      </c>
      <c r="H196" s="1">
        <v>72.5</v>
      </c>
      <c r="I196" s="1">
        <v>61.5</v>
      </c>
    </row>
    <row r="197" hidden="1" outlineLevel="2" spans="1:9">
      <c r="A197" s="1">
        <v>10367</v>
      </c>
      <c r="B197" s="1" t="s">
        <v>388</v>
      </c>
      <c r="C197" s="1" t="s">
        <v>17</v>
      </c>
      <c r="D197" s="1" t="s">
        <v>23</v>
      </c>
      <c r="E197" s="1">
        <v>72</v>
      </c>
      <c r="F197" s="1">
        <v>86.5</v>
      </c>
      <c r="G197" s="1">
        <v>85.5</v>
      </c>
      <c r="H197" s="1">
        <v>83.5</v>
      </c>
      <c r="I197" s="1">
        <v>80</v>
      </c>
    </row>
    <row r="198" hidden="1" outlineLevel="2" spans="1:9">
      <c r="A198" s="1">
        <v>10368</v>
      </c>
      <c r="B198" s="1" t="s">
        <v>389</v>
      </c>
      <c r="C198" s="1" t="s">
        <v>17</v>
      </c>
      <c r="D198" s="1" t="s">
        <v>23</v>
      </c>
      <c r="E198" s="1">
        <v>83</v>
      </c>
      <c r="F198" s="1">
        <v>86.5</v>
      </c>
      <c r="G198" s="1">
        <v>90.5</v>
      </c>
      <c r="H198" s="1">
        <v>88.5</v>
      </c>
      <c r="I198" s="1">
        <v>67</v>
      </c>
    </row>
    <row r="199" hidden="1" outlineLevel="2" spans="1:9">
      <c r="A199" s="1">
        <v>10370</v>
      </c>
      <c r="B199" s="1" t="s">
        <v>391</v>
      </c>
      <c r="C199" s="1" t="s">
        <v>17</v>
      </c>
      <c r="D199" s="1" t="s">
        <v>30</v>
      </c>
      <c r="E199" s="1">
        <v>92</v>
      </c>
      <c r="F199" s="1">
        <v>77</v>
      </c>
      <c r="G199" s="1">
        <v>79</v>
      </c>
      <c r="H199" s="1">
        <v>90</v>
      </c>
      <c r="I199" s="1">
        <v>66</v>
      </c>
    </row>
    <row r="200" hidden="1" outlineLevel="2" spans="1:9">
      <c r="A200" s="1">
        <v>10372</v>
      </c>
      <c r="B200" s="1" t="s">
        <v>393</v>
      </c>
      <c r="C200" s="1" t="s">
        <v>17</v>
      </c>
      <c r="D200" s="1" t="s">
        <v>37</v>
      </c>
      <c r="E200" s="1">
        <v>71.5</v>
      </c>
      <c r="F200" s="1">
        <v>63</v>
      </c>
      <c r="G200" s="1">
        <v>67</v>
      </c>
      <c r="H200" s="1">
        <v>65</v>
      </c>
      <c r="I200" s="1">
        <v>71.5</v>
      </c>
    </row>
    <row r="201" hidden="1" outlineLevel="2" spans="1:9">
      <c r="A201" s="1">
        <v>10373</v>
      </c>
      <c r="B201" s="1" t="s">
        <v>394</v>
      </c>
      <c r="C201" s="1" t="s">
        <v>17</v>
      </c>
      <c r="D201" s="1" t="s">
        <v>37</v>
      </c>
      <c r="E201" s="1">
        <v>84.5</v>
      </c>
      <c r="F201" s="1">
        <v>74.5</v>
      </c>
      <c r="G201" s="1">
        <v>73</v>
      </c>
      <c r="H201" s="1">
        <v>71</v>
      </c>
      <c r="I201" s="1">
        <v>75.5</v>
      </c>
    </row>
    <row r="202" hidden="1" outlineLevel="2" spans="1:9">
      <c r="A202" s="1">
        <v>10376</v>
      </c>
      <c r="B202" s="1" t="s">
        <v>397</v>
      </c>
      <c r="C202" s="1" t="s">
        <v>17</v>
      </c>
      <c r="D202" s="1" t="s">
        <v>23</v>
      </c>
      <c r="E202" s="1">
        <v>95</v>
      </c>
      <c r="F202" s="1">
        <v>90.5</v>
      </c>
      <c r="G202" s="1">
        <v>91</v>
      </c>
      <c r="H202" s="1">
        <v>93</v>
      </c>
      <c r="I202" s="1">
        <v>89</v>
      </c>
    </row>
    <row r="203" hidden="1" outlineLevel="2" spans="1:9">
      <c r="A203" s="1">
        <v>10378</v>
      </c>
      <c r="B203" s="1" t="s">
        <v>399</v>
      </c>
      <c r="C203" s="1" t="s">
        <v>17</v>
      </c>
      <c r="D203" s="1" t="s">
        <v>15</v>
      </c>
      <c r="E203" s="1">
        <v>81</v>
      </c>
      <c r="F203" s="1">
        <v>85</v>
      </c>
      <c r="G203" s="1">
        <v>96</v>
      </c>
      <c r="H203" s="1">
        <v>94</v>
      </c>
      <c r="I203" s="1">
        <v>97</v>
      </c>
    </row>
    <row r="204" hidden="1" outlineLevel="2" spans="1:9">
      <c r="A204" s="1">
        <v>10379</v>
      </c>
      <c r="B204" s="1" t="s">
        <v>400</v>
      </c>
      <c r="C204" s="1" t="s">
        <v>17</v>
      </c>
      <c r="D204" s="1" t="s">
        <v>20</v>
      </c>
      <c r="E204" s="1">
        <v>96</v>
      </c>
      <c r="F204" s="1">
        <v>75</v>
      </c>
      <c r="G204" s="1">
        <v>77</v>
      </c>
      <c r="H204" s="1">
        <v>75</v>
      </c>
      <c r="I204" s="1">
        <v>87</v>
      </c>
    </row>
    <row r="205" hidden="1" outlineLevel="2" spans="1:9">
      <c r="A205" s="1">
        <v>10381</v>
      </c>
      <c r="B205" s="1" t="s">
        <v>402</v>
      </c>
      <c r="C205" s="1" t="s">
        <v>17</v>
      </c>
      <c r="D205" s="1" t="s">
        <v>30</v>
      </c>
      <c r="E205" s="1">
        <v>66.5</v>
      </c>
      <c r="F205" s="1">
        <v>69.5</v>
      </c>
      <c r="G205" s="1">
        <v>77.5</v>
      </c>
      <c r="H205" s="1">
        <v>61</v>
      </c>
      <c r="I205" s="1">
        <v>62</v>
      </c>
    </row>
    <row r="206" hidden="1" outlineLevel="2" spans="1:9">
      <c r="A206" s="1">
        <v>10382</v>
      </c>
      <c r="B206" s="1" t="s">
        <v>403</v>
      </c>
      <c r="C206" s="1" t="s">
        <v>17</v>
      </c>
      <c r="D206" s="1" t="s">
        <v>15</v>
      </c>
      <c r="E206" s="1">
        <v>67.5</v>
      </c>
      <c r="F206" s="1">
        <v>62</v>
      </c>
      <c r="G206" s="1">
        <v>69.5</v>
      </c>
      <c r="H206" s="1">
        <v>67.5</v>
      </c>
      <c r="I206" s="1">
        <v>70</v>
      </c>
    </row>
    <row r="207" hidden="1" outlineLevel="2" spans="1:9">
      <c r="A207" s="1">
        <v>10384</v>
      </c>
      <c r="B207" s="1" t="s">
        <v>405</v>
      </c>
      <c r="C207" s="1" t="s">
        <v>17</v>
      </c>
      <c r="D207" s="1" t="s">
        <v>23</v>
      </c>
      <c r="E207" s="1">
        <v>79.5</v>
      </c>
      <c r="F207" s="1">
        <v>51</v>
      </c>
      <c r="G207" s="1">
        <v>98</v>
      </c>
      <c r="H207" s="1">
        <v>96</v>
      </c>
      <c r="I207" s="1">
        <v>92</v>
      </c>
    </row>
    <row r="208" hidden="1" outlineLevel="2" spans="1:9">
      <c r="A208" s="1">
        <v>10388</v>
      </c>
      <c r="B208" s="1" t="s">
        <v>409</v>
      </c>
      <c r="C208" s="1" t="s">
        <v>17</v>
      </c>
      <c r="D208" s="1" t="s">
        <v>20</v>
      </c>
      <c r="E208" s="1">
        <v>68</v>
      </c>
      <c r="F208" s="1">
        <v>85</v>
      </c>
      <c r="G208" s="1">
        <v>87.5</v>
      </c>
      <c r="H208" s="1">
        <v>85.5</v>
      </c>
      <c r="I208" s="1">
        <v>83</v>
      </c>
    </row>
    <row r="209" hidden="1" outlineLevel="2" spans="1:9">
      <c r="A209" s="1">
        <v>10392</v>
      </c>
      <c r="B209" s="1" t="s">
        <v>413</v>
      </c>
      <c r="C209" s="1" t="s">
        <v>17</v>
      </c>
      <c r="D209" s="1" t="s">
        <v>15</v>
      </c>
      <c r="E209" s="1">
        <v>86</v>
      </c>
      <c r="F209" s="1">
        <v>82</v>
      </c>
      <c r="G209" s="1">
        <v>67</v>
      </c>
      <c r="H209" s="1">
        <v>65</v>
      </c>
      <c r="I209" s="1">
        <v>68</v>
      </c>
    </row>
    <row r="210" hidden="1" outlineLevel="2" spans="1:9">
      <c r="A210" s="1">
        <v>10395</v>
      </c>
      <c r="B210" s="1" t="s">
        <v>416</v>
      </c>
      <c r="C210" s="1" t="s">
        <v>17</v>
      </c>
      <c r="D210" s="1" t="s">
        <v>30</v>
      </c>
      <c r="E210" s="1">
        <v>90.5</v>
      </c>
      <c r="F210" s="1">
        <v>80.5</v>
      </c>
      <c r="G210" s="1">
        <v>82</v>
      </c>
      <c r="H210" s="1">
        <v>63</v>
      </c>
      <c r="I210" s="1">
        <v>85</v>
      </c>
    </row>
    <row r="211" hidden="1" outlineLevel="2" spans="1:9">
      <c r="A211" s="1">
        <v>10396</v>
      </c>
      <c r="B211" s="1" t="s">
        <v>417</v>
      </c>
      <c r="C211" s="1" t="s">
        <v>17</v>
      </c>
      <c r="D211" s="1" t="s">
        <v>30</v>
      </c>
      <c r="E211" s="1">
        <v>64</v>
      </c>
      <c r="F211" s="1">
        <v>61</v>
      </c>
      <c r="G211" s="1">
        <v>70</v>
      </c>
      <c r="H211" s="1">
        <v>68</v>
      </c>
      <c r="I211" s="1">
        <v>74.5</v>
      </c>
    </row>
    <row r="212" hidden="1" outlineLevel="2" spans="1:9">
      <c r="A212" s="1">
        <v>10398</v>
      </c>
      <c r="B212" s="1" t="s">
        <v>419</v>
      </c>
      <c r="C212" s="1" t="s">
        <v>17</v>
      </c>
      <c r="D212" s="1" t="s">
        <v>23</v>
      </c>
      <c r="E212" s="1">
        <v>54.5</v>
      </c>
      <c r="F212" s="1">
        <v>62.5</v>
      </c>
      <c r="G212" s="1">
        <v>94</v>
      </c>
      <c r="H212" s="1">
        <v>92</v>
      </c>
      <c r="I212" s="1">
        <v>73</v>
      </c>
    </row>
    <row r="213" hidden="1" outlineLevel="2" spans="1:9">
      <c r="A213" s="1">
        <v>10399</v>
      </c>
      <c r="B213" s="1" t="s">
        <v>420</v>
      </c>
      <c r="C213" s="1" t="s">
        <v>17</v>
      </c>
      <c r="D213" s="1" t="s">
        <v>30</v>
      </c>
      <c r="E213" s="1">
        <v>55.5</v>
      </c>
      <c r="F213" s="1">
        <v>81.5</v>
      </c>
      <c r="G213" s="1">
        <v>94</v>
      </c>
      <c r="H213" s="1">
        <v>92</v>
      </c>
      <c r="I213" s="1">
        <v>83</v>
      </c>
    </row>
    <row r="214" hidden="1" outlineLevel="2" spans="1:9">
      <c r="A214" s="1">
        <v>10400</v>
      </c>
      <c r="B214" s="1" t="s">
        <v>421</v>
      </c>
      <c r="C214" s="1" t="s">
        <v>17</v>
      </c>
      <c r="D214" s="1" t="s">
        <v>30</v>
      </c>
      <c r="E214" s="1">
        <v>63.5</v>
      </c>
      <c r="F214" s="1">
        <v>53</v>
      </c>
      <c r="G214" s="1">
        <v>57</v>
      </c>
      <c r="H214" s="1">
        <v>62.5</v>
      </c>
      <c r="I214" s="1">
        <v>72.5</v>
      </c>
    </row>
    <row r="215" hidden="1" outlineLevel="2" spans="1:9">
      <c r="A215" s="1">
        <v>10405</v>
      </c>
      <c r="B215" s="1" t="s">
        <v>426</v>
      </c>
      <c r="C215" s="1" t="s">
        <v>17</v>
      </c>
      <c r="D215" s="1" t="s">
        <v>23</v>
      </c>
      <c r="E215" s="1">
        <v>76</v>
      </c>
      <c r="F215" s="1">
        <v>88.5</v>
      </c>
      <c r="G215" s="1">
        <v>91</v>
      </c>
      <c r="H215" s="1">
        <v>89</v>
      </c>
      <c r="I215" s="1">
        <v>74</v>
      </c>
    </row>
    <row r="216" hidden="1" outlineLevel="2" spans="1:9">
      <c r="A216" s="1">
        <v>10407</v>
      </c>
      <c r="B216" s="1" t="s">
        <v>428</v>
      </c>
      <c r="C216" s="1" t="s">
        <v>17</v>
      </c>
      <c r="D216" s="1" t="s">
        <v>15</v>
      </c>
      <c r="E216" s="1">
        <v>81.5</v>
      </c>
      <c r="F216" s="1">
        <v>76.5</v>
      </c>
      <c r="G216" s="1">
        <v>90</v>
      </c>
      <c r="H216" s="1">
        <v>86</v>
      </c>
      <c r="I216" s="1">
        <v>88</v>
      </c>
    </row>
    <row r="217" hidden="1" outlineLevel="2" spans="1:9">
      <c r="A217" s="1">
        <v>10409</v>
      </c>
      <c r="B217" s="1" t="s">
        <v>430</v>
      </c>
      <c r="C217" s="1" t="s">
        <v>17</v>
      </c>
      <c r="D217" s="1" t="s">
        <v>23</v>
      </c>
      <c r="E217" s="1">
        <v>75</v>
      </c>
      <c r="F217" s="1">
        <v>78.5</v>
      </c>
      <c r="G217" s="1">
        <v>70.5</v>
      </c>
      <c r="H217" s="1">
        <v>68.5</v>
      </c>
      <c r="I217" s="1">
        <v>82.5</v>
      </c>
    </row>
    <row r="218" hidden="1" outlineLevel="2" spans="1:9">
      <c r="A218" s="1">
        <v>10410</v>
      </c>
      <c r="B218" s="1" t="s">
        <v>431</v>
      </c>
      <c r="C218" s="1" t="s">
        <v>17</v>
      </c>
      <c r="D218" s="1" t="s">
        <v>37</v>
      </c>
      <c r="E218" s="1">
        <v>77</v>
      </c>
      <c r="F218" s="1">
        <v>70.5</v>
      </c>
      <c r="G218" s="1">
        <v>75.5</v>
      </c>
      <c r="H218" s="1">
        <v>73.5</v>
      </c>
      <c r="I218" s="1">
        <v>74.5</v>
      </c>
    </row>
    <row r="219" hidden="1" outlineLevel="2" spans="1:9">
      <c r="A219" s="1">
        <v>10412</v>
      </c>
      <c r="B219" s="1" t="s">
        <v>433</v>
      </c>
      <c r="C219" s="1" t="s">
        <v>17</v>
      </c>
      <c r="D219" s="1" t="s">
        <v>30</v>
      </c>
      <c r="E219" s="1">
        <v>78</v>
      </c>
      <c r="F219" s="1">
        <v>76</v>
      </c>
      <c r="G219" s="1">
        <v>90</v>
      </c>
      <c r="H219" s="1">
        <v>77</v>
      </c>
      <c r="I219" s="1">
        <v>62.5</v>
      </c>
    </row>
    <row r="220" hidden="1" outlineLevel="2" spans="1:9">
      <c r="A220" s="1">
        <v>10414</v>
      </c>
      <c r="B220" s="1" t="s">
        <v>435</v>
      </c>
      <c r="C220" s="1" t="s">
        <v>17</v>
      </c>
      <c r="D220" s="1" t="s">
        <v>30</v>
      </c>
      <c r="E220" s="1">
        <v>78</v>
      </c>
      <c r="F220" s="1">
        <v>82</v>
      </c>
      <c r="G220" s="1">
        <v>68.5</v>
      </c>
      <c r="H220" s="1">
        <v>66.5</v>
      </c>
      <c r="I220" s="1">
        <v>90</v>
      </c>
    </row>
    <row r="221" hidden="1" outlineLevel="2" spans="1:9">
      <c r="A221" s="1">
        <v>10418</v>
      </c>
      <c r="B221" s="1" t="s">
        <v>439</v>
      </c>
      <c r="C221" s="1" t="s">
        <v>17</v>
      </c>
      <c r="D221" s="1" t="s">
        <v>18</v>
      </c>
      <c r="E221" s="1">
        <v>72.5</v>
      </c>
      <c r="F221" s="1">
        <v>66</v>
      </c>
      <c r="G221" s="1">
        <v>75</v>
      </c>
      <c r="H221" s="1">
        <v>73</v>
      </c>
      <c r="I221" s="1">
        <v>76</v>
      </c>
    </row>
    <row r="222" hidden="1" outlineLevel="2" spans="1:9">
      <c r="A222" s="1">
        <v>10420</v>
      </c>
      <c r="B222" s="1" t="s">
        <v>441</v>
      </c>
      <c r="C222" s="1" t="s">
        <v>17</v>
      </c>
      <c r="D222" s="1" t="s">
        <v>18</v>
      </c>
      <c r="E222" s="1">
        <v>83.5</v>
      </c>
      <c r="F222" s="1">
        <v>58.5</v>
      </c>
      <c r="G222" s="1">
        <v>74.5</v>
      </c>
      <c r="H222" s="1">
        <v>72.5</v>
      </c>
      <c r="I222" s="1">
        <v>68.5</v>
      </c>
    </row>
    <row r="223" hidden="1" outlineLevel="2" spans="1:9">
      <c r="A223" s="1">
        <v>10421</v>
      </c>
      <c r="B223" s="1" t="s">
        <v>442</v>
      </c>
      <c r="C223" s="1" t="s">
        <v>17</v>
      </c>
      <c r="D223" s="1" t="s">
        <v>30</v>
      </c>
      <c r="E223" s="1">
        <v>78.5</v>
      </c>
      <c r="F223" s="1">
        <v>87</v>
      </c>
      <c r="G223" s="1">
        <v>79.5</v>
      </c>
      <c r="H223" s="1">
        <v>77.5</v>
      </c>
      <c r="I223" s="1">
        <v>86.5</v>
      </c>
    </row>
    <row r="224" hidden="1" outlineLevel="2" spans="1:9">
      <c r="A224" s="1">
        <v>10422</v>
      </c>
      <c r="B224" s="1" t="s">
        <v>443</v>
      </c>
      <c r="C224" s="1" t="s">
        <v>17</v>
      </c>
      <c r="D224" s="1" t="s">
        <v>30</v>
      </c>
      <c r="E224" s="1">
        <v>61</v>
      </c>
      <c r="F224" s="1">
        <v>77</v>
      </c>
      <c r="G224" s="1">
        <v>66.5</v>
      </c>
      <c r="H224" s="1">
        <v>64.5</v>
      </c>
      <c r="I224" s="1">
        <v>66.5</v>
      </c>
    </row>
    <row r="225" hidden="1" outlineLevel="2" spans="1:9">
      <c r="A225" s="1">
        <v>10424</v>
      </c>
      <c r="B225" s="1" t="s">
        <v>445</v>
      </c>
      <c r="C225" s="1" t="s">
        <v>17</v>
      </c>
      <c r="D225" s="1" t="s">
        <v>23</v>
      </c>
      <c r="E225" s="1">
        <v>60.5</v>
      </c>
      <c r="F225" s="1">
        <v>86.5</v>
      </c>
      <c r="G225" s="1">
        <v>62.5</v>
      </c>
      <c r="H225" s="1">
        <v>60.5</v>
      </c>
      <c r="I225" s="1">
        <v>93</v>
      </c>
    </row>
    <row r="226" hidden="1" outlineLevel="2" spans="1:9">
      <c r="A226" s="1">
        <v>10425</v>
      </c>
      <c r="B226" s="1" t="s">
        <v>446</v>
      </c>
      <c r="C226" s="1" t="s">
        <v>17</v>
      </c>
      <c r="D226" s="1" t="s">
        <v>15</v>
      </c>
      <c r="E226" s="1">
        <v>74.5</v>
      </c>
      <c r="F226" s="1">
        <v>66.5</v>
      </c>
      <c r="G226" s="1">
        <v>71</v>
      </c>
      <c r="H226" s="1">
        <v>69</v>
      </c>
      <c r="I226" s="1">
        <v>87.5</v>
      </c>
    </row>
    <row r="227" hidden="1" outlineLevel="2" spans="1:9">
      <c r="A227" s="1">
        <v>10426</v>
      </c>
      <c r="B227" s="1" t="s">
        <v>447</v>
      </c>
      <c r="C227" s="1" t="s">
        <v>17</v>
      </c>
      <c r="D227" s="1" t="s">
        <v>15</v>
      </c>
      <c r="E227" s="1">
        <v>72.5</v>
      </c>
      <c r="F227" s="1">
        <v>73.5</v>
      </c>
      <c r="G227" s="1">
        <v>85.5</v>
      </c>
      <c r="H227" s="1">
        <v>83.5</v>
      </c>
      <c r="I227" s="1">
        <v>76</v>
      </c>
    </row>
    <row r="228" hidden="1" outlineLevel="2" spans="1:9">
      <c r="A228" s="1">
        <v>10429</v>
      </c>
      <c r="B228" s="1" t="s">
        <v>450</v>
      </c>
      <c r="C228" s="1" t="s">
        <v>17</v>
      </c>
      <c r="D228" s="1" t="s">
        <v>18</v>
      </c>
      <c r="E228" s="1">
        <v>73.5</v>
      </c>
      <c r="F228" s="1">
        <v>82.5</v>
      </c>
      <c r="G228" s="1">
        <v>91</v>
      </c>
      <c r="H228" s="1">
        <v>89</v>
      </c>
      <c r="I228" s="1">
        <v>94.5</v>
      </c>
    </row>
    <row r="229" hidden="1" outlineLevel="2" spans="1:9">
      <c r="A229" s="1">
        <v>10433</v>
      </c>
      <c r="B229" s="1" t="s">
        <v>454</v>
      </c>
      <c r="C229" s="1" t="s">
        <v>17</v>
      </c>
      <c r="D229" s="1" t="s">
        <v>37</v>
      </c>
      <c r="E229" s="1">
        <v>72</v>
      </c>
      <c r="F229" s="1">
        <v>70.5</v>
      </c>
      <c r="G229" s="1">
        <v>59</v>
      </c>
      <c r="H229" s="1">
        <v>57</v>
      </c>
      <c r="I229" s="1">
        <v>77</v>
      </c>
    </row>
    <row r="230" hidden="1" outlineLevel="2" spans="1:9">
      <c r="A230" s="1">
        <v>10438</v>
      </c>
      <c r="B230" s="1" t="s">
        <v>459</v>
      </c>
      <c r="C230" s="1" t="s">
        <v>17</v>
      </c>
      <c r="D230" s="1" t="s">
        <v>37</v>
      </c>
      <c r="E230" s="1">
        <v>61.5</v>
      </c>
      <c r="F230" s="1">
        <v>69.5</v>
      </c>
      <c r="G230" s="1">
        <v>78.5</v>
      </c>
      <c r="H230" s="1">
        <v>76.5</v>
      </c>
      <c r="I230" s="1">
        <v>83</v>
      </c>
    </row>
    <row r="231" hidden="1" outlineLevel="2" spans="1:9">
      <c r="A231" s="1">
        <v>10440</v>
      </c>
      <c r="B231" s="1" t="s">
        <v>461</v>
      </c>
      <c r="C231" s="1" t="s">
        <v>17</v>
      </c>
      <c r="D231" s="1" t="s">
        <v>37</v>
      </c>
      <c r="E231" s="1">
        <v>64</v>
      </c>
      <c r="F231" s="1">
        <v>91</v>
      </c>
      <c r="G231" s="1">
        <v>93.5</v>
      </c>
      <c r="H231" s="1">
        <v>91.5</v>
      </c>
      <c r="I231" s="1">
        <v>75.5</v>
      </c>
    </row>
    <row r="232" hidden="1" outlineLevel="2" spans="1:9">
      <c r="A232" s="1">
        <v>10441</v>
      </c>
      <c r="B232" s="1" t="s">
        <v>462</v>
      </c>
      <c r="C232" s="1" t="s">
        <v>17</v>
      </c>
      <c r="D232" s="1" t="s">
        <v>15</v>
      </c>
      <c r="E232" s="1">
        <v>96</v>
      </c>
      <c r="F232" s="1">
        <v>96</v>
      </c>
      <c r="G232" s="1">
        <v>73.5</v>
      </c>
      <c r="H232" s="1">
        <v>71.5</v>
      </c>
      <c r="I232" s="1">
        <v>79.5</v>
      </c>
    </row>
    <row r="233" hidden="1" outlineLevel="2" spans="1:9">
      <c r="A233" s="1">
        <v>10443</v>
      </c>
      <c r="B233" s="1" t="s">
        <v>464</v>
      </c>
      <c r="C233" s="1" t="s">
        <v>17</v>
      </c>
      <c r="D233" s="1" t="s">
        <v>37</v>
      </c>
      <c r="E233" s="1">
        <v>90</v>
      </c>
      <c r="F233" s="1">
        <v>70.5</v>
      </c>
      <c r="G233" s="1">
        <v>84.5</v>
      </c>
      <c r="H233" s="1">
        <v>82.5</v>
      </c>
      <c r="I233" s="1">
        <v>75.5</v>
      </c>
    </row>
    <row r="234" hidden="1" outlineLevel="2" spans="1:9">
      <c r="A234" s="1">
        <v>10444</v>
      </c>
      <c r="B234" s="1" t="s">
        <v>465</v>
      </c>
      <c r="C234" s="1" t="s">
        <v>17</v>
      </c>
      <c r="D234" s="1" t="s">
        <v>15</v>
      </c>
      <c r="E234" s="1">
        <v>60.5</v>
      </c>
      <c r="F234" s="1">
        <v>62</v>
      </c>
      <c r="G234" s="1">
        <v>72.5</v>
      </c>
      <c r="H234" s="1">
        <v>70.5</v>
      </c>
      <c r="I234" s="1">
        <v>75</v>
      </c>
    </row>
    <row r="235" hidden="1" outlineLevel="2" spans="1:9">
      <c r="A235" s="1">
        <v>10445</v>
      </c>
      <c r="B235" s="1" t="s">
        <v>466</v>
      </c>
      <c r="C235" s="1" t="s">
        <v>17</v>
      </c>
      <c r="D235" s="1" t="s">
        <v>20</v>
      </c>
      <c r="E235" s="1">
        <v>70.5</v>
      </c>
      <c r="F235" s="1">
        <v>78</v>
      </c>
      <c r="G235" s="1">
        <v>78.5</v>
      </c>
      <c r="H235" s="1">
        <v>88</v>
      </c>
      <c r="I235" s="1">
        <v>90</v>
      </c>
    </row>
    <row r="236" hidden="1" outlineLevel="2" spans="1:9">
      <c r="A236" s="1">
        <v>10449</v>
      </c>
      <c r="B236" s="1" t="s">
        <v>470</v>
      </c>
      <c r="C236" s="1" t="s">
        <v>17</v>
      </c>
      <c r="D236" s="1" t="s">
        <v>37</v>
      </c>
      <c r="E236" s="1">
        <v>67</v>
      </c>
      <c r="F236" s="1">
        <v>92</v>
      </c>
      <c r="G236" s="1">
        <v>91</v>
      </c>
      <c r="H236" s="1">
        <v>89</v>
      </c>
      <c r="I236" s="1">
        <v>76</v>
      </c>
    </row>
    <row r="237" hidden="1" outlineLevel="2" spans="1:9">
      <c r="A237" s="1">
        <v>10450</v>
      </c>
      <c r="B237" s="1" t="s">
        <v>471</v>
      </c>
      <c r="C237" s="1" t="s">
        <v>17</v>
      </c>
      <c r="D237" s="1" t="s">
        <v>15</v>
      </c>
      <c r="E237" s="1">
        <v>85</v>
      </c>
      <c r="F237" s="1">
        <v>71</v>
      </c>
      <c r="G237" s="1">
        <v>63</v>
      </c>
      <c r="H237" s="1">
        <v>61</v>
      </c>
      <c r="I237" s="1">
        <v>63</v>
      </c>
    </row>
    <row r="238" hidden="1" outlineLevel="2" spans="1:9">
      <c r="A238" s="1">
        <v>10451</v>
      </c>
      <c r="B238" s="1" t="s">
        <v>472</v>
      </c>
      <c r="C238" s="1" t="s">
        <v>17</v>
      </c>
      <c r="D238" s="1" t="s">
        <v>15</v>
      </c>
      <c r="E238" s="1">
        <v>63</v>
      </c>
      <c r="F238" s="1">
        <v>73.5</v>
      </c>
      <c r="G238" s="1">
        <v>65</v>
      </c>
      <c r="H238" s="1">
        <v>63</v>
      </c>
      <c r="I238" s="1">
        <v>76</v>
      </c>
    </row>
    <row r="239" hidden="1" outlineLevel="2" spans="1:9">
      <c r="A239" s="1">
        <v>10453</v>
      </c>
      <c r="B239" s="1" t="s">
        <v>474</v>
      </c>
      <c r="C239" s="1" t="s">
        <v>17</v>
      </c>
      <c r="D239" s="1" t="s">
        <v>23</v>
      </c>
      <c r="E239" s="1">
        <v>97</v>
      </c>
      <c r="F239" s="1">
        <v>92</v>
      </c>
      <c r="G239" s="1">
        <v>87.5</v>
      </c>
      <c r="H239" s="1">
        <v>85.5</v>
      </c>
      <c r="I239" s="1">
        <v>88</v>
      </c>
    </row>
    <row r="240" hidden="1" outlineLevel="2" spans="1:9">
      <c r="A240" s="1">
        <v>10454</v>
      </c>
      <c r="B240" s="1" t="s">
        <v>475</v>
      </c>
      <c r="C240" s="1" t="s">
        <v>17</v>
      </c>
      <c r="D240" s="1" t="s">
        <v>30</v>
      </c>
      <c r="E240" s="1">
        <v>63</v>
      </c>
      <c r="F240" s="1">
        <v>58.5</v>
      </c>
      <c r="G240" s="1">
        <v>52.5</v>
      </c>
      <c r="H240" s="1">
        <v>50.5</v>
      </c>
      <c r="I240" s="1">
        <v>62</v>
      </c>
    </row>
    <row r="241" hidden="1" outlineLevel="2" spans="1:9">
      <c r="A241" s="1">
        <v>10456</v>
      </c>
      <c r="B241" s="1" t="s">
        <v>477</v>
      </c>
      <c r="C241" s="1" t="s">
        <v>17</v>
      </c>
      <c r="D241" s="1" t="s">
        <v>20</v>
      </c>
      <c r="E241" s="1">
        <v>84.5</v>
      </c>
      <c r="F241" s="1">
        <v>73</v>
      </c>
      <c r="G241" s="1">
        <v>80</v>
      </c>
      <c r="H241" s="1">
        <v>78</v>
      </c>
      <c r="I241" s="1">
        <v>84</v>
      </c>
    </row>
    <row r="242" hidden="1" outlineLevel="2" spans="1:9">
      <c r="A242" s="1">
        <v>10458</v>
      </c>
      <c r="B242" s="1" t="s">
        <v>479</v>
      </c>
      <c r="C242" s="1" t="s">
        <v>17</v>
      </c>
      <c r="D242" s="1" t="s">
        <v>30</v>
      </c>
      <c r="E242" s="1">
        <v>72.5</v>
      </c>
      <c r="F242" s="1">
        <v>75</v>
      </c>
      <c r="G242" s="1">
        <v>49.5</v>
      </c>
      <c r="H242" s="1">
        <v>47.5</v>
      </c>
      <c r="I242" s="1">
        <v>80</v>
      </c>
    </row>
    <row r="243" hidden="1" outlineLevel="2" spans="1:9">
      <c r="A243" s="1">
        <v>10461</v>
      </c>
      <c r="B243" s="1" t="s">
        <v>482</v>
      </c>
      <c r="C243" s="1" t="s">
        <v>17</v>
      </c>
      <c r="D243" s="1" t="s">
        <v>37</v>
      </c>
      <c r="E243" s="1">
        <v>96</v>
      </c>
      <c r="F243" s="1">
        <v>74.5</v>
      </c>
      <c r="G243" s="1">
        <v>87.5</v>
      </c>
      <c r="H243" s="1">
        <v>85.5</v>
      </c>
      <c r="I243" s="1">
        <v>73</v>
      </c>
    </row>
    <row r="244" hidden="1" outlineLevel="2" spans="1:9">
      <c r="A244" s="1">
        <v>10463</v>
      </c>
      <c r="B244" s="1" t="s">
        <v>484</v>
      </c>
      <c r="C244" s="1" t="s">
        <v>17</v>
      </c>
      <c r="D244" s="1" t="s">
        <v>18</v>
      </c>
      <c r="E244" s="1">
        <v>85.5</v>
      </c>
      <c r="F244" s="1">
        <v>62.5</v>
      </c>
      <c r="G244" s="1">
        <v>71.5</v>
      </c>
      <c r="H244" s="1">
        <v>69.5</v>
      </c>
      <c r="I244" s="1">
        <v>83.5</v>
      </c>
    </row>
    <row r="245" hidden="1" outlineLevel="2" spans="1:9">
      <c r="A245" s="1">
        <v>10464</v>
      </c>
      <c r="B245" s="1" t="s">
        <v>485</v>
      </c>
      <c r="C245" s="1" t="s">
        <v>17</v>
      </c>
      <c r="D245" s="1" t="s">
        <v>15</v>
      </c>
      <c r="E245" s="1">
        <v>67</v>
      </c>
      <c r="F245" s="1">
        <v>74.5</v>
      </c>
      <c r="G245" s="1">
        <v>72</v>
      </c>
      <c r="H245" s="1">
        <v>70</v>
      </c>
      <c r="I245" s="1">
        <v>57</v>
      </c>
    </row>
    <row r="246" hidden="1" outlineLevel="2" spans="1:9">
      <c r="A246" s="1">
        <v>10467</v>
      </c>
      <c r="B246" s="1" t="s">
        <v>488</v>
      </c>
      <c r="C246" s="1" t="s">
        <v>17</v>
      </c>
      <c r="D246" s="1" t="s">
        <v>37</v>
      </c>
      <c r="E246" s="1">
        <v>57</v>
      </c>
      <c r="F246" s="1">
        <v>82</v>
      </c>
      <c r="G246" s="1">
        <v>67.5</v>
      </c>
      <c r="H246" s="1">
        <v>65.5</v>
      </c>
      <c r="I246" s="1">
        <v>78.5</v>
      </c>
    </row>
    <row r="247" hidden="1" outlineLevel="2" spans="1:9">
      <c r="A247" s="1">
        <v>10469</v>
      </c>
      <c r="B247" s="1" t="s">
        <v>490</v>
      </c>
      <c r="C247" s="1" t="s">
        <v>17</v>
      </c>
      <c r="D247" s="1" t="s">
        <v>23</v>
      </c>
      <c r="E247" s="1">
        <v>79</v>
      </c>
      <c r="F247" s="1">
        <v>81.5</v>
      </c>
      <c r="G247" s="1">
        <v>79.5</v>
      </c>
      <c r="H247" s="1">
        <v>77.5</v>
      </c>
      <c r="I247" s="1">
        <v>67.5</v>
      </c>
    </row>
    <row r="248" hidden="1" outlineLevel="2" spans="1:9">
      <c r="A248" s="1">
        <v>10470</v>
      </c>
      <c r="B248" s="1" t="s">
        <v>491</v>
      </c>
      <c r="C248" s="1" t="s">
        <v>17</v>
      </c>
      <c r="D248" s="1" t="s">
        <v>18</v>
      </c>
      <c r="E248" s="1">
        <v>73.5</v>
      </c>
      <c r="F248" s="1">
        <v>62</v>
      </c>
      <c r="G248" s="1">
        <v>71.5</v>
      </c>
      <c r="H248" s="1">
        <v>69.5</v>
      </c>
      <c r="I248" s="1">
        <v>79.5</v>
      </c>
    </row>
    <row r="249" hidden="1" outlineLevel="2" spans="1:9">
      <c r="A249" s="1">
        <v>10471</v>
      </c>
      <c r="B249" s="1" t="s">
        <v>492</v>
      </c>
      <c r="C249" s="1" t="s">
        <v>17</v>
      </c>
      <c r="D249" s="1" t="s">
        <v>20</v>
      </c>
      <c r="E249" s="1">
        <v>72</v>
      </c>
      <c r="F249" s="1">
        <v>74.5</v>
      </c>
      <c r="G249" s="1">
        <v>65</v>
      </c>
      <c r="H249" s="1">
        <v>67</v>
      </c>
      <c r="I249" s="1">
        <v>62</v>
      </c>
    </row>
    <row r="250" hidden="1" outlineLevel="2" spans="1:9">
      <c r="A250" s="1">
        <v>10472</v>
      </c>
      <c r="B250" s="1" t="s">
        <v>493</v>
      </c>
      <c r="C250" s="1" t="s">
        <v>17</v>
      </c>
      <c r="D250" s="1" t="s">
        <v>37</v>
      </c>
      <c r="E250" s="1">
        <v>94.5</v>
      </c>
      <c r="F250" s="1">
        <v>81.5</v>
      </c>
      <c r="G250" s="1">
        <v>71.5</v>
      </c>
      <c r="H250" s="1">
        <v>69.5</v>
      </c>
      <c r="I250" s="1">
        <v>56</v>
      </c>
    </row>
    <row r="251" hidden="1" outlineLevel="2" spans="1:9">
      <c r="A251" s="1">
        <v>10475</v>
      </c>
      <c r="B251" s="1" t="s">
        <v>496</v>
      </c>
      <c r="C251" s="1" t="s">
        <v>17</v>
      </c>
      <c r="D251" s="1" t="s">
        <v>37</v>
      </c>
      <c r="E251" s="1">
        <v>61.5</v>
      </c>
      <c r="F251" s="1">
        <v>74.5</v>
      </c>
      <c r="G251" s="1">
        <v>72</v>
      </c>
      <c r="H251" s="1">
        <v>70</v>
      </c>
      <c r="I251" s="1">
        <v>87.5</v>
      </c>
    </row>
    <row r="252" hidden="1" outlineLevel="2" spans="1:9">
      <c r="A252" s="1">
        <v>10477</v>
      </c>
      <c r="B252" s="1" t="s">
        <v>498</v>
      </c>
      <c r="C252" s="1" t="s">
        <v>17</v>
      </c>
      <c r="D252" s="1" t="s">
        <v>37</v>
      </c>
      <c r="E252" s="1">
        <v>90</v>
      </c>
      <c r="F252" s="1">
        <v>68</v>
      </c>
      <c r="G252" s="1">
        <v>88.5</v>
      </c>
      <c r="H252" s="1">
        <v>86.5</v>
      </c>
      <c r="I252" s="1">
        <v>84.5</v>
      </c>
    </row>
    <row r="253" hidden="1" outlineLevel="2" spans="1:9">
      <c r="A253" s="1">
        <v>10479</v>
      </c>
      <c r="B253" s="1" t="s">
        <v>500</v>
      </c>
      <c r="C253" s="1" t="s">
        <v>17</v>
      </c>
      <c r="D253" s="1" t="s">
        <v>30</v>
      </c>
      <c r="E253" s="1">
        <v>72.5</v>
      </c>
      <c r="F253" s="1">
        <v>63</v>
      </c>
      <c r="G253" s="1">
        <v>76</v>
      </c>
      <c r="H253" s="1">
        <v>74</v>
      </c>
      <c r="I253" s="1">
        <v>89.5</v>
      </c>
    </row>
    <row r="254" hidden="1" outlineLevel="2" spans="1:9">
      <c r="A254" s="1">
        <v>10480</v>
      </c>
      <c r="B254" s="1" t="s">
        <v>501</v>
      </c>
      <c r="C254" s="1" t="s">
        <v>17</v>
      </c>
      <c r="D254" s="1" t="s">
        <v>20</v>
      </c>
      <c r="E254" s="1">
        <v>81</v>
      </c>
      <c r="F254" s="1">
        <v>74</v>
      </c>
      <c r="G254" s="1">
        <v>75</v>
      </c>
      <c r="H254" s="1">
        <v>90</v>
      </c>
      <c r="I254" s="1">
        <v>89.5</v>
      </c>
    </row>
    <row r="255" hidden="1" outlineLevel="2" spans="1:9">
      <c r="A255" s="1">
        <v>10481</v>
      </c>
      <c r="B255" s="1" t="s">
        <v>502</v>
      </c>
      <c r="C255" s="1" t="s">
        <v>17</v>
      </c>
      <c r="D255" s="1" t="s">
        <v>20</v>
      </c>
      <c r="E255" s="1">
        <v>95.5</v>
      </c>
      <c r="F255" s="1">
        <v>68.5</v>
      </c>
      <c r="G255" s="1">
        <v>77.5</v>
      </c>
      <c r="H255" s="1">
        <v>85</v>
      </c>
      <c r="I255" s="1">
        <v>81.5</v>
      </c>
    </row>
    <row r="256" hidden="1" outlineLevel="2" spans="1:9">
      <c r="A256" s="1">
        <v>10482</v>
      </c>
      <c r="B256" s="1" t="s">
        <v>503</v>
      </c>
      <c r="C256" s="1" t="s">
        <v>17</v>
      </c>
      <c r="D256" s="1" t="s">
        <v>30</v>
      </c>
      <c r="E256" s="1">
        <v>75</v>
      </c>
      <c r="F256" s="1">
        <v>85</v>
      </c>
      <c r="G256" s="1">
        <v>77.5</v>
      </c>
      <c r="H256" s="1">
        <v>75.5</v>
      </c>
      <c r="I256" s="1">
        <v>90</v>
      </c>
    </row>
    <row r="257" hidden="1" outlineLevel="2" spans="1:9">
      <c r="A257" s="1">
        <v>10485</v>
      </c>
      <c r="B257" s="1" t="s">
        <v>506</v>
      </c>
      <c r="C257" s="1" t="s">
        <v>17</v>
      </c>
      <c r="D257" s="1" t="s">
        <v>30</v>
      </c>
      <c r="E257" s="1">
        <v>82.5</v>
      </c>
      <c r="F257" s="1">
        <v>65.5</v>
      </c>
      <c r="G257" s="1">
        <v>73</v>
      </c>
      <c r="H257" s="1">
        <v>71</v>
      </c>
      <c r="I257" s="1">
        <v>92.5</v>
      </c>
    </row>
    <row r="258" hidden="1" outlineLevel="2" spans="1:9">
      <c r="A258" s="1">
        <v>10488</v>
      </c>
      <c r="B258" s="1" t="s">
        <v>509</v>
      </c>
      <c r="C258" s="1" t="s">
        <v>17</v>
      </c>
      <c r="D258" s="1" t="s">
        <v>15</v>
      </c>
      <c r="E258" s="1">
        <v>75.5</v>
      </c>
      <c r="F258" s="1">
        <v>57.5</v>
      </c>
      <c r="G258" s="1">
        <v>76</v>
      </c>
      <c r="H258" s="1">
        <v>60</v>
      </c>
      <c r="I258" s="1">
        <v>71</v>
      </c>
    </row>
    <row r="259" hidden="1" outlineLevel="2" spans="1:9">
      <c r="A259" s="1">
        <v>10491</v>
      </c>
      <c r="B259" s="1" t="s">
        <v>512</v>
      </c>
      <c r="C259" s="1" t="s">
        <v>17</v>
      </c>
      <c r="D259" s="1" t="s">
        <v>30</v>
      </c>
      <c r="E259" s="1">
        <v>87.5</v>
      </c>
      <c r="F259" s="1">
        <v>78</v>
      </c>
      <c r="G259" s="1">
        <v>79</v>
      </c>
      <c r="H259" s="1">
        <v>88</v>
      </c>
      <c r="I259" s="1">
        <v>76.5</v>
      </c>
    </row>
    <row r="260" hidden="1" outlineLevel="2" spans="1:9">
      <c r="A260" s="1">
        <v>10494</v>
      </c>
      <c r="B260" s="1" t="s">
        <v>515</v>
      </c>
      <c r="C260" s="1" t="s">
        <v>17</v>
      </c>
      <c r="D260" s="1" t="s">
        <v>30</v>
      </c>
      <c r="E260" s="1">
        <v>82</v>
      </c>
      <c r="F260" s="1">
        <v>70</v>
      </c>
      <c r="G260" s="1">
        <v>84</v>
      </c>
      <c r="H260" s="1">
        <v>82</v>
      </c>
      <c r="I260" s="1">
        <v>83</v>
      </c>
    </row>
    <row r="261" hidden="1" outlineLevel="2" spans="1:9">
      <c r="A261" s="1">
        <v>10496</v>
      </c>
      <c r="B261" s="1" t="s">
        <v>517</v>
      </c>
      <c r="C261" s="1" t="s">
        <v>17</v>
      </c>
      <c r="D261" s="1" t="s">
        <v>15</v>
      </c>
      <c r="E261" s="1">
        <v>80.5</v>
      </c>
      <c r="F261" s="1">
        <v>86</v>
      </c>
      <c r="G261" s="1">
        <v>69</v>
      </c>
      <c r="H261" s="1">
        <v>67</v>
      </c>
      <c r="I261" s="1">
        <v>90</v>
      </c>
    </row>
    <row r="262" hidden="1" outlineLevel="2" spans="1:9">
      <c r="A262" s="1">
        <v>10497</v>
      </c>
      <c r="B262" s="1" t="s">
        <v>518</v>
      </c>
      <c r="C262" s="1" t="s">
        <v>17</v>
      </c>
      <c r="D262" s="1" t="s">
        <v>30</v>
      </c>
      <c r="E262" s="1">
        <v>64.5</v>
      </c>
      <c r="F262" s="1">
        <v>60</v>
      </c>
      <c r="G262" s="1">
        <v>87</v>
      </c>
      <c r="H262" s="1">
        <v>85</v>
      </c>
      <c r="I262" s="1">
        <v>71</v>
      </c>
    </row>
    <row r="263" hidden="1" outlineLevel="2" spans="1:9">
      <c r="A263" s="1">
        <v>10498</v>
      </c>
      <c r="B263" s="1" t="s">
        <v>519</v>
      </c>
      <c r="C263" s="1" t="s">
        <v>17</v>
      </c>
      <c r="D263" s="1" t="s">
        <v>23</v>
      </c>
      <c r="E263" s="1">
        <v>83.5</v>
      </c>
      <c r="F263" s="1">
        <v>76.5</v>
      </c>
      <c r="G263" s="1">
        <v>92.5</v>
      </c>
      <c r="H263" s="1">
        <v>90.5</v>
      </c>
      <c r="I263" s="1">
        <v>62.5</v>
      </c>
    </row>
    <row r="264" hidden="1" outlineLevel="2" spans="1:9">
      <c r="A264" s="1">
        <v>10500</v>
      </c>
      <c r="B264" s="1" t="s">
        <v>521</v>
      </c>
      <c r="C264" s="1" t="s">
        <v>17</v>
      </c>
      <c r="D264" s="1" t="s">
        <v>37</v>
      </c>
      <c r="E264" s="1">
        <v>61</v>
      </c>
      <c r="F264" s="1">
        <v>65</v>
      </c>
      <c r="G264" s="1">
        <v>80.5</v>
      </c>
      <c r="H264" s="1">
        <v>88</v>
      </c>
      <c r="I264" s="1">
        <v>92.5</v>
      </c>
    </row>
    <row r="265" hidden="1" outlineLevel="2" spans="1:9">
      <c r="A265" s="1">
        <v>10501</v>
      </c>
      <c r="B265" s="1" t="s">
        <v>522</v>
      </c>
      <c r="C265" s="1" t="s">
        <v>17</v>
      </c>
      <c r="D265" s="1" t="s">
        <v>15</v>
      </c>
      <c r="E265" s="1">
        <v>95</v>
      </c>
      <c r="F265" s="1">
        <v>87</v>
      </c>
      <c r="G265" s="1">
        <v>85</v>
      </c>
      <c r="H265" s="1">
        <v>92</v>
      </c>
      <c r="I265" s="1">
        <v>93.5</v>
      </c>
    </row>
    <row r="266" hidden="1" outlineLevel="2" spans="1:9">
      <c r="A266" s="1">
        <v>10502</v>
      </c>
      <c r="B266" s="1" t="s">
        <v>523</v>
      </c>
      <c r="C266" s="1" t="s">
        <v>17</v>
      </c>
      <c r="D266" s="1" t="s">
        <v>30</v>
      </c>
      <c r="E266" s="1">
        <v>80</v>
      </c>
      <c r="F266" s="1">
        <v>86</v>
      </c>
      <c r="G266" s="1">
        <v>84</v>
      </c>
      <c r="H266" s="1">
        <v>78.5</v>
      </c>
      <c r="I266" s="1">
        <v>75</v>
      </c>
    </row>
    <row r="267" outlineLevel="1" collapsed="1" spans="1:9">
      <c r="A267" s="1"/>
      <c r="B267" s="1"/>
      <c r="C267" s="2" t="s">
        <v>528</v>
      </c>
      <c r="D267" s="1"/>
      <c r="E267" s="1">
        <f>SUBTOTAL(1,E2:E266)</f>
        <v>77.0301886792453</v>
      </c>
      <c r="F267" s="1"/>
      <c r="G267" s="1"/>
      <c r="H267" s="1">
        <f>SUBTOTAL(1,H2:H266)</f>
        <v>76.0528301886793</v>
      </c>
      <c r="I267" s="1"/>
    </row>
    <row r="268" hidden="1" outlineLevel="2" spans="1:9">
      <c r="A268" s="1">
        <v>10001</v>
      </c>
      <c r="B268" s="1" t="s">
        <v>13</v>
      </c>
      <c r="C268" s="1" t="s">
        <v>14</v>
      </c>
      <c r="D268" s="1" t="s">
        <v>15</v>
      </c>
      <c r="E268" s="1">
        <v>91</v>
      </c>
      <c r="F268" s="1">
        <v>98</v>
      </c>
      <c r="G268" s="1">
        <v>94</v>
      </c>
      <c r="H268" s="1">
        <v>92</v>
      </c>
      <c r="I268" s="1">
        <v>82</v>
      </c>
    </row>
    <row r="269" hidden="1" outlineLevel="2" spans="1:9">
      <c r="A269" s="1">
        <v>10003</v>
      </c>
      <c r="B269" s="1" t="s">
        <v>19</v>
      </c>
      <c r="C269" s="1" t="s">
        <v>14</v>
      </c>
      <c r="D269" s="1" t="s">
        <v>20</v>
      </c>
      <c r="E269" s="1">
        <v>66</v>
      </c>
      <c r="F269" s="1">
        <v>66</v>
      </c>
      <c r="G269" s="1">
        <v>74</v>
      </c>
      <c r="H269" s="1">
        <v>72</v>
      </c>
      <c r="I269" s="1">
        <v>83</v>
      </c>
    </row>
    <row r="270" hidden="1" outlineLevel="2" spans="1:9">
      <c r="A270" s="1">
        <v>10004</v>
      </c>
      <c r="B270" s="1" t="s">
        <v>22</v>
      </c>
      <c r="C270" s="1" t="s">
        <v>14</v>
      </c>
      <c r="D270" s="1" t="s">
        <v>23</v>
      </c>
      <c r="E270" s="1">
        <v>90.5</v>
      </c>
      <c r="F270" s="1">
        <v>50</v>
      </c>
      <c r="G270" s="1">
        <v>88</v>
      </c>
      <c r="H270" s="1">
        <v>72</v>
      </c>
      <c r="I270" s="1">
        <v>91.5</v>
      </c>
    </row>
    <row r="271" hidden="1" outlineLevel="2" spans="1:9">
      <c r="A271" s="1">
        <v>10005</v>
      </c>
      <c r="B271" s="1" t="s">
        <v>25</v>
      </c>
      <c r="C271" s="1" t="s">
        <v>14</v>
      </c>
      <c r="D271" s="1" t="s">
        <v>15</v>
      </c>
      <c r="E271" s="1">
        <v>73.5</v>
      </c>
      <c r="F271" s="1">
        <v>78</v>
      </c>
      <c r="G271" s="1">
        <v>73</v>
      </c>
      <c r="H271" s="1">
        <v>71</v>
      </c>
      <c r="I271" s="1">
        <v>77.5</v>
      </c>
    </row>
    <row r="272" hidden="1" outlineLevel="2" spans="1:9">
      <c r="A272" s="1">
        <v>10010</v>
      </c>
      <c r="B272" s="1" t="s">
        <v>32</v>
      </c>
      <c r="C272" s="1" t="s">
        <v>14</v>
      </c>
      <c r="D272" s="1" t="s">
        <v>15</v>
      </c>
      <c r="E272" s="1">
        <v>77</v>
      </c>
      <c r="F272" s="1">
        <v>90</v>
      </c>
      <c r="G272" s="1">
        <v>74.5</v>
      </c>
      <c r="H272" s="1">
        <v>72.5</v>
      </c>
      <c r="I272" s="1">
        <v>77.5</v>
      </c>
    </row>
    <row r="273" hidden="1" outlineLevel="2" spans="1:9">
      <c r="A273" s="1">
        <v>10011</v>
      </c>
      <c r="B273" s="1" t="s">
        <v>33</v>
      </c>
      <c r="C273" s="1" t="s">
        <v>14</v>
      </c>
      <c r="D273" s="1" t="s">
        <v>30</v>
      </c>
      <c r="E273" s="1">
        <v>73.5</v>
      </c>
      <c r="F273" s="1">
        <v>70</v>
      </c>
      <c r="G273" s="1">
        <v>80</v>
      </c>
      <c r="H273" s="1">
        <v>82.5</v>
      </c>
      <c r="I273" s="1">
        <v>84</v>
      </c>
    </row>
    <row r="274" hidden="1" outlineLevel="2" spans="1:9">
      <c r="A274" s="1">
        <v>10015</v>
      </c>
      <c r="B274" s="1" t="s">
        <v>38</v>
      </c>
      <c r="C274" s="1" t="s">
        <v>14</v>
      </c>
      <c r="D274" s="1" t="s">
        <v>15</v>
      </c>
      <c r="E274" s="1">
        <v>82.5</v>
      </c>
      <c r="F274" s="1">
        <v>72</v>
      </c>
      <c r="G274" s="1">
        <v>67.5</v>
      </c>
      <c r="H274" s="1">
        <v>65.5</v>
      </c>
      <c r="I274" s="1">
        <v>77.5</v>
      </c>
    </row>
    <row r="275" hidden="1" outlineLevel="2" spans="1:9">
      <c r="A275" s="1">
        <v>10018</v>
      </c>
      <c r="B275" s="1" t="s">
        <v>41</v>
      </c>
      <c r="C275" s="1" t="s">
        <v>14</v>
      </c>
      <c r="D275" s="1" t="s">
        <v>23</v>
      </c>
      <c r="E275" s="1">
        <v>73</v>
      </c>
      <c r="F275" s="1">
        <v>76</v>
      </c>
      <c r="G275" s="1">
        <v>56</v>
      </c>
      <c r="H275" s="1">
        <v>54</v>
      </c>
      <c r="I275" s="1">
        <v>73</v>
      </c>
    </row>
    <row r="276" hidden="1" outlineLevel="2" spans="1:9">
      <c r="A276" s="1">
        <v>10019</v>
      </c>
      <c r="B276" s="1" t="s">
        <v>42</v>
      </c>
      <c r="C276" s="1" t="s">
        <v>14</v>
      </c>
      <c r="D276" s="1" t="s">
        <v>30</v>
      </c>
      <c r="E276" s="1">
        <v>84</v>
      </c>
      <c r="F276" s="1">
        <v>73</v>
      </c>
      <c r="G276" s="1">
        <v>70</v>
      </c>
      <c r="H276" s="1">
        <v>76</v>
      </c>
      <c r="I276" s="1">
        <v>88</v>
      </c>
    </row>
    <row r="277" hidden="1" outlineLevel="2" spans="1:9">
      <c r="A277" s="1">
        <v>10026</v>
      </c>
      <c r="B277" s="1" t="s">
        <v>49</v>
      </c>
      <c r="C277" s="1" t="s">
        <v>14</v>
      </c>
      <c r="D277" s="1" t="s">
        <v>23</v>
      </c>
      <c r="E277" s="1">
        <v>71.5</v>
      </c>
      <c r="F277" s="1">
        <v>88</v>
      </c>
      <c r="G277" s="1">
        <v>81</v>
      </c>
      <c r="H277" s="1">
        <v>85</v>
      </c>
      <c r="I277" s="1">
        <v>82.5</v>
      </c>
    </row>
    <row r="278" hidden="1" outlineLevel="2" spans="1:9">
      <c r="A278" s="1">
        <v>10028</v>
      </c>
      <c r="B278" s="1" t="s">
        <v>51</v>
      </c>
      <c r="C278" s="1" t="s">
        <v>14</v>
      </c>
      <c r="D278" s="1" t="s">
        <v>20</v>
      </c>
      <c r="E278" s="1">
        <v>69</v>
      </c>
      <c r="F278" s="1">
        <v>68.5</v>
      </c>
      <c r="G278" s="1">
        <v>92</v>
      </c>
      <c r="H278" s="1">
        <v>90</v>
      </c>
      <c r="I278" s="1">
        <v>94.5</v>
      </c>
    </row>
    <row r="279" hidden="1" outlineLevel="2" spans="1:9">
      <c r="A279" s="1">
        <v>10030</v>
      </c>
      <c r="B279" s="1" t="s">
        <v>53</v>
      </c>
      <c r="C279" s="1" t="s">
        <v>14</v>
      </c>
      <c r="D279" s="1" t="s">
        <v>20</v>
      </c>
      <c r="E279" s="1">
        <v>69</v>
      </c>
      <c r="F279" s="1">
        <v>75</v>
      </c>
      <c r="G279" s="1">
        <v>89</v>
      </c>
      <c r="H279" s="1">
        <v>80</v>
      </c>
      <c r="I279" s="1">
        <v>75</v>
      </c>
    </row>
    <row r="280" hidden="1" outlineLevel="2" spans="1:9">
      <c r="A280" s="1">
        <v>10033</v>
      </c>
      <c r="B280" s="1" t="s">
        <v>56</v>
      </c>
      <c r="C280" s="1" t="s">
        <v>14</v>
      </c>
      <c r="D280" s="1" t="s">
        <v>20</v>
      </c>
      <c r="E280" s="1">
        <v>85</v>
      </c>
      <c r="F280" s="1">
        <v>95</v>
      </c>
      <c r="G280" s="1">
        <v>94</v>
      </c>
      <c r="H280" s="1">
        <v>86.5</v>
      </c>
      <c r="I280" s="1">
        <v>92</v>
      </c>
    </row>
    <row r="281" hidden="1" outlineLevel="2" spans="1:9">
      <c r="A281" s="1">
        <v>10038</v>
      </c>
      <c r="B281" s="1" t="s">
        <v>61</v>
      </c>
      <c r="C281" s="1" t="s">
        <v>14</v>
      </c>
      <c r="D281" s="1" t="s">
        <v>30</v>
      </c>
      <c r="E281" s="1">
        <v>77</v>
      </c>
      <c r="F281" s="1">
        <v>77</v>
      </c>
      <c r="G281" s="1">
        <v>73</v>
      </c>
      <c r="H281" s="1">
        <v>71</v>
      </c>
      <c r="I281" s="1">
        <v>73</v>
      </c>
    </row>
    <row r="282" hidden="1" outlineLevel="2" spans="1:9">
      <c r="A282" s="1">
        <v>10040</v>
      </c>
      <c r="B282" s="1" t="s">
        <v>63</v>
      </c>
      <c r="C282" s="1" t="s">
        <v>14</v>
      </c>
      <c r="D282" s="1" t="s">
        <v>18</v>
      </c>
      <c r="E282" s="1">
        <v>85.5</v>
      </c>
      <c r="F282" s="1">
        <v>66</v>
      </c>
      <c r="G282" s="1">
        <v>74</v>
      </c>
      <c r="H282" s="1">
        <v>72</v>
      </c>
      <c r="I282" s="1">
        <v>65.5</v>
      </c>
    </row>
    <row r="283" hidden="1" outlineLevel="2" spans="1:9">
      <c r="A283" s="1">
        <v>10041</v>
      </c>
      <c r="B283" s="1" t="s">
        <v>64</v>
      </c>
      <c r="C283" s="1" t="s">
        <v>14</v>
      </c>
      <c r="D283" s="1" t="s">
        <v>15</v>
      </c>
      <c r="E283" s="1">
        <v>73.5</v>
      </c>
      <c r="F283" s="1">
        <v>69</v>
      </c>
      <c r="G283" s="1">
        <v>88.5</v>
      </c>
      <c r="H283" s="1">
        <v>86.5</v>
      </c>
      <c r="I283" s="1">
        <v>74</v>
      </c>
    </row>
    <row r="284" hidden="1" outlineLevel="2" spans="1:9">
      <c r="A284" s="1">
        <v>10042</v>
      </c>
      <c r="B284" s="1" t="s">
        <v>65</v>
      </c>
      <c r="C284" s="1" t="s">
        <v>14</v>
      </c>
      <c r="D284" s="1" t="s">
        <v>18</v>
      </c>
      <c r="E284" s="1">
        <v>79.5</v>
      </c>
      <c r="F284" s="1">
        <v>81.5</v>
      </c>
      <c r="G284" s="1">
        <v>71.5</v>
      </c>
      <c r="H284" s="1">
        <v>69.5</v>
      </c>
      <c r="I284" s="1">
        <v>62</v>
      </c>
    </row>
    <row r="285" hidden="1" outlineLevel="2" spans="1:9">
      <c r="A285" s="1">
        <v>10043</v>
      </c>
      <c r="B285" s="1" t="s">
        <v>66</v>
      </c>
      <c r="C285" s="1" t="s">
        <v>14</v>
      </c>
      <c r="D285" s="1" t="s">
        <v>23</v>
      </c>
      <c r="E285" s="1">
        <v>80.5</v>
      </c>
      <c r="F285" s="1">
        <v>90</v>
      </c>
      <c r="G285" s="1">
        <v>63.5</v>
      </c>
      <c r="H285" s="1">
        <v>85</v>
      </c>
      <c r="I285" s="1">
        <v>92.5</v>
      </c>
    </row>
    <row r="286" hidden="1" outlineLevel="2" spans="1:9">
      <c r="A286" s="1">
        <v>10044</v>
      </c>
      <c r="B286" s="1" t="s">
        <v>67</v>
      </c>
      <c r="C286" s="1" t="s">
        <v>14</v>
      </c>
      <c r="D286" s="1" t="s">
        <v>20</v>
      </c>
      <c r="E286" s="1">
        <v>71.5</v>
      </c>
      <c r="F286" s="1">
        <v>60</v>
      </c>
      <c r="G286" s="1">
        <v>52</v>
      </c>
      <c r="H286" s="1">
        <v>50</v>
      </c>
      <c r="I286" s="1">
        <v>58</v>
      </c>
    </row>
    <row r="287" hidden="1" outlineLevel="2" spans="1:9">
      <c r="A287" s="1">
        <v>10045</v>
      </c>
      <c r="B287" s="1" t="s">
        <v>68</v>
      </c>
      <c r="C287" s="1" t="s">
        <v>14</v>
      </c>
      <c r="D287" s="1" t="s">
        <v>37</v>
      </c>
      <c r="E287" s="1">
        <v>60.5</v>
      </c>
      <c r="F287" s="1">
        <v>80</v>
      </c>
      <c r="G287" s="1">
        <v>80.5</v>
      </c>
      <c r="H287" s="1">
        <v>78.5</v>
      </c>
      <c r="I287" s="1">
        <v>76</v>
      </c>
    </row>
    <row r="288" hidden="1" outlineLevel="2" spans="1:9">
      <c r="A288" s="1">
        <v>10048</v>
      </c>
      <c r="B288" s="1" t="s">
        <v>71</v>
      </c>
      <c r="C288" s="1" t="s">
        <v>14</v>
      </c>
      <c r="D288" s="1" t="s">
        <v>18</v>
      </c>
      <c r="E288" s="1">
        <v>65.5</v>
      </c>
      <c r="F288" s="1">
        <v>74</v>
      </c>
      <c r="G288" s="1">
        <v>69</v>
      </c>
      <c r="H288" s="1">
        <v>67</v>
      </c>
      <c r="I288" s="1">
        <v>70</v>
      </c>
    </row>
    <row r="289" hidden="1" outlineLevel="2" spans="1:9">
      <c r="A289" s="1">
        <v>10049</v>
      </c>
      <c r="B289" s="1" t="s">
        <v>72</v>
      </c>
      <c r="C289" s="1" t="s">
        <v>14</v>
      </c>
      <c r="D289" s="1" t="s">
        <v>37</v>
      </c>
      <c r="E289" s="1">
        <v>63.5</v>
      </c>
      <c r="F289" s="1">
        <v>83</v>
      </c>
      <c r="G289" s="1">
        <v>63.5</v>
      </c>
      <c r="H289" s="1">
        <v>61.5</v>
      </c>
      <c r="I289" s="1">
        <v>70</v>
      </c>
    </row>
    <row r="290" hidden="1" outlineLevel="2" spans="1:9">
      <c r="A290" s="1">
        <v>10051</v>
      </c>
      <c r="B290" s="1" t="s">
        <v>74</v>
      </c>
      <c r="C290" s="1" t="s">
        <v>14</v>
      </c>
      <c r="D290" s="1" t="s">
        <v>18</v>
      </c>
      <c r="E290" s="1">
        <v>91</v>
      </c>
      <c r="F290" s="1">
        <v>86</v>
      </c>
      <c r="G290" s="1">
        <v>73</v>
      </c>
      <c r="H290" s="1">
        <v>71</v>
      </c>
      <c r="I290" s="1">
        <v>67.5</v>
      </c>
    </row>
    <row r="291" hidden="1" outlineLevel="2" spans="1:9">
      <c r="A291" s="1">
        <v>10055</v>
      </c>
      <c r="B291" s="1" t="s">
        <v>78</v>
      </c>
      <c r="C291" s="1" t="s">
        <v>14</v>
      </c>
      <c r="D291" s="1" t="s">
        <v>20</v>
      </c>
      <c r="E291" s="1">
        <v>81.5</v>
      </c>
      <c r="F291" s="1">
        <v>94</v>
      </c>
      <c r="G291" s="1">
        <v>94</v>
      </c>
      <c r="H291" s="1">
        <v>90</v>
      </c>
      <c r="I291" s="1">
        <v>95</v>
      </c>
    </row>
    <row r="292" hidden="1" outlineLevel="2" spans="1:9">
      <c r="A292" s="1">
        <v>10057</v>
      </c>
      <c r="B292" s="1" t="s">
        <v>80</v>
      </c>
      <c r="C292" s="1" t="s">
        <v>14</v>
      </c>
      <c r="D292" s="1" t="s">
        <v>15</v>
      </c>
      <c r="E292" s="1">
        <v>92.5</v>
      </c>
      <c r="F292" s="1">
        <v>82</v>
      </c>
      <c r="G292" s="1">
        <v>75</v>
      </c>
      <c r="H292" s="1">
        <v>73</v>
      </c>
      <c r="I292" s="1">
        <v>82</v>
      </c>
    </row>
    <row r="293" hidden="1" outlineLevel="2" spans="1:9">
      <c r="A293" s="1">
        <v>10061</v>
      </c>
      <c r="B293" s="1" t="s">
        <v>84</v>
      </c>
      <c r="C293" s="1" t="s">
        <v>14</v>
      </c>
      <c r="D293" s="1" t="s">
        <v>15</v>
      </c>
      <c r="E293" s="1">
        <v>79.5</v>
      </c>
      <c r="F293" s="1">
        <v>73</v>
      </c>
      <c r="G293" s="1">
        <v>79.5</v>
      </c>
      <c r="H293" s="1">
        <v>77.5</v>
      </c>
      <c r="I293" s="1">
        <v>70.5</v>
      </c>
    </row>
    <row r="294" hidden="1" outlineLevel="2" spans="1:9">
      <c r="A294" s="1">
        <v>10062</v>
      </c>
      <c r="B294" s="1" t="s">
        <v>85</v>
      </c>
      <c r="C294" s="1" t="s">
        <v>14</v>
      </c>
      <c r="D294" s="1" t="s">
        <v>23</v>
      </c>
      <c r="E294" s="1">
        <v>71</v>
      </c>
      <c r="F294" s="1">
        <v>60</v>
      </c>
      <c r="G294" s="1">
        <v>66.5</v>
      </c>
      <c r="H294" s="1">
        <v>64.5</v>
      </c>
      <c r="I294" s="1">
        <v>85</v>
      </c>
    </row>
    <row r="295" hidden="1" outlineLevel="2" spans="1:9">
      <c r="A295" s="1">
        <v>10063</v>
      </c>
      <c r="B295" s="1" t="s">
        <v>86</v>
      </c>
      <c r="C295" s="1" t="s">
        <v>14</v>
      </c>
      <c r="D295" s="1" t="s">
        <v>15</v>
      </c>
      <c r="E295" s="1">
        <v>64</v>
      </c>
      <c r="F295" s="1">
        <v>70.5</v>
      </c>
      <c r="G295" s="1">
        <v>62</v>
      </c>
      <c r="H295" s="1">
        <v>85</v>
      </c>
      <c r="I295" s="1">
        <v>60</v>
      </c>
    </row>
    <row r="296" hidden="1" outlineLevel="2" spans="1:9">
      <c r="A296" s="1">
        <v>10066</v>
      </c>
      <c r="B296" s="1" t="s">
        <v>89</v>
      </c>
      <c r="C296" s="1" t="s">
        <v>14</v>
      </c>
      <c r="D296" s="1" t="s">
        <v>37</v>
      </c>
      <c r="E296" s="1">
        <v>68</v>
      </c>
      <c r="F296" s="1">
        <v>81</v>
      </c>
      <c r="G296" s="1">
        <v>85.5</v>
      </c>
      <c r="H296" s="1">
        <v>83.5</v>
      </c>
      <c r="I296" s="1">
        <v>65.5</v>
      </c>
    </row>
    <row r="297" hidden="1" outlineLevel="2" spans="1:9">
      <c r="A297" s="1">
        <v>10068</v>
      </c>
      <c r="B297" s="1" t="s">
        <v>91</v>
      </c>
      <c r="C297" s="1" t="s">
        <v>14</v>
      </c>
      <c r="D297" s="1" t="s">
        <v>18</v>
      </c>
      <c r="E297" s="1">
        <v>75.5</v>
      </c>
      <c r="F297" s="1">
        <v>65.5</v>
      </c>
      <c r="G297" s="1">
        <v>73.5</v>
      </c>
      <c r="H297" s="1">
        <v>71.5</v>
      </c>
      <c r="I297" s="1">
        <v>71.5</v>
      </c>
    </row>
    <row r="298" hidden="1" outlineLevel="2" spans="1:9">
      <c r="A298" s="1">
        <v>10070</v>
      </c>
      <c r="B298" s="1" t="s">
        <v>93</v>
      </c>
      <c r="C298" s="1" t="s">
        <v>14</v>
      </c>
      <c r="D298" s="1" t="s">
        <v>20</v>
      </c>
      <c r="E298" s="1">
        <v>68.5</v>
      </c>
      <c r="F298" s="1">
        <v>63</v>
      </c>
      <c r="G298" s="1">
        <v>88</v>
      </c>
      <c r="H298" s="1">
        <v>86</v>
      </c>
      <c r="I298" s="1">
        <v>73</v>
      </c>
    </row>
    <row r="299" hidden="1" outlineLevel="2" spans="1:9">
      <c r="A299" s="1">
        <v>10073</v>
      </c>
      <c r="B299" s="1" t="s">
        <v>96</v>
      </c>
      <c r="C299" s="1" t="s">
        <v>14</v>
      </c>
      <c r="D299" s="1" t="s">
        <v>20</v>
      </c>
      <c r="E299" s="1">
        <v>82</v>
      </c>
      <c r="F299" s="1">
        <v>81</v>
      </c>
      <c r="G299" s="1">
        <v>62.5</v>
      </c>
      <c r="H299" s="1">
        <v>60.5</v>
      </c>
      <c r="I299" s="1">
        <v>92</v>
      </c>
    </row>
    <row r="300" hidden="1" outlineLevel="2" spans="1:9">
      <c r="A300" s="1">
        <v>10074</v>
      </c>
      <c r="B300" s="1" t="s">
        <v>97</v>
      </c>
      <c r="C300" s="1" t="s">
        <v>14</v>
      </c>
      <c r="D300" s="1" t="s">
        <v>23</v>
      </c>
      <c r="E300" s="1">
        <v>89</v>
      </c>
      <c r="F300" s="1">
        <v>72.5</v>
      </c>
      <c r="G300" s="1">
        <v>82.5</v>
      </c>
      <c r="H300" s="1">
        <v>80.5</v>
      </c>
      <c r="I300" s="1">
        <v>82</v>
      </c>
    </row>
    <row r="301" hidden="1" outlineLevel="2" spans="1:9">
      <c r="A301" s="1">
        <v>10076</v>
      </c>
      <c r="B301" s="1" t="s">
        <v>99</v>
      </c>
      <c r="C301" s="1" t="s">
        <v>14</v>
      </c>
      <c r="D301" s="1" t="s">
        <v>37</v>
      </c>
      <c r="E301" s="1">
        <v>81</v>
      </c>
      <c r="F301" s="1">
        <v>83</v>
      </c>
      <c r="G301" s="1">
        <v>75.5</v>
      </c>
      <c r="H301" s="1">
        <v>73.5</v>
      </c>
      <c r="I301" s="1">
        <v>62.5</v>
      </c>
    </row>
    <row r="302" hidden="1" outlineLevel="2" spans="1:9">
      <c r="A302" s="1">
        <v>10078</v>
      </c>
      <c r="B302" s="1" t="s">
        <v>101</v>
      </c>
      <c r="C302" s="1" t="s">
        <v>14</v>
      </c>
      <c r="D302" s="1" t="s">
        <v>30</v>
      </c>
      <c r="E302" s="1">
        <v>89</v>
      </c>
      <c r="F302" s="1">
        <v>75</v>
      </c>
      <c r="G302" s="1">
        <v>61</v>
      </c>
      <c r="H302" s="1">
        <v>59</v>
      </c>
      <c r="I302" s="1">
        <v>76.5</v>
      </c>
    </row>
    <row r="303" hidden="1" outlineLevel="2" spans="1:9">
      <c r="A303" s="1">
        <v>10085</v>
      </c>
      <c r="B303" s="1" t="s">
        <v>108</v>
      </c>
      <c r="C303" s="1" t="s">
        <v>14</v>
      </c>
      <c r="D303" s="1" t="s">
        <v>30</v>
      </c>
      <c r="E303" s="1">
        <v>81</v>
      </c>
      <c r="F303" s="1">
        <v>74.5</v>
      </c>
      <c r="G303" s="1">
        <v>75</v>
      </c>
      <c r="H303" s="1">
        <v>88</v>
      </c>
      <c r="I303" s="1">
        <v>90</v>
      </c>
    </row>
    <row r="304" hidden="1" outlineLevel="2" spans="1:9">
      <c r="A304" s="1">
        <v>10086</v>
      </c>
      <c r="B304" s="1" t="s">
        <v>109</v>
      </c>
      <c r="C304" s="1" t="s">
        <v>14</v>
      </c>
      <c r="D304" s="1" t="s">
        <v>20</v>
      </c>
      <c r="E304" s="1">
        <v>93</v>
      </c>
      <c r="F304" s="1">
        <v>88</v>
      </c>
      <c r="G304" s="1">
        <v>98</v>
      </c>
      <c r="H304" s="1">
        <v>85</v>
      </c>
      <c r="I304" s="1">
        <v>94</v>
      </c>
    </row>
    <row r="305" hidden="1" outlineLevel="2" spans="1:9">
      <c r="A305" s="1">
        <v>10088</v>
      </c>
      <c r="B305" s="1" t="s">
        <v>111</v>
      </c>
      <c r="C305" s="1" t="s">
        <v>14</v>
      </c>
      <c r="D305" s="1" t="s">
        <v>15</v>
      </c>
      <c r="E305" s="1">
        <v>81.5</v>
      </c>
      <c r="F305" s="1">
        <v>76.5</v>
      </c>
      <c r="G305" s="1">
        <v>72</v>
      </c>
      <c r="H305" s="1">
        <v>70</v>
      </c>
      <c r="I305" s="1">
        <v>82.5</v>
      </c>
    </row>
    <row r="306" hidden="1" outlineLevel="2" spans="1:9">
      <c r="A306" s="1">
        <v>10090</v>
      </c>
      <c r="B306" s="1" t="s">
        <v>113</v>
      </c>
      <c r="C306" s="1" t="s">
        <v>14</v>
      </c>
      <c r="D306" s="1" t="s">
        <v>23</v>
      </c>
      <c r="E306" s="1">
        <v>76.5</v>
      </c>
      <c r="F306" s="1">
        <v>76</v>
      </c>
      <c r="G306" s="1">
        <v>87</v>
      </c>
      <c r="H306" s="1">
        <v>87</v>
      </c>
      <c r="I306" s="1">
        <v>82</v>
      </c>
    </row>
    <row r="307" hidden="1" outlineLevel="2" spans="1:9">
      <c r="A307" s="1">
        <v>10092</v>
      </c>
      <c r="B307" s="1" t="s">
        <v>115</v>
      </c>
      <c r="C307" s="1" t="s">
        <v>14</v>
      </c>
      <c r="D307" s="1" t="s">
        <v>18</v>
      </c>
      <c r="E307" s="1">
        <v>91</v>
      </c>
      <c r="F307" s="1">
        <v>83.5</v>
      </c>
      <c r="G307" s="1">
        <v>82.5</v>
      </c>
      <c r="H307" s="1">
        <v>80.5</v>
      </c>
      <c r="I307" s="1">
        <v>84</v>
      </c>
    </row>
    <row r="308" hidden="1" outlineLevel="2" spans="1:9">
      <c r="A308" s="1">
        <v>10093</v>
      </c>
      <c r="B308" s="1" t="s">
        <v>116</v>
      </c>
      <c r="C308" s="1" t="s">
        <v>14</v>
      </c>
      <c r="D308" s="1" t="s">
        <v>30</v>
      </c>
      <c r="E308" s="1">
        <v>72</v>
      </c>
      <c r="F308" s="1">
        <v>94.5</v>
      </c>
      <c r="G308" s="1">
        <v>70.5</v>
      </c>
      <c r="H308" s="1">
        <v>68.5</v>
      </c>
      <c r="I308" s="1">
        <v>84.5</v>
      </c>
    </row>
    <row r="309" hidden="1" outlineLevel="2" spans="1:9">
      <c r="A309" s="1">
        <v>10096</v>
      </c>
      <c r="B309" s="1" t="s">
        <v>119</v>
      </c>
      <c r="C309" s="1" t="s">
        <v>14</v>
      </c>
      <c r="D309" s="1" t="s">
        <v>37</v>
      </c>
      <c r="E309" s="1">
        <v>81.5</v>
      </c>
      <c r="F309" s="1">
        <v>74</v>
      </c>
      <c r="G309" s="1">
        <v>71</v>
      </c>
      <c r="H309" s="1">
        <v>69</v>
      </c>
      <c r="I309" s="1">
        <v>64</v>
      </c>
    </row>
    <row r="310" hidden="1" outlineLevel="2" spans="1:9">
      <c r="A310" s="1">
        <v>10097</v>
      </c>
      <c r="B310" s="1" t="s">
        <v>120</v>
      </c>
      <c r="C310" s="1" t="s">
        <v>14</v>
      </c>
      <c r="D310" s="1" t="s">
        <v>18</v>
      </c>
      <c r="E310" s="1">
        <v>75.5</v>
      </c>
      <c r="F310" s="1">
        <v>74</v>
      </c>
      <c r="G310" s="1">
        <v>76</v>
      </c>
      <c r="H310" s="1">
        <v>74</v>
      </c>
      <c r="I310" s="1">
        <v>73.5</v>
      </c>
    </row>
    <row r="311" hidden="1" outlineLevel="2" spans="1:9">
      <c r="A311" s="1">
        <v>10098</v>
      </c>
      <c r="B311" s="1" t="s">
        <v>121</v>
      </c>
      <c r="C311" s="1" t="s">
        <v>14</v>
      </c>
      <c r="D311" s="1" t="s">
        <v>23</v>
      </c>
      <c r="E311" s="1">
        <v>67.5</v>
      </c>
      <c r="F311" s="1">
        <v>82</v>
      </c>
      <c r="G311" s="1">
        <v>95.5</v>
      </c>
      <c r="H311" s="1">
        <v>93.5</v>
      </c>
      <c r="I311" s="1">
        <v>75</v>
      </c>
    </row>
    <row r="312" hidden="1" outlineLevel="2" spans="1:9">
      <c r="A312" s="1">
        <v>10102</v>
      </c>
      <c r="B312" s="1" t="s">
        <v>125</v>
      </c>
      <c r="C312" s="1" t="s">
        <v>14</v>
      </c>
      <c r="D312" s="1" t="s">
        <v>23</v>
      </c>
      <c r="E312" s="1">
        <v>73</v>
      </c>
      <c r="F312" s="1">
        <v>67.5</v>
      </c>
      <c r="G312" s="1">
        <v>79</v>
      </c>
      <c r="H312" s="1">
        <v>77</v>
      </c>
      <c r="I312" s="1">
        <v>90</v>
      </c>
    </row>
    <row r="313" hidden="1" outlineLevel="2" spans="1:9">
      <c r="A313" s="1">
        <v>10103</v>
      </c>
      <c r="B313" s="1" t="s">
        <v>126</v>
      </c>
      <c r="C313" s="1" t="s">
        <v>14</v>
      </c>
      <c r="D313" s="1" t="s">
        <v>20</v>
      </c>
      <c r="E313" s="1">
        <v>89</v>
      </c>
      <c r="F313" s="1">
        <v>91</v>
      </c>
      <c r="G313" s="1">
        <v>96</v>
      </c>
      <c r="H313" s="1">
        <v>96.5</v>
      </c>
      <c r="I313" s="1">
        <v>88</v>
      </c>
    </row>
    <row r="314" hidden="1" outlineLevel="2" spans="1:9">
      <c r="A314" s="1">
        <v>10105</v>
      </c>
      <c r="B314" s="1" t="s">
        <v>128</v>
      </c>
      <c r="C314" s="1" t="s">
        <v>14</v>
      </c>
      <c r="D314" s="1" t="s">
        <v>15</v>
      </c>
      <c r="E314" s="1">
        <v>74.5</v>
      </c>
      <c r="F314" s="1">
        <v>76.5</v>
      </c>
      <c r="G314" s="1">
        <v>78</v>
      </c>
      <c r="H314" s="1">
        <v>76</v>
      </c>
      <c r="I314" s="1">
        <v>79</v>
      </c>
    </row>
    <row r="315" hidden="1" outlineLevel="2" spans="1:9">
      <c r="A315" s="1">
        <v>10106</v>
      </c>
      <c r="B315" s="1" t="s">
        <v>129</v>
      </c>
      <c r="C315" s="1" t="s">
        <v>14</v>
      </c>
      <c r="D315" s="1" t="s">
        <v>15</v>
      </c>
      <c r="E315" s="1">
        <v>74.5</v>
      </c>
      <c r="F315" s="1">
        <v>95</v>
      </c>
      <c r="G315" s="1">
        <v>75.5</v>
      </c>
      <c r="H315" s="1">
        <v>85</v>
      </c>
      <c r="I315" s="1">
        <v>78.5</v>
      </c>
    </row>
    <row r="316" hidden="1" outlineLevel="2" spans="1:9">
      <c r="A316" s="1">
        <v>10108</v>
      </c>
      <c r="B316" s="1" t="s">
        <v>131</v>
      </c>
      <c r="C316" s="1" t="s">
        <v>14</v>
      </c>
      <c r="D316" s="1" t="s">
        <v>37</v>
      </c>
      <c r="E316" s="1">
        <v>73</v>
      </c>
      <c r="F316" s="1">
        <v>76</v>
      </c>
      <c r="G316" s="1">
        <v>67.5</v>
      </c>
      <c r="H316" s="1">
        <v>65.5</v>
      </c>
      <c r="I316" s="1">
        <v>76.5</v>
      </c>
    </row>
    <row r="317" hidden="1" outlineLevel="2" spans="1:9">
      <c r="A317" s="1">
        <v>10109</v>
      </c>
      <c r="B317" s="1" t="s">
        <v>132</v>
      </c>
      <c r="C317" s="1" t="s">
        <v>14</v>
      </c>
      <c r="D317" s="1" t="s">
        <v>18</v>
      </c>
      <c r="E317" s="1">
        <v>74.5</v>
      </c>
      <c r="F317" s="1">
        <v>71.5</v>
      </c>
      <c r="G317" s="1">
        <v>82.5</v>
      </c>
      <c r="H317" s="1">
        <v>80.5</v>
      </c>
      <c r="I317" s="1">
        <v>83</v>
      </c>
    </row>
    <row r="318" hidden="1" outlineLevel="2" spans="1:9">
      <c r="A318" s="1">
        <v>10116</v>
      </c>
      <c r="B318" s="1" t="s">
        <v>139</v>
      </c>
      <c r="C318" s="1" t="s">
        <v>14</v>
      </c>
      <c r="D318" s="1" t="s">
        <v>23</v>
      </c>
      <c r="E318" s="1">
        <v>75</v>
      </c>
      <c r="F318" s="1">
        <v>76</v>
      </c>
      <c r="G318" s="1">
        <v>73.5</v>
      </c>
      <c r="H318" s="1">
        <v>71.5</v>
      </c>
      <c r="I318" s="1">
        <v>90</v>
      </c>
    </row>
    <row r="319" hidden="1" outlineLevel="2" spans="1:9">
      <c r="A319" s="1">
        <v>10117</v>
      </c>
      <c r="B319" s="1" t="s">
        <v>140</v>
      </c>
      <c r="C319" s="1" t="s">
        <v>14</v>
      </c>
      <c r="D319" s="1" t="s">
        <v>20</v>
      </c>
      <c r="E319" s="1">
        <v>65.5</v>
      </c>
      <c r="F319" s="1">
        <v>62</v>
      </c>
      <c r="G319" s="1">
        <v>83.5</v>
      </c>
      <c r="H319" s="1">
        <v>81.5</v>
      </c>
      <c r="I319" s="1">
        <v>89.5</v>
      </c>
    </row>
    <row r="320" hidden="1" outlineLevel="2" spans="1:9">
      <c r="A320" s="1">
        <v>10118</v>
      </c>
      <c r="B320" s="1" t="s">
        <v>141</v>
      </c>
      <c r="C320" s="1" t="s">
        <v>14</v>
      </c>
      <c r="D320" s="1" t="s">
        <v>23</v>
      </c>
      <c r="E320" s="1">
        <v>79</v>
      </c>
      <c r="F320" s="1">
        <v>76.5</v>
      </c>
      <c r="G320" s="1">
        <v>80.5</v>
      </c>
      <c r="H320" s="1">
        <v>78.5</v>
      </c>
      <c r="I320" s="1">
        <v>66.5</v>
      </c>
    </row>
    <row r="321" hidden="1" outlineLevel="2" spans="1:9">
      <c r="A321" s="1">
        <v>10119</v>
      </c>
      <c r="B321" s="1" t="s">
        <v>142</v>
      </c>
      <c r="C321" s="1" t="s">
        <v>14</v>
      </c>
      <c r="D321" s="1" t="s">
        <v>30</v>
      </c>
      <c r="E321" s="1">
        <v>93</v>
      </c>
      <c r="F321" s="1">
        <v>92</v>
      </c>
      <c r="G321" s="1">
        <v>86.5</v>
      </c>
      <c r="H321" s="1">
        <v>84.5</v>
      </c>
      <c r="I321" s="1">
        <v>97</v>
      </c>
    </row>
    <row r="322" hidden="1" outlineLevel="2" spans="1:9">
      <c r="A322" s="1">
        <v>10122</v>
      </c>
      <c r="B322" s="1" t="s">
        <v>145</v>
      </c>
      <c r="C322" s="1" t="s">
        <v>14</v>
      </c>
      <c r="D322" s="1" t="s">
        <v>15</v>
      </c>
      <c r="E322" s="1">
        <v>92</v>
      </c>
      <c r="F322" s="1">
        <v>76.5</v>
      </c>
      <c r="G322" s="1">
        <v>69</v>
      </c>
      <c r="H322" s="1">
        <v>67</v>
      </c>
      <c r="I322" s="1">
        <v>80</v>
      </c>
    </row>
    <row r="323" hidden="1" outlineLevel="2" spans="1:9">
      <c r="A323" s="1">
        <v>10126</v>
      </c>
      <c r="B323" s="1" t="s">
        <v>149</v>
      </c>
      <c r="C323" s="1" t="s">
        <v>14</v>
      </c>
      <c r="D323" s="1" t="s">
        <v>37</v>
      </c>
      <c r="E323" s="1">
        <v>80</v>
      </c>
      <c r="F323" s="1">
        <v>82</v>
      </c>
      <c r="G323" s="1">
        <v>86.5</v>
      </c>
      <c r="H323" s="1">
        <v>84.5</v>
      </c>
      <c r="I323" s="1">
        <v>76</v>
      </c>
    </row>
    <row r="324" hidden="1" outlineLevel="2" spans="1:9">
      <c r="A324" s="1">
        <v>10127</v>
      </c>
      <c r="B324" s="1" t="s">
        <v>150</v>
      </c>
      <c r="C324" s="1" t="s">
        <v>14</v>
      </c>
      <c r="D324" s="1" t="s">
        <v>30</v>
      </c>
      <c r="E324" s="1">
        <v>79.5</v>
      </c>
      <c r="F324" s="1">
        <v>78.5</v>
      </c>
      <c r="G324" s="1">
        <v>74.5</v>
      </c>
      <c r="H324" s="1">
        <v>72.5</v>
      </c>
      <c r="I324" s="1">
        <v>73</v>
      </c>
    </row>
    <row r="325" hidden="1" outlineLevel="2" spans="1:9">
      <c r="A325" s="1">
        <v>10128</v>
      </c>
      <c r="B325" s="1" t="s">
        <v>151</v>
      </c>
      <c r="C325" s="1" t="s">
        <v>14</v>
      </c>
      <c r="D325" s="1" t="s">
        <v>18</v>
      </c>
      <c r="E325" s="1">
        <v>82</v>
      </c>
      <c r="F325" s="1">
        <v>80.5</v>
      </c>
      <c r="G325" s="1">
        <v>77.5</v>
      </c>
      <c r="H325" s="1">
        <v>75.5</v>
      </c>
      <c r="I325" s="1">
        <v>64</v>
      </c>
    </row>
    <row r="326" hidden="1" outlineLevel="2" spans="1:9">
      <c r="A326" s="1">
        <v>10130</v>
      </c>
      <c r="B326" s="1" t="s">
        <v>153</v>
      </c>
      <c r="C326" s="1" t="s">
        <v>14</v>
      </c>
      <c r="D326" s="1" t="s">
        <v>20</v>
      </c>
      <c r="E326" s="1">
        <v>76.5</v>
      </c>
      <c r="F326" s="1">
        <v>84.5</v>
      </c>
      <c r="G326" s="1">
        <v>97</v>
      </c>
      <c r="H326" s="1">
        <v>95</v>
      </c>
      <c r="I326" s="1">
        <v>79.5</v>
      </c>
    </row>
    <row r="327" hidden="1" outlineLevel="2" spans="1:9">
      <c r="A327" s="1">
        <v>10132</v>
      </c>
      <c r="B327" s="1" t="s">
        <v>155</v>
      </c>
      <c r="C327" s="1" t="s">
        <v>14</v>
      </c>
      <c r="D327" s="1" t="s">
        <v>20</v>
      </c>
      <c r="E327" s="1">
        <v>85</v>
      </c>
      <c r="F327" s="1">
        <v>84.5</v>
      </c>
      <c r="G327" s="1">
        <v>76</v>
      </c>
      <c r="H327" s="1">
        <v>74</v>
      </c>
      <c r="I327" s="1">
        <v>74.5</v>
      </c>
    </row>
    <row r="328" hidden="1" outlineLevel="2" spans="1:9">
      <c r="A328" s="1">
        <v>10134</v>
      </c>
      <c r="B328" s="1" t="s">
        <v>157</v>
      </c>
      <c r="C328" s="1" t="s">
        <v>14</v>
      </c>
      <c r="D328" s="1" t="s">
        <v>37</v>
      </c>
      <c r="E328" s="1">
        <v>61</v>
      </c>
      <c r="F328" s="1">
        <v>68</v>
      </c>
      <c r="G328" s="1">
        <v>79</v>
      </c>
      <c r="H328" s="1">
        <v>77</v>
      </c>
      <c r="I328" s="1">
        <v>94</v>
      </c>
    </row>
    <row r="329" hidden="1" outlineLevel="2" spans="1:9">
      <c r="A329" s="1">
        <v>10136</v>
      </c>
      <c r="B329" s="1" t="s">
        <v>159</v>
      </c>
      <c r="C329" s="1" t="s">
        <v>14</v>
      </c>
      <c r="D329" s="1" t="s">
        <v>30</v>
      </c>
      <c r="E329" s="1">
        <v>53.5</v>
      </c>
      <c r="F329" s="1">
        <v>76.5</v>
      </c>
      <c r="G329" s="1">
        <v>74.5</v>
      </c>
      <c r="H329" s="1">
        <v>72.5</v>
      </c>
      <c r="I329" s="1">
        <v>60</v>
      </c>
    </row>
    <row r="330" hidden="1" outlineLevel="2" spans="1:9">
      <c r="A330" s="1">
        <v>10139</v>
      </c>
      <c r="B330" s="1" t="s">
        <v>162</v>
      </c>
      <c r="C330" s="1" t="s">
        <v>14</v>
      </c>
      <c r="D330" s="1" t="s">
        <v>37</v>
      </c>
      <c r="E330" s="1">
        <v>81</v>
      </c>
      <c r="F330" s="1">
        <v>95.5</v>
      </c>
      <c r="G330" s="1">
        <v>81.5</v>
      </c>
      <c r="H330" s="1">
        <v>79.5</v>
      </c>
      <c r="I330" s="1">
        <v>75.5</v>
      </c>
    </row>
    <row r="331" hidden="1" outlineLevel="2" spans="1:9">
      <c r="A331" s="1">
        <v>10141</v>
      </c>
      <c r="B331" s="1" t="s">
        <v>164</v>
      </c>
      <c r="C331" s="1" t="s">
        <v>14</v>
      </c>
      <c r="D331" s="1" t="s">
        <v>15</v>
      </c>
      <c r="E331" s="1">
        <v>75.5</v>
      </c>
      <c r="F331" s="1">
        <v>70.5</v>
      </c>
      <c r="G331" s="1">
        <v>85.5</v>
      </c>
      <c r="H331" s="1">
        <v>83.5</v>
      </c>
      <c r="I331" s="1">
        <v>73.5</v>
      </c>
    </row>
    <row r="332" hidden="1" outlineLevel="2" spans="1:9">
      <c r="A332" s="1">
        <v>10142</v>
      </c>
      <c r="B332" s="1" t="s">
        <v>165</v>
      </c>
      <c r="C332" s="1" t="s">
        <v>14</v>
      </c>
      <c r="D332" s="1" t="s">
        <v>18</v>
      </c>
      <c r="E332" s="1">
        <v>72.5</v>
      </c>
      <c r="F332" s="1">
        <v>91.5</v>
      </c>
      <c r="G332" s="1">
        <v>72</v>
      </c>
      <c r="H332" s="1">
        <v>70</v>
      </c>
      <c r="I332" s="1">
        <v>82</v>
      </c>
    </row>
    <row r="333" hidden="1" outlineLevel="2" spans="1:9">
      <c r="A333" s="1">
        <v>10143</v>
      </c>
      <c r="B333" s="1" t="s">
        <v>166</v>
      </c>
      <c r="C333" s="1" t="s">
        <v>14</v>
      </c>
      <c r="D333" s="1" t="s">
        <v>30</v>
      </c>
      <c r="E333" s="1">
        <v>67.5</v>
      </c>
      <c r="F333" s="1">
        <v>70.5</v>
      </c>
      <c r="G333" s="1">
        <v>75.5</v>
      </c>
      <c r="H333" s="1">
        <v>73.5</v>
      </c>
      <c r="I333" s="1">
        <v>90</v>
      </c>
    </row>
    <row r="334" hidden="1" outlineLevel="2" spans="1:9">
      <c r="A334" s="1">
        <v>10146</v>
      </c>
      <c r="B334" s="1" t="s">
        <v>169</v>
      </c>
      <c r="C334" s="1" t="s">
        <v>14</v>
      </c>
      <c r="D334" s="1" t="s">
        <v>20</v>
      </c>
      <c r="E334" s="1">
        <v>70.5</v>
      </c>
      <c r="F334" s="1">
        <v>83.5</v>
      </c>
      <c r="G334" s="1">
        <v>69.5</v>
      </c>
      <c r="H334" s="1">
        <v>67.5</v>
      </c>
      <c r="I334" s="1">
        <v>78</v>
      </c>
    </row>
    <row r="335" hidden="1" outlineLevel="2" spans="1:9">
      <c r="A335" s="1">
        <v>10151</v>
      </c>
      <c r="B335" s="1" t="s">
        <v>174</v>
      </c>
      <c r="C335" s="1" t="s">
        <v>14</v>
      </c>
      <c r="D335" s="1" t="s">
        <v>18</v>
      </c>
      <c r="E335" s="1">
        <v>82.5</v>
      </c>
      <c r="F335" s="1">
        <v>68.5</v>
      </c>
      <c r="G335" s="1">
        <v>82</v>
      </c>
      <c r="H335" s="1">
        <v>80</v>
      </c>
      <c r="I335" s="1">
        <v>79</v>
      </c>
    </row>
    <row r="336" hidden="1" outlineLevel="2" spans="1:9">
      <c r="A336" s="1">
        <v>10152</v>
      </c>
      <c r="B336" s="1" t="s">
        <v>175</v>
      </c>
      <c r="C336" s="1" t="s">
        <v>14</v>
      </c>
      <c r="D336" s="1" t="s">
        <v>30</v>
      </c>
      <c r="E336" s="1">
        <v>79.5</v>
      </c>
      <c r="F336" s="1">
        <v>55.5</v>
      </c>
      <c r="G336" s="1">
        <v>80</v>
      </c>
      <c r="H336" s="1">
        <v>78</v>
      </c>
      <c r="I336" s="1">
        <v>76.5</v>
      </c>
    </row>
    <row r="337" hidden="1" outlineLevel="2" spans="1:9">
      <c r="A337" s="1">
        <v>10157</v>
      </c>
      <c r="B337" s="1" t="s">
        <v>180</v>
      </c>
      <c r="C337" s="1" t="s">
        <v>14</v>
      </c>
      <c r="D337" s="1" t="s">
        <v>15</v>
      </c>
      <c r="E337" s="1">
        <v>85.5</v>
      </c>
      <c r="F337" s="1">
        <v>76</v>
      </c>
      <c r="G337" s="1">
        <v>86</v>
      </c>
      <c r="H337" s="1">
        <v>84</v>
      </c>
      <c r="I337" s="1">
        <v>79.5</v>
      </c>
    </row>
    <row r="338" hidden="1" outlineLevel="2" spans="1:9">
      <c r="A338" s="1">
        <v>10158</v>
      </c>
      <c r="B338" s="1" t="s">
        <v>181</v>
      </c>
      <c r="C338" s="1" t="s">
        <v>14</v>
      </c>
      <c r="D338" s="1" t="s">
        <v>30</v>
      </c>
      <c r="E338" s="1">
        <v>91</v>
      </c>
      <c r="F338" s="1">
        <v>91</v>
      </c>
      <c r="G338" s="1">
        <v>95</v>
      </c>
      <c r="H338" s="1">
        <v>79.5</v>
      </c>
      <c r="I338" s="1">
        <v>74</v>
      </c>
    </row>
    <row r="339" hidden="1" outlineLevel="2" spans="1:9">
      <c r="A339" s="1">
        <v>10160</v>
      </c>
      <c r="B339" s="1" t="s">
        <v>183</v>
      </c>
      <c r="C339" s="1" t="s">
        <v>14</v>
      </c>
      <c r="D339" s="1" t="s">
        <v>15</v>
      </c>
      <c r="E339" s="1">
        <v>83</v>
      </c>
      <c r="F339" s="1">
        <v>66.5</v>
      </c>
      <c r="G339" s="1">
        <v>74</v>
      </c>
      <c r="H339" s="1">
        <v>72</v>
      </c>
      <c r="I339" s="1">
        <v>76</v>
      </c>
    </row>
    <row r="340" hidden="1" outlineLevel="2" spans="1:9">
      <c r="A340" s="1">
        <v>10161</v>
      </c>
      <c r="B340" s="1" t="s">
        <v>184</v>
      </c>
      <c r="C340" s="1" t="s">
        <v>14</v>
      </c>
      <c r="D340" s="1" t="s">
        <v>23</v>
      </c>
      <c r="E340" s="1">
        <v>84</v>
      </c>
      <c r="F340" s="1">
        <v>82</v>
      </c>
      <c r="G340" s="1">
        <v>81</v>
      </c>
      <c r="H340" s="1">
        <v>79</v>
      </c>
      <c r="I340" s="1">
        <v>83</v>
      </c>
    </row>
    <row r="341" hidden="1" outlineLevel="2" spans="1:9">
      <c r="A341" s="1">
        <v>10162</v>
      </c>
      <c r="B341" s="1" t="s">
        <v>185</v>
      </c>
      <c r="C341" s="1" t="s">
        <v>14</v>
      </c>
      <c r="D341" s="1" t="s">
        <v>23</v>
      </c>
      <c r="E341" s="1">
        <v>77</v>
      </c>
      <c r="F341" s="1">
        <v>84.5</v>
      </c>
      <c r="G341" s="1">
        <v>72.5</v>
      </c>
      <c r="H341" s="1">
        <v>70.5</v>
      </c>
      <c r="I341" s="1">
        <v>71.5</v>
      </c>
    </row>
    <row r="342" hidden="1" outlineLevel="2" spans="1:9">
      <c r="A342" s="1">
        <v>10163</v>
      </c>
      <c r="B342" s="1" t="s">
        <v>186</v>
      </c>
      <c r="C342" s="1" t="s">
        <v>14</v>
      </c>
      <c r="D342" s="1" t="s">
        <v>15</v>
      </c>
      <c r="E342" s="1">
        <v>75.5</v>
      </c>
      <c r="F342" s="1">
        <v>91.5</v>
      </c>
      <c r="G342" s="1">
        <v>83.5</v>
      </c>
      <c r="H342" s="1">
        <v>81.5</v>
      </c>
      <c r="I342" s="1">
        <v>83</v>
      </c>
    </row>
    <row r="343" hidden="1" outlineLevel="2" spans="1:9">
      <c r="A343" s="1">
        <v>10164</v>
      </c>
      <c r="B343" s="1" t="s">
        <v>187</v>
      </c>
      <c r="C343" s="1" t="s">
        <v>14</v>
      </c>
      <c r="D343" s="1" t="s">
        <v>23</v>
      </c>
      <c r="E343" s="1">
        <v>75.5</v>
      </c>
      <c r="F343" s="1">
        <v>68</v>
      </c>
      <c r="G343" s="1">
        <v>81</v>
      </c>
      <c r="H343" s="1">
        <v>79</v>
      </c>
      <c r="I343" s="1">
        <v>63.5</v>
      </c>
    </row>
    <row r="344" hidden="1" outlineLevel="2" spans="1:9">
      <c r="A344" s="1">
        <v>10165</v>
      </c>
      <c r="B344" s="1" t="s">
        <v>188</v>
      </c>
      <c r="C344" s="1" t="s">
        <v>14</v>
      </c>
      <c r="D344" s="1" t="s">
        <v>30</v>
      </c>
      <c r="E344" s="1">
        <v>75</v>
      </c>
      <c r="F344" s="1">
        <v>65.5</v>
      </c>
      <c r="G344" s="1">
        <v>80.5</v>
      </c>
      <c r="H344" s="1">
        <v>78.5</v>
      </c>
      <c r="I344" s="1">
        <v>87</v>
      </c>
    </row>
    <row r="345" hidden="1" outlineLevel="2" spans="1:9">
      <c r="A345" s="1">
        <v>10166</v>
      </c>
      <c r="B345" s="1" t="s">
        <v>189</v>
      </c>
      <c r="C345" s="1" t="s">
        <v>14</v>
      </c>
      <c r="D345" s="1" t="s">
        <v>23</v>
      </c>
      <c r="E345" s="1">
        <v>75.5</v>
      </c>
      <c r="F345" s="1">
        <v>65.5</v>
      </c>
      <c r="G345" s="1">
        <v>80</v>
      </c>
      <c r="H345" s="1">
        <v>78</v>
      </c>
      <c r="I345" s="1">
        <v>87.5</v>
      </c>
    </row>
    <row r="346" hidden="1" outlineLevel="2" spans="1:9">
      <c r="A346" s="1">
        <v>10167</v>
      </c>
      <c r="B346" s="1" t="s">
        <v>190</v>
      </c>
      <c r="C346" s="1" t="s">
        <v>14</v>
      </c>
      <c r="D346" s="1" t="s">
        <v>30</v>
      </c>
      <c r="E346" s="1">
        <v>76</v>
      </c>
      <c r="F346" s="1">
        <v>71.5</v>
      </c>
      <c r="G346" s="1">
        <v>81.5</v>
      </c>
      <c r="H346" s="1">
        <v>79.5</v>
      </c>
      <c r="I346" s="1">
        <v>74</v>
      </c>
    </row>
    <row r="347" hidden="1" outlineLevel="2" spans="1:9">
      <c r="A347" s="1">
        <v>10170</v>
      </c>
      <c r="B347" s="1" t="s">
        <v>193</v>
      </c>
      <c r="C347" s="1" t="s">
        <v>14</v>
      </c>
      <c r="D347" s="1" t="s">
        <v>18</v>
      </c>
      <c r="E347" s="1">
        <v>69.5</v>
      </c>
      <c r="F347" s="1">
        <v>75</v>
      </c>
      <c r="G347" s="1">
        <v>81.5</v>
      </c>
      <c r="H347" s="1">
        <v>79.5</v>
      </c>
      <c r="I347" s="1">
        <v>71.5</v>
      </c>
    </row>
    <row r="348" hidden="1" outlineLevel="2" spans="1:9">
      <c r="A348" s="1">
        <v>10171</v>
      </c>
      <c r="B348" s="1" t="s">
        <v>194</v>
      </c>
      <c r="C348" s="1" t="s">
        <v>14</v>
      </c>
      <c r="D348" s="1" t="s">
        <v>37</v>
      </c>
      <c r="E348" s="1">
        <v>62.5</v>
      </c>
      <c r="F348" s="1">
        <v>82.5</v>
      </c>
      <c r="G348" s="1">
        <v>83.5</v>
      </c>
      <c r="H348" s="1">
        <v>81.5</v>
      </c>
      <c r="I348" s="1">
        <v>87</v>
      </c>
    </row>
    <row r="349" hidden="1" outlineLevel="2" spans="1:9">
      <c r="A349" s="1">
        <v>10172</v>
      </c>
      <c r="B349" s="1" t="s">
        <v>195</v>
      </c>
      <c r="C349" s="1" t="s">
        <v>14</v>
      </c>
      <c r="D349" s="1" t="s">
        <v>30</v>
      </c>
      <c r="E349" s="1">
        <v>51</v>
      </c>
      <c r="F349" s="1">
        <v>62</v>
      </c>
      <c r="G349" s="1">
        <v>63</v>
      </c>
      <c r="H349" s="1">
        <v>61</v>
      </c>
      <c r="I349" s="1">
        <v>87.5</v>
      </c>
    </row>
    <row r="350" hidden="1" outlineLevel="2" spans="1:9">
      <c r="A350" s="1">
        <v>10173</v>
      </c>
      <c r="B350" s="1" t="s">
        <v>196</v>
      </c>
      <c r="C350" s="1" t="s">
        <v>14</v>
      </c>
      <c r="D350" s="1" t="s">
        <v>30</v>
      </c>
      <c r="E350" s="1">
        <v>63.5</v>
      </c>
      <c r="F350" s="1">
        <v>92.5</v>
      </c>
      <c r="G350" s="1">
        <v>84.5</v>
      </c>
      <c r="H350" s="1">
        <v>82.5</v>
      </c>
      <c r="I350" s="1">
        <v>91.5</v>
      </c>
    </row>
    <row r="351" hidden="1" outlineLevel="2" spans="1:9">
      <c r="A351" s="1">
        <v>10174</v>
      </c>
      <c r="B351" s="1" t="s">
        <v>197</v>
      </c>
      <c r="C351" s="1" t="s">
        <v>14</v>
      </c>
      <c r="D351" s="1" t="s">
        <v>23</v>
      </c>
      <c r="E351" s="1">
        <v>93</v>
      </c>
      <c r="F351" s="1">
        <v>72</v>
      </c>
      <c r="G351" s="1">
        <v>87.5</v>
      </c>
      <c r="H351" s="1">
        <v>85.5</v>
      </c>
      <c r="I351" s="1">
        <v>75</v>
      </c>
    </row>
    <row r="352" hidden="1" outlineLevel="2" spans="1:9">
      <c r="A352" s="1">
        <v>10176</v>
      </c>
      <c r="B352" s="1" t="s">
        <v>199</v>
      </c>
      <c r="C352" s="1" t="s">
        <v>14</v>
      </c>
      <c r="D352" s="1" t="s">
        <v>15</v>
      </c>
      <c r="E352" s="1">
        <v>72</v>
      </c>
      <c r="F352" s="1">
        <v>73.5</v>
      </c>
      <c r="G352" s="1">
        <v>74</v>
      </c>
      <c r="H352" s="1">
        <v>72</v>
      </c>
      <c r="I352" s="1">
        <v>72</v>
      </c>
    </row>
    <row r="353" hidden="1" outlineLevel="2" spans="1:9">
      <c r="A353" s="1">
        <v>10177</v>
      </c>
      <c r="B353" s="1" t="s">
        <v>200</v>
      </c>
      <c r="C353" s="1" t="s">
        <v>14</v>
      </c>
      <c r="D353" s="1" t="s">
        <v>37</v>
      </c>
      <c r="E353" s="1">
        <v>77.5</v>
      </c>
      <c r="F353" s="1">
        <v>80.5</v>
      </c>
      <c r="G353" s="1">
        <v>94</v>
      </c>
      <c r="H353" s="1">
        <v>92</v>
      </c>
      <c r="I353" s="1">
        <v>83.5</v>
      </c>
    </row>
    <row r="354" hidden="1" outlineLevel="2" spans="1:9">
      <c r="A354" s="1">
        <v>10181</v>
      </c>
      <c r="B354" s="1" t="s">
        <v>204</v>
      </c>
      <c r="C354" s="1" t="s">
        <v>14</v>
      </c>
      <c r="D354" s="1" t="s">
        <v>20</v>
      </c>
      <c r="E354" s="1">
        <v>68.5</v>
      </c>
      <c r="F354" s="1">
        <v>71</v>
      </c>
      <c r="G354" s="1">
        <v>76.5</v>
      </c>
      <c r="H354" s="1">
        <v>74.5</v>
      </c>
      <c r="I354" s="1">
        <v>71.5</v>
      </c>
    </row>
    <row r="355" hidden="1" outlineLevel="2" spans="1:9">
      <c r="A355" s="1">
        <v>10183</v>
      </c>
      <c r="B355" s="1" t="s">
        <v>206</v>
      </c>
      <c r="C355" s="1" t="s">
        <v>14</v>
      </c>
      <c r="D355" s="1" t="s">
        <v>15</v>
      </c>
      <c r="E355" s="1">
        <v>70</v>
      </c>
      <c r="F355" s="1">
        <v>76.5</v>
      </c>
      <c r="G355" s="1">
        <v>74</v>
      </c>
      <c r="H355" s="1">
        <v>72</v>
      </c>
      <c r="I355" s="1">
        <v>78</v>
      </c>
    </row>
    <row r="356" hidden="1" outlineLevel="2" spans="1:9">
      <c r="A356" s="1">
        <v>10184</v>
      </c>
      <c r="B356" s="1" t="s">
        <v>207</v>
      </c>
      <c r="C356" s="1" t="s">
        <v>14</v>
      </c>
      <c r="D356" s="1" t="s">
        <v>15</v>
      </c>
      <c r="E356" s="1">
        <v>75.5</v>
      </c>
      <c r="F356" s="1">
        <v>59</v>
      </c>
      <c r="G356" s="1">
        <v>86.5</v>
      </c>
      <c r="H356" s="1">
        <v>84.5</v>
      </c>
      <c r="I356" s="1">
        <v>77.5</v>
      </c>
    </row>
    <row r="357" hidden="1" outlineLevel="2" spans="1:9">
      <c r="A357" s="1">
        <v>10185</v>
      </c>
      <c r="B357" s="1" t="s">
        <v>208</v>
      </c>
      <c r="C357" s="1" t="s">
        <v>14</v>
      </c>
      <c r="D357" s="1" t="s">
        <v>23</v>
      </c>
      <c r="E357" s="1">
        <v>64.5</v>
      </c>
      <c r="F357" s="1">
        <v>82.5</v>
      </c>
      <c r="G357" s="1">
        <v>71.5</v>
      </c>
      <c r="H357" s="1">
        <v>69.5</v>
      </c>
      <c r="I357" s="1">
        <v>81.5</v>
      </c>
    </row>
    <row r="358" hidden="1" outlineLevel="2" spans="1:9">
      <c r="A358" s="1">
        <v>10187</v>
      </c>
      <c r="B358" s="1" t="s">
        <v>210</v>
      </c>
      <c r="C358" s="1" t="s">
        <v>14</v>
      </c>
      <c r="D358" s="1" t="s">
        <v>37</v>
      </c>
      <c r="E358" s="1">
        <v>74.5</v>
      </c>
      <c r="F358" s="1">
        <v>68</v>
      </c>
      <c r="G358" s="1">
        <v>83</v>
      </c>
      <c r="H358" s="1">
        <v>81</v>
      </c>
      <c r="I358" s="1">
        <v>65</v>
      </c>
    </row>
    <row r="359" hidden="1" outlineLevel="2" spans="1:9">
      <c r="A359" s="1">
        <v>10188</v>
      </c>
      <c r="B359" s="1" t="s">
        <v>211</v>
      </c>
      <c r="C359" s="1" t="s">
        <v>14</v>
      </c>
      <c r="D359" s="1" t="s">
        <v>23</v>
      </c>
      <c r="E359" s="1">
        <v>87</v>
      </c>
      <c r="F359" s="1">
        <v>82</v>
      </c>
      <c r="G359" s="1">
        <v>68</v>
      </c>
      <c r="H359" s="1">
        <v>66</v>
      </c>
      <c r="I359" s="1">
        <v>76.5</v>
      </c>
    </row>
    <row r="360" hidden="1" outlineLevel="2" spans="1:9">
      <c r="A360" s="1">
        <v>10189</v>
      </c>
      <c r="B360" s="1" t="s">
        <v>212</v>
      </c>
      <c r="C360" s="1" t="s">
        <v>14</v>
      </c>
      <c r="D360" s="1" t="s">
        <v>20</v>
      </c>
      <c r="E360" s="1">
        <v>56</v>
      </c>
      <c r="F360" s="1">
        <v>67.5</v>
      </c>
      <c r="G360" s="1">
        <v>65</v>
      </c>
      <c r="H360" s="1">
        <v>63</v>
      </c>
      <c r="I360" s="1">
        <v>65</v>
      </c>
    </row>
    <row r="361" hidden="1" outlineLevel="2" spans="1:9">
      <c r="A361" s="1">
        <v>10190</v>
      </c>
      <c r="B361" s="1" t="s">
        <v>213</v>
      </c>
      <c r="C361" s="1" t="s">
        <v>14</v>
      </c>
      <c r="D361" s="1" t="s">
        <v>37</v>
      </c>
      <c r="E361" s="1">
        <v>69.5</v>
      </c>
      <c r="F361" s="1">
        <v>62.5</v>
      </c>
      <c r="G361" s="1">
        <v>74.5</v>
      </c>
      <c r="H361" s="1">
        <v>65</v>
      </c>
      <c r="I361" s="1">
        <v>68.5</v>
      </c>
    </row>
    <row r="362" hidden="1" outlineLevel="2" spans="1:9">
      <c r="A362" s="1">
        <v>10191</v>
      </c>
      <c r="B362" s="1" t="s">
        <v>214</v>
      </c>
      <c r="C362" s="1" t="s">
        <v>14</v>
      </c>
      <c r="D362" s="1" t="s">
        <v>23</v>
      </c>
      <c r="E362" s="1">
        <v>60</v>
      </c>
      <c r="F362" s="1">
        <v>75.5</v>
      </c>
      <c r="G362" s="1">
        <v>88</v>
      </c>
      <c r="H362" s="1">
        <v>86</v>
      </c>
      <c r="I362" s="1">
        <v>78</v>
      </c>
    </row>
    <row r="363" hidden="1" outlineLevel="2" spans="1:9">
      <c r="A363" s="1">
        <v>10192</v>
      </c>
      <c r="B363" s="1" t="s">
        <v>215</v>
      </c>
      <c r="C363" s="1" t="s">
        <v>14</v>
      </c>
      <c r="D363" s="1" t="s">
        <v>18</v>
      </c>
      <c r="E363" s="1">
        <v>72.5</v>
      </c>
      <c r="F363" s="1">
        <v>74.5</v>
      </c>
      <c r="G363" s="1">
        <v>71.5</v>
      </c>
      <c r="H363" s="1">
        <v>69.5</v>
      </c>
      <c r="I363" s="1">
        <v>81</v>
      </c>
    </row>
    <row r="364" hidden="1" outlineLevel="2" spans="1:9">
      <c r="A364" s="1">
        <v>10199</v>
      </c>
      <c r="B364" s="1" t="s">
        <v>222</v>
      </c>
      <c r="C364" s="1" t="s">
        <v>14</v>
      </c>
      <c r="D364" s="1" t="s">
        <v>15</v>
      </c>
      <c r="E364" s="1">
        <v>68</v>
      </c>
      <c r="F364" s="1">
        <v>70.5</v>
      </c>
      <c r="G364" s="1">
        <v>70</v>
      </c>
      <c r="H364" s="1">
        <v>68</v>
      </c>
      <c r="I364" s="1">
        <v>72</v>
      </c>
    </row>
    <row r="365" hidden="1" outlineLevel="2" spans="1:9">
      <c r="A365" s="1">
        <v>10200</v>
      </c>
      <c r="B365" s="1" t="s">
        <v>223</v>
      </c>
      <c r="C365" s="1" t="s">
        <v>14</v>
      </c>
      <c r="D365" s="1" t="s">
        <v>20</v>
      </c>
      <c r="E365" s="1">
        <v>76.5</v>
      </c>
      <c r="F365" s="1">
        <v>80.5</v>
      </c>
      <c r="G365" s="1">
        <v>81.5</v>
      </c>
      <c r="H365" s="1">
        <v>79.5</v>
      </c>
      <c r="I365" s="1">
        <v>81</v>
      </c>
    </row>
    <row r="366" hidden="1" outlineLevel="2" spans="1:9">
      <c r="A366" s="1">
        <v>10205</v>
      </c>
      <c r="B366" s="1" t="s">
        <v>228</v>
      </c>
      <c r="C366" s="1" t="s">
        <v>14</v>
      </c>
      <c r="D366" s="1" t="s">
        <v>18</v>
      </c>
      <c r="E366" s="1">
        <v>86.5</v>
      </c>
      <c r="F366" s="1">
        <v>79</v>
      </c>
      <c r="G366" s="1">
        <v>82</v>
      </c>
      <c r="H366" s="1">
        <v>75</v>
      </c>
      <c r="I366" s="1">
        <v>82</v>
      </c>
    </row>
    <row r="367" hidden="1" outlineLevel="2" spans="1:9">
      <c r="A367" s="1">
        <v>10206</v>
      </c>
      <c r="B367" s="1" t="s">
        <v>229</v>
      </c>
      <c r="C367" s="1" t="s">
        <v>14</v>
      </c>
      <c r="D367" s="1" t="s">
        <v>18</v>
      </c>
      <c r="E367" s="1">
        <v>78</v>
      </c>
      <c r="F367" s="1">
        <v>83</v>
      </c>
      <c r="G367" s="1">
        <v>53</v>
      </c>
      <c r="H367" s="1">
        <v>51</v>
      </c>
      <c r="I367" s="1">
        <v>86.5</v>
      </c>
    </row>
    <row r="368" hidden="1" outlineLevel="2" spans="1:9">
      <c r="A368" s="1">
        <v>10209</v>
      </c>
      <c r="B368" s="1" t="s">
        <v>232</v>
      </c>
      <c r="C368" s="1" t="s">
        <v>14</v>
      </c>
      <c r="D368" s="1" t="s">
        <v>30</v>
      </c>
      <c r="E368" s="1">
        <v>72.5</v>
      </c>
      <c r="F368" s="1">
        <v>60</v>
      </c>
      <c r="G368" s="1">
        <v>77.5</v>
      </c>
      <c r="H368" s="1">
        <v>61</v>
      </c>
      <c r="I368" s="1">
        <v>68</v>
      </c>
    </row>
    <row r="369" hidden="1" outlineLevel="2" spans="1:9">
      <c r="A369" s="1">
        <v>10211</v>
      </c>
      <c r="B369" s="1" t="s">
        <v>234</v>
      </c>
      <c r="C369" s="1" t="s">
        <v>14</v>
      </c>
      <c r="D369" s="1" t="s">
        <v>20</v>
      </c>
      <c r="E369" s="1">
        <v>69.5</v>
      </c>
      <c r="F369" s="1">
        <v>69</v>
      </c>
      <c r="G369" s="1">
        <v>78</v>
      </c>
      <c r="H369" s="1">
        <v>76</v>
      </c>
      <c r="I369" s="1">
        <v>70.5</v>
      </c>
    </row>
    <row r="370" hidden="1" outlineLevel="2" spans="1:9">
      <c r="A370" s="1">
        <v>10214</v>
      </c>
      <c r="B370" s="1" t="s">
        <v>237</v>
      </c>
      <c r="C370" s="1" t="s">
        <v>14</v>
      </c>
      <c r="D370" s="1" t="s">
        <v>18</v>
      </c>
      <c r="E370" s="1">
        <v>86</v>
      </c>
      <c r="F370" s="1">
        <v>82.5</v>
      </c>
      <c r="G370" s="1">
        <v>80</v>
      </c>
      <c r="H370" s="1">
        <v>72</v>
      </c>
      <c r="I370" s="1">
        <v>83</v>
      </c>
    </row>
    <row r="371" hidden="1" outlineLevel="2" spans="1:9">
      <c r="A371" s="1">
        <v>10216</v>
      </c>
      <c r="B371" s="1" t="s">
        <v>239</v>
      </c>
      <c r="C371" s="1" t="s">
        <v>14</v>
      </c>
      <c r="D371" s="1" t="s">
        <v>18</v>
      </c>
      <c r="E371" s="1">
        <v>73.5</v>
      </c>
      <c r="F371" s="1">
        <v>86</v>
      </c>
      <c r="G371" s="1">
        <v>88</v>
      </c>
      <c r="H371" s="1">
        <v>90</v>
      </c>
      <c r="I371" s="1">
        <v>75.5</v>
      </c>
    </row>
    <row r="372" hidden="1" outlineLevel="2" spans="1:9">
      <c r="A372" s="1">
        <v>10218</v>
      </c>
      <c r="B372" s="1" t="s">
        <v>241</v>
      </c>
      <c r="C372" s="1" t="s">
        <v>14</v>
      </c>
      <c r="D372" s="1" t="s">
        <v>37</v>
      </c>
      <c r="E372" s="1">
        <v>68.5</v>
      </c>
      <c r="F372" s="1">
        <v>92</v>
      </c>
      <c r="G372" s="1">
        <v>72</v>
      </c>
      <c r="H372" s="1">
        <v>70</v>
      </c>
      <c r="I372" s="1">
        <v>81.5</v>
      </c>
    </row>
    <row r="373" hidden="1" outlineLevel="2" spans="1:9">
      <c r="A373" s="1">
        <v>10221</v>
      </c>
      <c r="B373" s="1" t="s">
        <v>244</v>
      </c>
      <c r="C373" s="1" t="s">
        <v>14</v>
      </c>
      <c r="D373" s="1" t="s">
        <v>15</v>
      </c>
      <c r="E373" s="1">
        <v>75.5</v>
      </c>
      <c r="F373" s="1">
        <v>97.5</v>
      </c>
      <c r="G373" s="1">
        <v>65</v>
      </c>
      <c r="H373" s="1">
        <v>85</v>
      </c>
      <c r="I373" s="1">
        <v>91.5</v>
      </c>
    </row>
    <row r="374" hidden="1" outlineLevel="2" spans="1:9">
      <c r="A374" s="1">
        <v>10223</v>
      </c>
      <c r="B374" s="1" t="s">
        <v>246</v>
      </c>
      <c r="C374" s="1" t="s">
        <v>14</v>
      </c>
      <c r="D374" s="1" t="s">
        <v>37</v>
      </c>
      <c r="E374" s="1">
        <v>67.5</v>
      </c>
      <c r="F374" s="1">
        <v>57.5</v>
      </c>
      <c r="G374" s="1">
        <v>64.5</v>
      </c>
      <c r="H374" s="1">
        <v>62.5</v>
      </c>
      <c r="I374" s="1">
        <v>90.5</v>
      </c>
    </row>
    <row r="375" hidden="1" outlineLevel="2" spans="1:9">
      <c r="A375" s="1">
        <v>10225</v>
      </c>
      <c r="B375" s="1" t="s">
        <v>248</v>
      </c>
      <c r="C375" s="1" t="s">
        <v>14</v>
      </c>
      <c r="D375" s="1" t="s">
        <v>15</v>
      </c>
      <c r="E375" s="1">
        <v>77</v>
      </c>
      <c r="F375" s="1">
        <v>72</v>
      </c>
      <c r="G375" s="1">
        <v>71</v>
      </c>
      <c r="H375" s="1">
        <v>60</v>
      </c>
      <c r="I375" s="1">
        <v>60.5</v>
      </c>
    </row>
    <row r="376" hidden="1" outlineLevel="2" spans="1:9">
      <c r="A376" s="1">
        <v>10227</v>
      </c>
      <c r="B376" s="1" t="s">
        <v>250</v>
      </c>
      <c r="C376" s="1" t="s">
        <v>14</v>
      </c>
      <c r="D376" s="1" t="s">
        <v>20</v>
      </c>
      <c r="E376" s="1">
        <v>70.5</v>
      </c>
      <c r="F376" s="1">
        <v>74.5</v>
      </c>
      <c r="G376" s="1">
        <v>65</v>
      </c>
      <c r="H376" s="1">
        <v>63</v>
      </c>
      <c r="I376" s="1">
        <v>66</v>
      </c>
    </row>
    <row r="377" hidden="1" outlineLevel="2" spans="1:9">
      <c r="A377" s="1">
        <v>10228</v>
      </c>
      <c r="B377" s="1" t="s">
        <v>251</v>
      </c>
      <c r="C377" s="1" t="s">
        <v>14</v>
      </c>
      <c r="D377" s="1" t="s">
        <v>23</v>
      </c>
      <c r="E377" s="1">
        <v>95.5</v>
      </c>
      <c r="F377" s="1">
        <v>63.5</v>
      </c>
      <c r="G377" s="1">
        <v>74</v>
      </c>
      <c r="H377" s="1">
        <v>72</v>
      </c>
      <c r="I377" s="1">
        <v>66.5</v>
      </c>
    </row>
    <row r="378" hidden="1" outlineLevel="2" spans="1:9">
      <c r="A378" s="1">
        <v>10229</v>
      </c>
      <c r="B378" s="1" t="s">
        <v>252</v>
      </c>
      <c r="C378" s="1" t="s">
        <v>14</v>
      </c>
      <c r="D378" s="1" t="s">
        <v>23</v>
      </c>
      <c r="E378" s="1">
        <v>66</v>
      </c>
      <c r="F378" s="1">
        <v>85.5</v>
      </c>
      <c r="G378" s="1">
        <v>71.5</v>
      </c>
      <c r="H378" s="1">
        <v>69.5</v>
      </c>
      <c r="I378" s="1">
        <v>81</v>
      </c>
    </row>
    <row r="379" hidden="1" outlineLevel="2" spans="1:9">
      <c r="A379" s="1">
        <v>10232</v>
      </c>
      <c r="B379" s="1" t="s">
        <v>255</v>
      </c>
      <c r="C379" s="1" t="s">
        <v>14</v>
      </c>
      <c r="D379" s="1" t="s">
        <v>30</v>
      </c>
      <c r="E379" s="1">
        <v>59.5</v>
      </c>
      <c r="F379" s="1">
        <v>74.5</v>
      </c>
      <c r="G379" s="1">
        <v>74.5</v>
      </c>
      <c r="H379" s="1">
        <v>72.5</v>
      </c>
      <c r="I379" s="1">
        <v>74</v>
      </c>
    </row>
    <row r="380" hidden="1" outlineLevel="2" spans="1:9">
      <c r="A380" s="1">
        <v>10236</v>
      </c>
      <c r="B380" s="1" t="s">
        <v>259</v>
      </c>
      <c r="C380" s="1" t="s">
        <v>14</v>
      </c>
      <c r="D380" s="1" t="s">
        <v>37</v>
      </c>
      <c r="E380" s="1">
        <v>76.5</v>
      </c>
      <c r="F380" s="1">
        <v>61</v>
      </c>
      <c r="G380" s="1">
        <v>88</v>
      </c>
      <c r="H380" s="1">
        <v>86</v>
      </c>
      <c r="I380" s="1">
        <v>90</v>
      </c>
    </row>
    <row r="381" hidden="1" outlineLevel="2" spans="1:9">
      <c r="A381" s="1">
        <v>10237</v>
      </c>
      <c r="B381" s="1" t="s">
        <v>260</v>
      </c>
      <c r="C381" s="1" t="s">
        <v>14</v>
      </c>
      <c r="D381" s="1" t="s">
        <v>23</v>
      </c>
      <c r="E381" s="1">
        <v>76.5</v>
      </c>
      <c r="F381" s="1">
        <v>66</v>
      </c>
      <c r="G381" s="1">
        <v>74</v>
      </c>
      <c r="H381" s="1">
        <v>72</v>
      </c>
      <c r="I381" s="1">
        <v>71</v>
      </c>
    </row>
    <row r="382" hidden="1" outlineLevel="2" spans="1:9">
      <c r="A382" s="1">
        <v>10238</v>
      </c>
      <c r="B382" s="1" t="s">
        <v>261</v>
      </c>
      <c r="C382" s="1" t="s">
        <v>14</v>
      </c>
      <c r="D382" s="1" t="s">
        <v>37</v>
      </c>
      <c r="E382" s="1">
        <v>74</v>
      </c>
      <c r="F382" s="1">
        <v>82</v>
      </c>
      <c r="G382" s="1">
        <v>70</v>
      </c>
      <c r="H382" s="1">
        <v>68</v>
      </c>
      <c r="I382" s="1">
        <v>71</v>
      </c>
    </row>
    <row r="383" hidden="1" outlineLevel="2" spans="1:9">
      <c r="A383" s="1">
        <v>10242</v>
      </c>
      <c r="B383" s="1" t="s">
        <v>265</v>
      </c>
      <c r="C383" s="1" t="s">
        <v>14</v>
      </c>
      <c r="D383" s="1" t="s">
        <v>20</v>
      </c>
      <c r="E383" s="1">
        <v>71.5</v>
      </c>
      <c r="F383" s="1">
        <v>90</v>
      </c>
      <c r="G383" s="1">
        <v>86</v>
      </c>
      <c r="H383" s="1">
        <v>84</v>
      </c>
      <c r="I383" s="1">
        <v>84.5</v>
      </c>
    </row>
    <row r="384" hidden="1" outlineLevel="2" spans="1:9">
      <c r="A384" s="1">
        <v>10243</v>
      </c>
      <c r="B384" s="1" t="s">
        <v>266</v>
      </c>
      <c r="C384" s="1" t="s">
        <v>14</v>
      </c>
      <c r="D384" s="1" t="s">
        <v>15</v>
      </c>
      <c r="E384" s="1">
        <v>94</v>
      </c>
      <c r="F384" s="1">
        <v>69.5</v>
      </c>
      <c r="G384" s="1">
        <v>81</v>
      </c>
      <c r="H384" s="1">
        <v>79</v>
      </c>
      <c r="I384" s="1">
        <v>87.5</v>
      </c>
    </row>
    <row r="385" hidden="1" outlineLevel="2" spans="1:9">
      <c r="A385" s="1">
        <v>10244</v>
      </c>
      <c r="B385" s="1" t="s">
        <v>267</v>
      </c>
      <c r="C385" s="1" t="s">
        <v>14</v>
      </c>
      <c r="D385" s="1" t="s">
        <v>20</v>
      </c>
      <c r="E385" s="1">
        <v>96</v>
      </c>
      <c r="F385" s="1">
        <v>82</v>
      </c>
      <c r="G385" s="1">
        <v>70</v>
      </c>
      <c r="H385" s="1">
        <v>68</v>
      </c>
      <c r="I385" s="1">
        <v>51</v>
      </c>
    </row>
    <row r="386" hidden="1" outlineLevel="2" spans="1:9">
      <c r="A386" s="1">
        <v>10245</v>
      </c>
      <c r="B386" s="1" t="s">
        <v>268</v>
      </c>
      <c r="C386" s="1" t="s">
        <v>14</v>
      </c>
      <c r="D386" s="1" t="s">
        <v>20</v>
      </c>
      <c r="E386" s="1">
        <v>67</v>
      </c>
      <c r="F386" s="1">
        <v>68.5</v>
      </c>
      <c r="G386" s="1">
        <v>73.5</v>
      </c>
      <c r="H386" s="1">
        <v>60</v>
      </c>
      <c r="I386" s="1">
        <v>72.5</v>
      </c>
    </row>
    <row r="387" hidden="1" outlineLevel="2" spans="1:9">
      <c r="A387" s="1">
        <v>10246</v>
      </c>
      <c r="B387" s="1" t="s">
        <v>269</v>
      </c>
      <c r="C387" s="1" t="s">
        <v>14</v>
      </c>
      <c r="D387" s="1" t="s">
        <v>30</v>
      </c>
      <c r="E387" s="1">
        <v>52</v>
      </c>
      <c r="F387" s="1">
        <v>67</v>
      </c>
      <c r="G387" s="1">
        <v>63</v>
      </c>
      <c r="H387" s="1">
        <v>78</v>
      </c>
      <c r="I387" s="1">
        <v>78.5</v>
      </c>
    </row>
    <row r="388" hidden="1" outlineLevel="2" spans="1:9">
      <c r="A388" s="1">
        <v>10249</v>
      </c>
      <c r="B388" s="1" t="s">
        <v>272</v>
      </c>
      <c r="C388" s="1" t="s">
        <v>14</v>
      </c>
      <c r="D388" s="1" t="s">
        <v>18</v>
      </c>
      <c r="E388" s="1">
        <v>90</v>
      </c>
      <c r="F388" s="1">
        <v>83.5</v>
      </c>
      <c r="G388" s="1">
        <v>94</v>
      </c>
      <c r="H388" s="1">
        <v>92</v>
      </c>
      <c r="I388" s="1">
        <v>95</v>
      </c>
    </row>
    <row r="389" hidden="1" outlineLevel="2" spans="1:9">
      <c r="A389" s="1">
        <v>10253</v>
      </c>
      <c r="B389" s="1" t="s">
        <v>275</v>
      </c>
      <c r="C389" s="1" t="s">
        <v>14</v>
      </c>
      <c r="D389" s="1" t="s">
        <v>23</v>
      </c>
      <c r="E389" s="1">
        <v>93</v>
      </c>
      <c r="F389" s="1">
        <v>93</v>
      </c>
      <c r="G389" s="1">
        <v>93</v>
      </c>
      <c r="H389" s="1">
        <v>78</v>
      </c>
      <c r="I389" s="1">
        <v>93</v>
      </c>
    </row>
    <row r="390" hidden="1" outlineLevel="2" spans="1:9">
      <c r="A390" s="1">
        <v>10255</v>
      </c>
      <c r="B390" s="1" t="s">
        <v>277</v>
      </c>
      <c r="C390" s="1" t="s">
        <v>14</v>
      </c>
      <c r="D390" s="1" t="s">
        <v>37</v>
      </c>
      <c r="E390" s="1">
        <v>93</v>
      </c>
      <c r="F390" s="1">
        <v>58</v>
      </c>
      <c r="G390" s="1">
        <v>92</v>
      </c>
      <c r="H390" s="1">
        <v>90</v>
      </c>
      <c r="I390" s="1">
        <v>92.5</v>
      </c>
    </row>
    <row r="391" hidden="1" outlineLevel="2" spans="1:9">
      <c r="A391" s="1">
        <v>10259</v>
      </c>
      <c r="B391" s="1" t="s">
        <v>281</v>
      </c>
      <c r="C391" s="1" t="s">
        <v>14</v>
      </c>
      <c r="D391" s="1" t="s">
        <v>30</v>
      </c>
      <c r="E391" s="1">
        <v>87</v>
      </c>
      <c r="F391" s="1">
        <v>67</v>
      </c>
      <c r="G391" s="1">
        <v>64</v>
      </c>
      <c r="H391" s="1">
        <v>62</v>
      </c>
      <c r="I391" s="1">
        <v>61</v>
      </c>
    </row>
    <row r="392" hidden="1" outlineLevel="2" spans="1:9">
      <c r="A392" s="1">
        <v>10266</v>
      </c>
      <c r="B392" s="1" t="s">
        <v>287</v>
      </c>
      <c r="C392" s="1" t="s">
        <v>14</v>
      </c>
      <c r="D392" s="1" t="s">
        <v>18</v>
      </c>
      <c r="E392" s="1">
        <v>84</v>
      </c>
      <c r="F392" s="1">
        <v>83</v>
      </c>
      <c r="G392" s="1">
        <v>82</v>
      </c>
      <c r="H392" s="1">
        <v>73</v>
      </c>
      <c r="I392" s="1">
        <v>86</v>
      </c>
    </row>
    <row r="393" hidden="1" outlineLevel="2" spans="1:9">
      <c r="A393" s="1">
        <v>10267</v>
      </c>
      <c r="B393" s="1" t="s">
        <v>288</v>
      </c>
      <c r="C393" s="1" t="s">
        <v>14</v>
      </c>
      <c r="D393" s="1" t="s">
        <v>37</v>
      </c>
      <c r="E393" s="1">
        <v>72</v>
      </c>
      <c r="F393" s="1">
        <v>53.5</v>
      </c>
      <c r="G393" s="1">
        <v>75.5</v>
      </c>
      <c r="H393" s="1">
        <v>73.5</v>
      </c>
      <c r="I393" s="1">
        <v>59</v>
      </c>
    </row>
    <row r="394" hidden="1" outlineLevel="2" spans="1:9">
      <c r="A394" s="1">
        <v>10269</v>
      </c>
      <c r="B394" s="1" t="s">
        <v>290</v>
      </c>
      <c r="C394" s="1" t="s">
        <v>14</v>
      </c>
      <c r="D394" s="1" t="s">
        <v>18</v>
      </c>
      <c r="E394" s="1">
        <v>67</v>
      </c>
      <c r="F394" s="1">
        <v>72</v>
      </c>
      <c r="G394" s="1">
        <v>83</v>
      </c>
      <c r="H394" s="1">
        <v>81</v>
      </c>
      <c r="I394" s="1">
        <v>51</v>
      </c>
    </row>
    <row r="395" hidden="1" outlineLevel="2" spans="1:9">
      <c r="A395" s="1">
        <v>10271</v>
      </c>
      <c r="B395" s="1" t="s">
        <v>292</v>
      </c>
      <c r="C395" s="1" t="s">
        <v>14</v>
      </c>
      <c r="D395" s="1" t="s">
        <v>23</v>
      </c>
      <c r="E395" s="1">
        <v>78.5</v>
      </c>
      <c r="F395" s="1">
        <v>81.5</v>
      </c>
      <c r="G395" s="1">
        <v>82</v>
      </c>
      <c r="H395" s="1">
        <v>80</v>
      </c>
      <c r="I395" s="1">
        <v>89.5</v>
      </c>
    </row>
    <row r="396" hidden="1" outlineLevel="2" spans="1:9">
      <c r="A396" s="1">
        <v>10272</v>
      </c>
      <c r="B396" s="1" t="s">
        <v>293</v>
      </c>
      <c r="C396" s="1" t="s">
        <v>14</v>
      </c>
      <c r="D396" s="1" t="s">
        <v>30</v>
      </c>
      <c r="E396" s="1">
        <v>83</v>
      </c>
      <c r="F396" s="1">
        <v>84</v>
      </c>
      <c r="G396" s="1">
        <v>77</v>
      </c>
      <c r="H396" s="1">
        <v>75</v>
      </c>
      <c r="I396" s="1">
        <v>73.5</v>
      </c>
    </row>
    <row r="397" hidden="1" outlineLevel="2" spans="1:9">
      <c r="A397" s="1">
        <v>10274</v>
      </c>
      <c r="B397" s="1" t="s">
        <v>295</v>
      </c>
      <c r="C397" s="1" t="s">
        <v>14</v>
      </c>
      <c r="D397" s="1" t="s">
        <v>15</v>
      </c>
      <c r="E397" s="1">
        <v>77.5</v>
      </c>
      <c r="F397" s="1">
        <v>78.5</v>
      </c>
      <c r="G397" s="1">
        <v>65</v>
      </c>
      <c r="H397" s="1">
        <v>63</v>
      </c>
      <c r="I397" s="1">
        <v>73.5</v>
      </c>
    </row>
    <row r="398" hidden="1" outlineLevel="2" spans="1:9">
      <c r="A398" s="1">
        <v>10275</v>
      </c>
      <c r="B398" s="1" t="s">
        <v>296</v>
      </c>
      <c r="C398" s="1" t="s">
        <v>14</v>
      </c>
      <c r="D398" s="1" t="s">
        <v>18</v>
      </c>
      <c r="E398" s="1">
        <v>73</v>
      </c>
      <c r="F398" s="1">
        <v>74.5</v>
      </c>
      <c r="G398" s="1">
        <v>81.5</v>
      </c>
      <c r="H398" s="1">
        <v>79.5</v>
      </c>
      <c r="I398" s="1">
        <v>75.5</v>
      </c>
    </row>
    <row r="399" hidden="1" outlineLevel="2" spans="1:9">
      <c r="A399" s="1">
        <v>10280</v>
      </c>
      <c r="B399" s="1" t="s">
        <v>301</v>
      </c>
      <c r="C399" s="1" t="s">
        <v>14</v>
      </c>
      <c r="D399" s="1" t="s">
        <v>20</v>
      </c>
      <c r="E399" s="1">
        <v>69</v>
      </c>
      <c r="F399" s="1">
        <v>83</v>
      </c>
      <c r="G399" s="1">
        <v>69.5</v>
      </c>
      <c r="H399" s="1">
        <v>67.5</v>
      </c>
      <c r="I399" s="1">
        <v>78</v>
      </c>
    </row>
    <row r="400" hidden="1" outlineLevel="2" spans="1:9">
      <c r="A400" s="1">
        <v>10281</v>
      </c>
      <c r="B400" s="1" t="s">
        <v>302</v>
      </c>
      <c r="C400" s="1" t="s">
        <v>14</v>
      </c>
      <c r="D400" s="1" t="s">
        <v>30</v>
      </c>
      <c r="E400" s="1">
        <v>62</v>
      </c>
      <c r="F400" s="1">
        <v>78</v>
      </c>
      <c r="G400" s="1">
        <v>78</v>
      </c>
      <c r="H400" s="1">
        <v>76</v>
      </c>
      <c r="I400" s="1">
        <v>75</v>
      </c>
    </row>
    <row r="401" hidden="1" outlineLevel="2" spans="1:9">
      <c r="A401" s="1">
        <v>10282</v>
      </c>
      <c r="B401" s="1" t="s">
        <v>303</v>
      </c>
      <c r="C401" s="1" t="s">
        <v>14</v>
      </c>
      <c r="D401" s="1" t="s">
        <v>20</v>
      </c>
      <c r="E401" s="1">
        <v>95</v>
      </c>
      <c r="F401" s="1">
        <v>87</v>
      </c>
      <c r="G401" s="1">
        <v>90.5</v>
      </c>
      <c r="H401" s="1">
        <v>88.5</v>
      </c>
      <c r="I401" s="1">
        <v>92</v>
      </c>
    </row>
    <row r="402" hidden="1" outlineLevel="2" spans="1:9">
      <c r="A402" s="1">
        <v>10283</v>
      </c>
      <c r="B402" s="1" t="s">
        <v>304</v>
      </c>
      <c r="C402" s="1" t="s">
        <v>14</v>
      </c>
      <c r="D402" s="1" t="s">
        <v>30</v>
      </c>
      <c r="E402" s="1">
        <v>77.5</v>
      </c>
      <c r="F402" s="1">
        <v>65.5</v>
      </c>
      <c r="G402" s="1">
        <v>77.5</v>
      </c>
      <c r="H402" s="1">
        <v>75.5</v>
      </c>
      <c r="I402" s="1">
        <v>84.5</v>
      </c>
    </row>
    <row r="403" hidden="1" outlineLevel="2" spans="1:9">
      <c r="A403" s="1">
        <v>10287</v>
      </c>
      <c r="B403" s="1" t="s">
        <v>308</v>
      </c>
      <c r="C403" s="1" t="s">
        <v>14</v>
      </c>
      <c r="D403" s="1" t="s">
        <v>23</v>
      </c>
      <c r="E403" s="1">
        <v>83</v>
      </c>
      <c r="F403" s="1">
        <v>71.5</v>
      </c>
      <c r="G403" s="1">
        <v>75</v>
      </c>
      <c r="H403" s="1">
        <v>73</v>
      </c>
      <c r="I403" s="1">
        <v>73</v>
      </c>
    </row>
    <row r="404" hidden="1" outlineLevel="2" spans="1:9">
      <c r="A404" s="1">
        <v>10289</v>
      </c>
      <c r="B404" s="1" t="s">
        <v>310</v>
      </c>
      <c r="C404" s="1" t="s">
        <v>14</v>
      </c>
      <c r="D404" s="1" t="s">
        <v>37</v>
      </c>
      <c r="E404" s="1">
        <v>82</v>
      </c>
      <c r="F404" s="1">
        <v>65</v>
      </c>
      <c r="G404" s="1">
        <v>87.5</v>
      </c>
      <c r="H404" s="1">
        <v>85.5</v>
      </c>
      <c r="I404" s="1">
        <v>91</v>
      </c>
    </row>
    <row r="405" hidden="1" outlineLevel="2" spans="1:9">
      <c r="A405" s="1">
        <v>10294</v>
      </c>
      <c r="B405" s="1" t="s">
        <v>315</v>
      </c>
      <c r="C405" s="1" t="s">
        <v>14</v>
      </c>
      <c r="D405" s="1" t="s">
        <v>18</v>
      </c>
      <c r="E405" s="1">
        <v>75</v>
      </c>
      <c r="F405" s="1">
        <v>98</v>
      </c>
      <c r="G405" s="1">
        <v>57</v>
      </c>
      <c r="H405" s="1">
        <v>55</v>
      </c>
      <c r="I405" s="1">
        <v>87</v>
      </c>
    </row>
    <row r="406" hidden="1" outlineLevel="2" spans="1:9">
      <c r="A406" s="1">
        <v>10296</v>
      </c>
      <c r="B406" s="1" t="s">
        <v>317</v>
      </c>
      <c r="C406" s="1" t="s">
        <v>14</v>
      </c>
      <c r="D406" s="1" t="s">
        <v>15</v>
      </c>
      <c r="E406" s="1">
        <v>91.5</v>
      </c>
      <c r="F406" s="1">
        <v>80</v>
      </c>
      <c r="G406" s="1">
        <v>59</v>
      </c>
      <c r="H406" s="1">
        <v>57</v>
      </c>
      <c r="I406" s="1">
        <v>52</v>
      </c>
    </row>
    <row r="407" hidden="1" outlineLevel="2" spans="1:9">
      <c r="A407" s="1">
        <v>10297</v>
      </c>
      <c r="B407" s="1" t="s">
        <v>318</v>
      </c>
      <c r="C407" s="1" t="s">
        <v>14</v>
      </c>
      <c r="D407" s="1" t="s">
        <v>20</v>
      </c>
      <c r="E407" s="1">
        <v>84.5</v>
      </c>
      <c r="F407" s="1">
        <v>58.5</v>
      </c>
      <c r="G407" s="1">
        <v>63</v>
      </c>
      <c r="H407" s="1">
        <v>61</v>
      </c>
      <c r="I407" s="1">
        <v>64</v>
      </c>
    </row>
    <row r="408" hidden="1" outlineLevel="2" spans="1:9">
      <c r="A408" s="1">
        <v>10298</v>
      </c>
      <c r="B408" s="1" t="s">
        <v>319</v>
      </c>
      <c r="C408" s="1" t="s">
        <v>14</v>
      </c>
      <c r="D408" s="1" t="s">
        <v>18</v>
      </c>
      <c r="E408" s="1">
        <v>78</v>
      </c>
      <c r="F408" s="1">
        <v>76.5</v>
      </c>
      <c r="G408" s="1">
        <v>92</v>
      </c>
      <c r="H408" s="1">
        <v>78</v>
      </c>
      <c r="I408" s="1">
        <v>69</v>
      </c>
    </row>
    <row r="409" hidden="1" outlineLevel="2" spans="1:9">
      <c r="A409" s="1">
        <v>10299</v>
      </c>
      <c r="B409" s="1" t="s">
        <v>320</v>
      </c>
      <c r="C409" s="1" t="s">
        <v>14</v>
      </c>
      <c r="D409" s="1" t="s">
        <v>18</v>
      </c>
      <c r="E409" s="1">
        <v>68.5</v>
      </c>
      <c r="F409" s="1">
        <v>73.5</v>
      </c>
      <c r="G409" s="1">
        <v>60</v>
      </c>
      <c r="H409" s="1">
        <v>58</v>
      </c>
      <c r="I409" s="1">
        <v>72</v>
      </c>
    </row>
    <row r="410" hidden="1" outlineLevel="2" spans="1:9">
      <c r="A410" s="1">
        <v>10300</v>
      </c>
      <c r="B410" s="1" t="s">
        <v>321</v>
      </c>
      <c r="C410" s="1" t="s">
        <v>14</v>
      </c>
      <c r="D410" s="1" t="s">
        <v>23</v>
      </c>
      <c r="E410" s="1">
        <v>77</v>
      </c>
      <c r="F410" s="1">
        <v>62</v>
      </c>
      <c r="G410" s="1">
        <v>68.5</v>
      </c>
      <c r="H410" s="1">
        <v>66.5</v>
      </c>
      <c r="I410" s="1">
        <v>68</v>
      </c>
    </row>
    <row r="411" hidden="1" outlineLevel="2" spans="1:9">
      <c r="A411" s="1">
        <v>10304</v>
      </c>
      <c r="B411" s="1" t="s">
        <v>325</v>
      </c>
      <c r="C411" s="1" t="s">
        <v>14</v>
      </c>
      <c r="D411" s="1" t="s">
        <v>23</v>
      </c>
      <c r="E411" s="1">
        <v>80.5</v>
      </c>
      <c r="F411" s="1">
        <v>71.5</v>
      </c>
      <c r="G411" s="1">
        <v>63.5</v>
      </c>
      <c r="H411" s="1">
        <v>61.5</v>
      </c>
      <c r="I411" s="1">
        <v>64</v>
      </c>
    </row>
    <row r="412" hidden="1" outlineLevel="2" spans="1:9">
      <c r="A412" s="1">
        <v>10305</v>
      </c>
      <c r="B412" s="1" t="s">
        <v>326</v>
      </c>
      <c r="C412" s="1" t="s">
        <v>14</v>
      </c>
      <c r="D412" s="1" t="s">
        <v>15</v>
      </c>
      <c r="E412" s="1">
        <v>78</v>
      </c>
      <c r="F412" s="1">
        <v>75.5</v>
      </c>
      <c r="G412" s="1">
        <v>82.5</v>
      </c>
      <c r="H412" s="1">
        <v>80.5</v>
      </c>
      <c r="I412" s="1">
        <v>94</v>
      </c>
    </row>
    <row r="413" hidden="1" outlineLevel="2" spans="1:9">
      <c r="A413" s="1">
        <v>10306</v>
      </c>
      <c r="B413" s="1" t="s">
        <v>327</v>
      </c>
      <c r="C413" s="1" t="s">
        <v>14</v>
      </c>
      <c r="D413" s="1" t="s">
        <v>20</v>
      </c>
      <c r="E413" s="1">
        <v>74.5</v>
      </c>
      <c r="F413" s="1">
        <v>71.5</v>
      </c>
      <c r="G413" s="1">
        <v>65</v>
      </c>
      <c r="H413" s="1">
        <v>63</v>
      </c>
      <c r="I413" s="1">
        <v>72</v>
      </c>
    </row>
    <row r="414" hidden="1" outlineLevel="2" spans="1:9">
      <c r="A414" s="1">
        <v>10308</v>
      </c>
      <c r="B414" s="1" t="s">
        <v>329</v>
      </c>
      <c r="C414" s="1" t="s">
        <v>14</v>
      </c>
      <c r="D414" s="1" t="s">
        <v>30</v>
      </c>
      <c r="E414" s="1">
        <v>82</v>
      </c>
      <c r="F414" s="1">
        <v>75</v>
      </c>
      <c r="G414" s="1">
        <v>90</v>
      </c>
      <c r="H414" s="1">
        <v>88</v>
      </c>
      <c r="I414" s="1">
        <v>75</v>
      </c>
    </row>
    <row r="415" hidden="1" outlineLevel="2" spans="1:9">
      <c r="A415" s="1">
        <v>10313</v>
      </c>
      <c r="B415" s="1" t="s">
        <v>334</v>
      </c>
      <c r="C415" s="1" t="s">
        <v>14</v>
      </c>
      <c r="D415" s="1" t="s">
        <v>30</v>
      </c>
      <c r="E415" s="1">
        <v>80.5</v>
      </c>
      <c r="F415" s="1">
        <v>81</v>
      </c>
      <c r="G415" s="1">
        <v>74</v>
      </c>
      <c r="H415" s="1">
        <v>72</v>
      </c>
      <c r="I415" s="1">
        <v>93</v>
      </c>
    </row>
    <row r="416" hidden="1" outlineLevel="2" spans="1:9">
      <c r="A416" s="1">
        <v>10314</v>
      </c>
      <c r="B416" s="1" t="s">
        <v>335</v>
      </c>
      <c r="C416" s="1" t="s">
        <v>14</v>
      </c>
      <c r="D416" s="1" t="s">
        <v>18</v>
      </c>
      <c r="E416" s="1">
        <v>77.5</v>
      </c>
      <c r="F416" s="1">
        <v>85</v>
      </c>
      <c r="G416" s="1">
        <v>87.5</v>
      </c>
      <c r="H416" s="1">
        <v>85.5</v>
      </c>
      <c r="I416" s="1">
        <v>75.5</v>
      </c>
    </row>
    <row r="417" hidden="1" outlineLevel="2" spans="1:9">
      <c r="A417" s="1">
        <v>10320</v>
      </c>
      <c r="B417" s="1" t="s">
        <v>341</v>
      </c>
      <c r="C417" s="1" t="s">
        <v>14</v>
      </c>
      <c r="D417" s="1" t="s">
        <v>15</v>
      </c>
      <c r="E417" s="1">
        <v>88</v>
      </c>
      <c r="F417" s="1">
        <v>96</v>
      </c>
      <c r="G417" s="1">
        <v>62</v>
      </c>
      <c r="H417" s="1">
        <v>80</v>
      </c>
      <c r="I417" s="1">
        <v>80.5</v>
      </c>
    </row>
    <row r="418" hidden="1" outlineLevel="2" spans="1:9">
      <c r="A418" s="1">
        <v>10321</v>
      </c>
      <c r="B418" s="1" t="s">
        <v>342</v>
      </c>
      <c r="C418" s="1" t="s">
        <v>14</v>
      </c>
      <c r="D418" s="1" t="s">
        <v>20</v>
      </c>
      <c r="E418" s="1">
        <v>71.5</v>
      </c>
      <c r="F418" s="1">
        <v>74</v>
      </c>
      <c r="G418" s="1">
        <v>67.5</v>
      </c>
      <c r="H418" s="1">
        <v>65.5</v>
      </c>
      <c r="I418" s="1">
        <v>65</v>
      </c>
    </row>
    <row r="419" hidden="1" outlineLevel="2" spans="1:9">
      <c r="A419" s="1">
        <v>10322</v>
      </c>
      <c r="B419" s="1" t="s">
        <v>343</v>
      </c>
      <c r="C419" s="1" t="s">
        <v>14</v>
      </c>
      <c r="D419" s="1" t="s">
        <v>15</v>
      </c>
      <c r="E419" s="1">
        <v>82</v>
      </c>
      <c r="F419" s="1">
        <v>70.5</v>
      </c>
      <c r="G419" s="1">
        <v>80.5</v>
      </c>
      <c r="H419" s="1">
        <v>86</v>
      </c>
      <c r="I419" s="1">
        <v>87</v>
      </c>
    </row>
    <row r="420" hidden="1" outlineLevel="2" spans="1:9">
      <c r="A420" s="1">
        <v>10323</v>
      </c>
      <c r="B420" s="1" t="s">
        <v>344</v>
      </c>
      <c r="C420" s="1" t="s">
        <v>14</v>
      </c>
      <c r="D420" s="1" t="s">
        <v>37</v>
      </c>
      <c r="E420" s="1">
        <v>75.5</v>
      </c>
      <c r="F420" s="1">
        <v>62.5</v>
      </c>
      <c r="G420" s="1">
        <v>74.5</v>
      </c>
      <c r="H420" s="1">
        <v>63</v>
      </c>
      <c r="I420" s="1">
        <v>67</v>
      </c>
    </row>
    <row r="421" hidden="1" outlineLevel="2" spans="1:9">
      <c r="A421" s="1">
        <v>10327</v>
      </c>
      <c r="B421" s="1" t="s">
        <v>348</v>
      </c>
      <c r="C421" s="1" t="s">
        <v>14</v>
      </c>
      <c r="D421" s="1" t="s">
        <v>18</v>
      </c>
      <c r="E421" s="1">
        <v>85</v>
      </c>
      <c r="F421" s="1">
        <v>77</v>
      </c>
      <c r="G421" s="1">
        <v>84.5</v>
      </c>
      <c r="H421" s="1">
        <v>82.5</v>
      </c>
      <c r="I421" s="1">
        <v>77.5</v>
      </c>
    </row>
    <row r="422" hidden="1" outlineLevel="2" spans="1:9">
      <c r="A422" s="1">
        <v>10328</v>
      </c>
      <c r="B422" s="1" t="s">
        <v>349</v>
      </c>
      <c r="C422" s="1" t="s">
        <v>14</v>
      </c>
      <c r="D422" s="1" t="s">
        <v>30</v>
      </c>
      <c r="E422" s="1">
        <v>82</v>
      </c>
      <c r="F422" s="1">
        <v>78</v>
      </c>
      <c r="G422" s="1">
        <v>89</v>
      </c>
      <c r="H422" s="1">
        <v>87</v>
      </c>
      <c r="I422" s="1">
        <v>64.5</v>
      </c>
    </row>
    <row r="423" hidden="1" outlineLevel="2" spans="1:9">
      <c r="A423" s="1">
        <v>10333</v>
      </c>
      <c r="B423" s="1" t="s">
        <v>354</v>
      </c>
      <c r="C423" s="1" t="s">
        <v>14</v>
      </c>
      <c r="D423" s="1" t="s">
        <v>15</v>
      </c>
      <c r="E423" s="1">
        <v>71.5</v>
      </c>
      <c r="F423" s="1">
        <v>64.5</v>
      </c>
      <c r="G423" s="1">
        <v>61</v>
      </c>
      <c r="H423" s="1">
        <v>75</v>
      </c>
      <c r="I423" s="1">
        <v>68.5</v>
      </c>
    </row>
    <row r="424" hidden="1" outlineLevel="2" spans="1:9">
      <c r="A424" s="1">
        <v>10334</v>
      </c>
      <c r="B424" s="1" t="s">
        <v>355</v>
      </c>
      <c r="C424" s="1" t="s">
        <v>14</v>
      </c>
      <c r="D424" s="1" t="s">
        <v>15</v>
      </c>
      <c r="E424" s="1">
        <v>84</v>
      </c>
      <c r="F424" s="1">
        <v>67</v>
      </c>
      <c r="G424" s="1">
        <v>73.5</v>
      </c>
      <c r="H424" s="1">
        <v>71.5</v>
      </c>
      <c r="I424" s="1">
        <v>75.5</v>
      </c>
    </row>
    <row r="425" hidden="1" outlineLevel="2" spans="1:9">
      <c r="A425" s="1">
        <v>10335</v>
      </c>
      <c r="B425" s="1" t="s">
        <v>356</v>
      </c>
      <c r="C425" s="1" t="s">
        <v>14</v>
      </c>
      <c r="D425" s="1" t="s">
        <v>20</v>
      </c>
      <c r="E425" s="1">
        <v>69.5</v>
      </c>
      <c r="F425" s="1">
        <v>87</v>
      </c>
      <c r="G425" s="1">
        <v>79.5</v>
      </c>
      <c r="H425" s="1">
        <v>77.5</v>
      </c>
      <c r="I425" s="1">
        <v>88</v>
      </c>
    </row>
    <row r="426" hidden="1" outlineLevel="2" spans="1:9">
      <c r="A426" s="1">
        <v>10339</v>
      </c>
      <c r="B426" s="1" t="s">
        <v>360</v>
      </c>
      <c r="C426" s="1" t="s">
        <v>14</v>
      </c>
      <c r="D426" s="1" t="s">
        <v>37</v>
      </c>
      <c r="E426" s="1">
        <v>61.5</v>
      </c>
      <c r="F426" s="1">
        <v>95.5</v>
      </c>
      <c r="G426" s="1">
        <v>65.5</v>
      </c>
      <c r="H426" s="1">
        <v>63.5</v>
      </c>
      <c r="I426" s="1">
        <v>89.5</v>
      </c>
    </row>
    <row r="427" hidden="1" outlineLevel="2" spans="1:9">
      <c r="A427" s="1">
        <v>10342</v>
      </c>
      <c r="B427" s="1" t="s">
        <v>363</v>
      </c>
      <c r="C427" s="1" t="s">
        <v>14</v>
      </c>
      <c r="D427" s="1" t="s">
        <v>23</v>
      </c>
      <c r="E427" s="1">
        <v>53</v>
      </c>
      <c r="F427" s="1">
        <v>90</v>
      </c>
      <c r="G427" s="1">
        <v>92.5</v>
      </c>
      <c r="H427" s="1">
        <v>90.5</v>
      </c>
      <c r="I427" s="1">
        <v>80</v>
      </c>
    </row>
    <row r="428" hidden="1" outlineLevel="2" spans="1:9">
      <c r="A428" s="1">
        <v>10343</v>
      </c>
      <c r="B428" s="1" t="s">
        <v>364</v>
      </c>
      <c r="C428" s="1" t="s">
        <v>14</v>
      </c>
      <c r="D428" s="1" t="s">
        <v>23</v>
      </c>
      <c r="E428" s="1">
        <v>74.5</v>
      </c>
      <c r="F428" s="1">
        <v>83.5</v>
      </c>
      <c r="G428" s="1">
        <v>73</v>
      </c>
      <c r="H428" s="1">
        <v>71</v>
      </c>
      <c r="I428" s="1">
        <v>80</v>
      </c>
    </row>
    <row r="429" hidden="1" outlineLevel="2" spans="1:9">
      <c r="A429" s="1">
        <v>10345</v>
      </c>
      <c r="B429" s="1" t="s">
        <v>366</v>
      </c>
      <c r="C429" s="1" t="s">
        <v>14</v>
      </c>
      <c r="D429" s="1" t="s">
        <v>37</v>
      </c>
      <c r="E429" s="1">
        <v>55.5</v>
      </c>
      <c r="F429" s="1">
        <v>59.5</v>
      </c>
      <c r="G429" s="1">
        <v>71.5</v>
      </c>
      <c r="H429" s="1">
        <v>69.5</v>
      </c>
      <c r="I429" s="1">
        <v>69.5</v>
      </c>
    </row>
    <row r="430" hidden="1" outlineLevel="2" spans="1:9">
      <c r="A430" s="1">
        <v>10347</v>
      </c>
      <c r="B430" s="1" t="s">
        <v>368</v>
      </c>
      <c r="C430" s="1" t="s">
        <v>14</v>
      </c>
      <c r="D430" s="1" t="s">
        <v>20</v>
      </c>
      <c r="E430" s="1">
        <v>75</v>
      </c>
      <c r="F430" s="1">
        <v>67.5</v>
      </c>
      <c r="G430" s="1">
        <v>71.5</v>
      </c>
      <c r="H430" s="1">
        <v>69.5</v>
      </c>
      <c r="I430" s="1">
        <v>59.5</v>
      </c>
    </row>
    <row r="431" hidden="1" outlineLevel="2" spans="1:9">
      <c r="A431" s="1">
        <v>10348</v>
      </c>
      <c r="B431" s="1" t="s">
        <v>369</v>
      </c>
      <c r="C431" s="1" t="s">
        <v>14</v>
      </c>
      <c r="D431" s="1" t="s">
        <v>15</v>
      </c>
      <c r="E431" s="1">
        <v>96</v>
      </c>
      <c r="F431" s="1">
        <v>74</v>
      </c>
      <c r="G431" s="1">
        <v>95</v>
      </c>
      <c r="H431" s="1">
        <v>93</v>
      </c>
      <c r="I431" s="1">
        <v>65.5</v>
      </c>
    </row>
    <row r="432" hidden="1" outlineLevel="2" spans="1:9">
      <c r="A432" s="1">
        <v>10349</v>
      </c>
      <c r="B432" s="1" t="s">
        <v>370</v>
      </c>
      <c r="C432" s="1" t="s">
        <v>14</v>
      </c>
      <c r="D432" s="1" t="s">
        <v>18</v>
      </c>
      <c r="E432" s="1">
        <v>66</v>
      </c>
      <c r="F432" s="1">
        <v>90.5</v>
      </c>
      <c r="G432" s="1">
        <v>77</v>
      </c>
      <c r="H432" s="1">
        <v>75</v>
      </c>
      <c r="I432" s="1">
        <v>74</v>
      </c>
    </row>
    <row r="433" hidden="1" outlineLevel="2" spans="1:9">
      <c r="A433" s="1">
        <v>10350</v>
      </c>
      <c r="B433" s="1" t="s">
        <v>371</v>
      </c>
      <c r="C433" s="1" t="s">
        <v>14</v>
      </c>
      <c r="D433" s="1" t="s">
        <v>23</v>
      </c>
      <c r="E433" s="1">
        <v>59</v>
      </c>
      <c r="F433" s="1">
        <v>88</v>
      </c>
      <c r="G433" s="1">
        <v>70.5</v>
      </c>
      <c r="H433" s="1">
        <v>68.5</v>
      </c>
      <c r="I433" s="1">
        <v>96</v>
      </c>
    </row>
    <row r="434" hidden="1" outlineLevel="2" spans="1:9">
      <c r="A434" s="1">
        <v>10351</v>
      </c>
      <c r="B434" s="1" t="s">
        <v>372</v>
      </c>
      <c r="C434" s="1" t="s">
        <v>14</v>
      </c>
      <c r="D434" s="1" t="s">
        <v>15</v>
      </c>
      <c r="E434" s="1">
        <v>92</v>
      </c>
      <c r="F434" s="1">
        <v>85</v>
      </c>
      <c r="G434" s="1">
        <v>94</v>
      </c>
      <c r="H434" s="1">
        <v>92</v>
      </c>
      <c r="I434" s="1">
        <v>92</v>
      </c>
    </row>
    <row r="435" hidden="1" outlineLevel="2" spans="1:9">
      <c r="A435" s="1">
        <v>10358</v>
      </c>
      <c r="B435" s="1" t="s">
        <v>379</v>
      </c>
      <c r="C435" s="1" t="s">
        <v>14</v>
      </c>
      <c r="D435" s="1" t="s">
        <v>18</v>
      </c>
      <c r="E435" s="1">
        <v>76</v>
      </c>
      <c r="F435" s="1">
        <v>84</v>
      </c>
      <c r="G435" s="1">
        <v>85</v>
      </c>
      <c r="H435" s="1">
        <v>83</v>
      </c>
      <c r="I435" s="1">
        <v>79.5</v>
      </c>
    </row>
    <row r="436" hidden="1" outlineLevel="2" spans="1:9">
      <c r="A436" s="1">
        <v>10359</v>
      </c>
      <c r="B436" s="1" t="s">
        <v>380</v>
      </c>
      <c r="C436" s="1" t="s">
        <v>14</v>
      </c>
      <c r="D436" s="1" t="s">
        <v>20</v>
      </c>
      <c r="E436" s="1">
        <v>85</v>
      </c>
      <c r="F436" s="1">
        <v>52</v>
      </c>
      <c r="G436" s="1">
        <v>97</v>
      </c>
      <c r="H436" s="1">
        <v>95</v>
      </c>
      <c r="I436" s="1">
        <v>89.5</v>
      </c>
    </row>
    <row r="437" hidden="1" outlineLevel="2" spans="1:9">
      <c r="A437" s="1">
        <v>10364</v>
      </c>
      <c r="B437" s="1" t="s">
        <v>385</v>
      </c>
      <c r="C437" s="1" t="s">
        <v>14</v>
      </c>
      <c r="D437" s="1" t="s">
        <v>37</v>
      </c>
      <c r="E437" s="1">
        <v>79</v>
      </c>
      <c r="F437" s="1">
        <v>68.5</v>
      </c>
      <c r="G437" s="1">
        <v>77</v>
      </c>
      <c r="H437" s="1">
        <v>75</v>
      </c>
      <c r="I437" s="1">
        <v>80</v>
      </c>
    </row>
    <row r="438" hidden="1" outlineLevel="2" spans="1:9">
      <c r="A438" s="1">
        <v>10365</v>
      </c>
      <c r="B438" s="1" t="s">
        <v>386</v>
      </c>
      <c r="C438" s="1" t="s">
        <v>14</v>
      </c>
      <c r="D438" s="1" t="s">
        <v>20</v>
      </c>
      <c r="E438" s="1">
        <v>78</v>
      </c>
      <c r="F438" s="1">
        <v>66</v>
      </c>
      <c r="G438" s="1">
        <v>91.5</v>
      </c>
      <c r="H438" s="1">
        <v>89.5</v>
      </c>
      <c r="I438" s="1">
        <v>90</v>
      </c>
    </row>
    <row r="439" hidden="1" outlineLevel="2" spans="1:9">
      <c r="A439" s="1">
        <v>10369</v>
      </c>
      <c r="B439" s="1" t="s">
        <v>390</v>
      </c>
      <c r="C439" s="1" t="s">
        <v>14</v>
      </c>
      <c r="D439" s="1" t="s">
        <v>23</v>
      </c>
      <c r="E439" s="1">
        <v>79</v>
      </c>
      <c r="F439" s="1">
        <v>73</v>
      </c>
      <c r="G439" s="1">
        <v>93.5</v>
      </c>
      <c r="H439" s="1">
        <v>91.5</v>
      </c>
      <c r="I439" s="1">
        <v>64</v>
      </c>
    </row>
    <row r="440" hidden="1" outlineLevel="2" spans="1:9">
      <c r="A440" s="1">
        <v>10371</v>
      </c>
      <c r="B440" s="1" t="s">
        <v>392</v>
      </c>
      <c r="C440" s="1" t="s">
        <v>14</v>
      </c>
      <c r="D440" s="1" t="s">
        <v>20</v>
      </c>
      <c r="E440" s="1">
        <v>80</v>
      </c>
      <c r="F440" s="1">
        <v>80.5</v>
      </c>
      <c r="G440" s="1">
        <v>76.5</v>
      </c>
      <c r="H440" s="1">
        <v>74.5</v>
      </c>
      <c r="I440" s="1">
        <v>73.5</v>
      </c>
    </row>
    <row r="441" hidden="1" outlineLevel="2" spans="1:9">
      <c r="A441" s="1">
        <v>10374</v>
      </c>
      <c r="B441" s="1" t="s">
        <v>395</v>
      </c>
      <c r="C441" s="1" t="s">
        <v>14</v>
      </c>
      <c r="D441" s="1" t="s">
        <v>15</v>
      </c>
      <c r="E441" s="1">
        <v>80.5</v>
      </c>
      <c r="F441" s="1">
        <v>87</v>
      </c>
      <c r="G441" s="1">
        <v>69.5</v>
      </c>
      <c r="H441" s="1">
        <v>67.5</v>
      </c>
      <c r="I441" s="1">
        <v>84</v>
      </c>
    </row>
    <row r="442" hidden="1" outlineLevel="2" spans="1:9">
      <c r="A442" s="1">
        <v>10375</v>
      </c>
      <c r="B442" s="1" t="s">
        <v>396</v>
      </c>
      <c r="C442" s="1" t="s">
        <v>14</v>
      </c>
      <c r="D442" s="1" t="s">
        <v>37</v>
      </c>
      <c r="E442" s="1">
        <v>74</v>
      </c>
      <c r="F442" s="1">
        <v>85.5</v>
      </c>
      <c r="G442" s="1">
        <v>74</v>
      </c>
      <c r="H442" s="1">
        <v>92</v>
      </c>
      <c r="I442" s="1">
        <v>85</v>
      </c>
    </row>
    <row r="443" hidden="1" outlineLevel="2" spans="1:9">
      <c r="A443" s="1">
        <v>10377</v>
      </c>
      <c r="B443" s="1" t="s">
        <v>398</v>
      </c>
      <c r="C443" s="1" t="s">
        <v>14</v>
      </c>
      <c r="D443" s="1" t="s">
        <v>30</v>
      </c>
      <c r="E443" s="1">
        <v>64</v>
      </c>
      <c r="F443" s="1">
        <v>61.5</v>
      </c>
      <c r="G443" s="1">
        <v>72.5</v>
      </c>
      <c r="H443" s="1">
        <v>65</v>
      </c>
      <c r="I443" s="1">
        <v>77</v>
      </c>
    </row>
    <row r="444" hidden="1" outlineLevel="2" spans="1:9">
      <c r="A444" s="1">
        <v>10380</v>
      </c>
      <c r="B444" s="1" t="s">
        <v>401</v>
      </c>
      <c r="C444" s="1" t="s">
        <v>14</v>
      </c>
      <c r="D444" s="1" t="s">
        <v>23</v>
      </c>
      <c r="E444" s="1">
        <v>88.5</v>
      </c>
      <c r="F444" s="1">
        <v>73</v>
      </c>
      <c r="G444" s="1">
        <v>69</v>
      </c>
      <c r="H444" s="1">
        <v>67</v>
      </c>
      <c r="I444" s="1">
        <v>88.5</v>
      </c>
    </row>
    <row r="445" hidden="1" outlineLevel="2" spans="1:9">
      <c r="A445" s="1">
        <v>10383</v>
      </c>
      <c r="B445" s="1" t="s">
        <v>404</v>
      </c>
      <c r="C445" s="1" t="s">
        <v>14</v>
      </c>
      <c r="D445" s="1" t="s">
        <v>37</v>
      </c>
      <c r="E445" s="1">
        <v>75.5</v>
      </c>
      <c r="F445" s="1">
        <v>75</v>
      </c>
      <c r="G445" s="1">
        <v>86.5</v>
      </c>
      <c r="H445" s="1">
        <v>84.5</v>
      </c>
      <c r="I445" s="1">
        <v>84.5</v>
      </c>
    </row>
    <row r="446" hidden="1" outlineLevel="2" spans="1:9">
      <c r="A446" s="1">
        <v>10385</v>
      </c>
      <c r="B446" s="1" t="s">
        <v>406</v>
      </c>
      <c r="C446" s="1" t="s">
        <v>14</v>
      </c>
      <c r="D446" s="1" t="s">
        <v>18</v>
      </c>
      <c r="E446" s="1">
        <v>66</v>
      </c>
      <c r="F446" s="1">
        <v>57</v>
      </c>
      <c r="G446" s="1">
        <v>85.5</v>
      </c>
      <c r="H446" s="1">
        <v>83.5</v>
      </c>
      <c r="I446" s="1">
        <v>84</v>
      </c>
    </row>
    <row r="447" hidden="1" outlineLevel="2" spans="1:9">
      <c r="A447" s="1">
        <v>10386</v>
      </c>
      <c r="B447" s="1" t="s">
        <v>407</v>
      </c>
      <c r="C447" s="1" t="s">
        <v>14</v>
      </c>
      <c r="D447" s="1" t="s">
        <v>30</v>
      </c>
      <c r="E447" s="1">
        <v>71</v>
      </c>
      <c r="F447" s="1">
        <v>70.5</v>
      </c>
      <c r="G447" s="1">
        <v>70</v>
      </c>
      <c r="H447" s="1">
        <v>68</v>
      </c>
      <c r="I447" s="1">
        <v>60</v>
      </c>
    </row>
    <row r="448" hidden="1" outlineLevel="2" spans="1:9">
      <c r="A448" s="1">
        <v>10387</v>
      </c>
      <c r="B448" s="1" t="s">
        <v>408</v>
      </c>
      <c r="C448" s="1" t="s">
        <v>14</v>
      </c>
      <c r="D448" s="1" t="s">
        <v>23</v>
      </c>
      <c r="E448" s="1">
        <v>72</v>
      </c>
      <c r="F448" s="1">
        <v>64.5</v>
      </c>
      <c r="G448" s="1">
        <v>69.5</v>
      </c>
      <c r="H448" s="1">
        <v>67.5</v>
      </c>
      <c r="I448" s="1">
        <v>60.5</v>
      </c>
    </row>
    <row r="449" hidden="1" outlineLevel="2" spans="1:9">
      <c r="A449" s="1">
        <v>10389</v>
      </c>
      <c r="B449" s="1" t="s">
        <v>410</v>
      </c>
      <c r="C449" s="1" t="s">
        <v>14</v>
      </c>
      <c r="D449" s="1" t="s">
        <v>18</v>
      </c>
      <c r="E449" s="1">
        <v>86.5</v>
      </c>
      <c r="F449" s="1">
        <v>73.5</v>
      </c>
      <c r="G449" s="1">
        <v>53</v>
      </c>
      <c r="H449" s="1">
        <v>51</v>
      </c>
      <c r="I449" s="1">
        <v>66</v>
      </c>
    </row>
    <row r="450" hidden="1" outlineLevel="2" spans="1:9">
      <c r="A450" s="1">
        <v>10390</v>
      </c>
      <c r="B450" s="1" t="s">
        <v>411</v>
      </c>
      <c r="C450" s="1" t="s">
        <v>14</v>
      </c>
      <c r="D450" s="1" t="s">
        <v>15</v>
      </c>
      <c r="E450" s="1">
        <v>80.5</v>
      </c>
      <c r="F450" s="1">
        <v>66</v>
      </c>
      <c r="G450" s="1">
        <v>62.5</v>
      </c>
      <c r="H450" s="1">
        <v>60.5</v>
      </c>
      <c r="I450" s="1">
        <v>65</v>
      </c>
    </row>
    <row r="451" hidden="1" outlineLevel="2" spans="1:9">
      <c r="A451" s="1">
        <v>10391</v>
      </c>
      <c r="B451" s="1" t="s">
        <v>412</v>
      </c>
      <c r="C451" s="1" t="s">
        <v>14</v>
      </c>
      <c r="D451" s="1" t="s">
        <v>15</v>
      </c>
      <c r="E451" s="1">
        <v>74.5</v>
      </c>
      <c r="F451" s="1">
        <v>89.5</v>
      </c>
      <c r="G451" s="1">
        <v>67.5</v>
      </c>
      <c r="H451" s="1">
        <v>65.5</v>
      </c>
      <c r="I451" s="1">
        <v>79.5</v>
      </c>
    </row>
    <row r="452" hidden="1" outlineLevel="2" spans="1:9">
      <c r="A452" s="1">
        <v>10393</v>
      </c>
      <c r="B452" s="1" t="s">
        <v>414</v>
      </c>
      <c r="C452" s="1" t="s">
        <v>14</v>
      </c>
      <c r="D452" s="1" t="s">
        <v>23</v>
      </c>
      <c r="E452" s="1">
        <v>68.5</v>
      </c>
      <c r="F452" s="1">
        <v>85</v>
      </c>
      <c r="G452" s="1">
        <v>79.5</v>
      </c>
      <c r="H452" s="1">
        <v>77.5</v>
      </c>
      <c r="I452" s="1">
        <v>68.5</v>
      </c>
    </row>
    <row r="453" hidden="1" outlineLevel="2" spans="1:9">
      <c r="A453" s="1">
        <v>10394</v>
      </c>
      <c r="B453" s="1" t="s">
        <v>415</v>
      </c>
      <c r="C453" s="1" t="s">
        <v>14</v>
      </c>
      <c r="D453" s="1" t="s">
        <v>30</v>
      </c>
      <c r="E453" s="1">
        <v>92</v>
      </c>
      <c r="F453" s="1">
        <v>88</v>
      </c>
      <c r="G453" s="1">
        <v>80.5</v>
      </c>
      <c r="H453" s="1">
        <v>78.5</v>
      </c>
      <c r="I453" s="1">
        <v>82</v>
      </c>
    </row>
    <row r="454" hidden="1" outlineLevel="2" spans="1:9">
      <c r="A454" s="1">
        <v>10397</v>
      </c>
      <c r="B454" s="1" t="s">
        <v>418</v>
      </c>
      <c r="C454" s="1" t="s">
        <v>14</v>
      </c>
      <c r="D454" s="1" t="s">
        <v>18</v>
      </c>
      <c r="E454" s="1">
        <v>65</v>
      </c>
      <c r="F454" s="1">
        <v>79.5</v>
      </c>
      <c r="G454" s="1">
        <v>84</v>
      </c>
      <c r="H454" s="1">
        <v>82</v>
      </c>
      <c r="I454" s="1">
        <v>71.5</v>
      </c>
    </row>
    <row r="455" hidden="1" outlineLevel="2" spans="1:9">
      <c r="A455" s="1">
        <v>10401</v>
      </c>
      <c r="B455" s="1" t="s">
        <v>422</v>
      </c>
      <c r="C455" s="1" t="s">
        <v>14</v>
      </c>
      <c r="D455" s="1" t="s">
        <v>18</v>
      </c>
      <c r="E455" s="1">
        <v>79</v>
      </c>
      <c r="F455" s="1">
        <v>95.5</v>
      </c>
      <c r="G455" s="1">
        <v>74.5</v>
      </c>
      <c r="H455" s="1">
        <v>72.5</v>
      </c>
      <c r="I455" s="1">
        <v>69.5</v>
      </c>
    </row>
    <row r="456" hidden="1" outlineLevel="2" spans="1:9">
      <c r="A456" s="1">
        <v>10402</v>
      </c>
      <c r="B456" s="1" t="s">
        <v>423</v>
      </c>
      <c r="C456" s="1" t="s">
        <v>14</v>
      </c>
      <c r="D456" s="1" t="s">
        <v>20</v>
      </c>
      <c r="E456" s="1">
        <v>87</v>
      </c>
      <c r="F456" s="1">
        <v>63</v>
      </c>
      <c r="G456" s="1">
        <v>79</v>
      </c>
      <c r="H456" s="1">
        <v>77</v>
      </c>
      <c r="I456" s="1">
        <v>84</v>
      </c>
    </row>
    <row r="457" hidden="1" outlineLevel="2" spans="1:9">
      <c r="A457" s="1">
        <v>10403</v>
      </c>
      <c r="B457" s="1" t="s">
        <v>424</v>
      </c>
      <c r="C457" s="1" t="s">
        <v>14</v>
      </c>
      <c r="D457" s="1" t="s">
        <v>18</v>
      </c>
      <c r="E457" s="1">
        <v>93</v>
      </c>
      <c r="F457" s="1">
        <v>63</v>
      </c>
      <c r="G457" s="1">
        <v>76.5</v>
      </c>
      <c r="H457" s="1">
        <v>74.5</v>
      </c>
      <c r="I457" s="1">
        <v>67</v>
      </c>
    </row>
    <row r="458" hidden="1" outlineLevel="2" spans="1:9">
      <c r="A458" s="1">
        <v>10404</v>
      </c>
      <c r="B458" s="1" t="s">
        <v>425</v>
      </c>
      <c r="C458" s="1" t="s">
        <v>14</v>
      </c>
      <c r="D458" s="1" t="s">
        <v>23</v>
      </c>
      <c r="E458" s="1">
        <v>71.5</v>
      </c>
      <c r="F458" s="1">
        <v>75</v>
      </c>
      <c r="G458" s="1">
        <v>79</v>
      </c>
      <c r="H458" s="1">
        <v>77</v>
      </c>
      <c r="I458" s="1">
        <v>82</v>
      </c>
    </row>
    <row r="459" hidden="1" outlineLevel="2" spans="1:9">
      <c r="A459" s="1">
        <v>10406</v>
      </c>
      <c r="B459" s="1" t="s">
        <v>427</v>
      </c>
      <c r="C459" s="1" t="s">
        <v>14</v>
      </c>
      <c r="D459" s="1" t="s">
        <v>20</v>
      </c>
      <c r="E459" s="1">
        <v>70</v>
      </c>
      <c r="F459" s="1">
        <v>58.5</v>
      </c>
      <c r="G459" s="1">
        <v>91</v>
      </c>
      <c r="H459" s="1">
        <v>89</v>
      </c>
      <c r="I459" s="1">
        <v>70</v>
      </c>
    </row>
    <row r="460" hidden="1" outlineLevel="2" spans="1:9">
      <c r="A460" s="1">
        <v>10408</v>
      </c>
      <c r="B460" s="1" t="s">
        <v>429</v>
      </c>
      <c r="C460" s="1" t="s">
        <v>14</v>
      </c>
      <c r="D460" s="1" t="s">
        <v>37</v>
      </c>
      <c r="E460" s="1">
        <v>81</v>
      </c>
      <c r="F460" s="1">
        <v>67.5</v>
      </c>
      <c r="G460" s="1">
        <v>83.5</v>
      </c>
      <c r="H460" s="1">
        <v>81.5</v>
      </c>
      <c r="I460" s="1">
        <v>73.5</v>
      </c>
    </row>
    <row r="461" hidden="1" outlineLevel="2" spans="1:9">
      <c r="A461" s="1">
        <v>10411</v>
      </c>
      <c r="B461" s="1" t="s">
        <v>432</v>
      </c>
      <c r="C461" s="1" t="s">
        <v>14</v>
      </c>
      <c r="D461" s="1" t="s">
        <v>30</v>
      </c>
      <c r="E461" s="1">
        <v>71</v>
      </c>
      <c r="F461" s="1">
        <v>63</v>
      </c>
      <c r="G461" s="1">
        <v>68.5</v>
      </c>
      <c r="H461" s="1">
        <v>66.5</v>
      </c>
      <c r="I461" s="1">
        <v>71.5</v>
      </c>
    </row>
    <row r="462" hidden="1" outlineLevel="2" spans="1:9">
      <c r="A462" s="1">
        <v>10413</v>
      </c>
      <c r="B462" s="1" t="s">
        <v>434</v>
      </c>
      <c r="C462" s="1" t="s">
        <v>14</v>
      </c>
      <c r="D462" s="1" t="s">
        <v>30</v>
      </c>
      <c r="E462" s="1">
        <v>90.5</v>
      </c>
      <c r="F462" s="1">
        <v>78</v>
      </c>
      <c r="G462" s="1">
        <v>74.5</v>
      </c>
      <c r="H462" s="1">
        <v>72.5</v>
      </c>
      <c r="I462" s="1">
        <v>86.5</v>
      </c>
    </row>
    <row r="463" hidden="1" outlineLevel="2" spans="1:9">
      <c r="A463" s="1">
        <v>10415</v>
      </c>
      <c r="B463" s="1" t="s">
        <v>436</v>
      </c>
      <c r="C463" s="1" t="s">
        <v>14</v>
      </c>
      <c r="D463" s="1" t="s">
        <v>37</v>
      </c>
      <c r="E463" s="1">
        <v>73.5</v>
      </c>
      <c r="F463" s="1">
        <v>67.5</v>
      </c>
      <c r="G463" s="1">
        <v>88</v>
      </c>
      <c r="H463" s="1">
        <v>86</v>
      </c>
      <c r="I463" s="1">
        <v>62.5</v>
      </c>
    </row>
    <row r="464" hidden="1" outlineLevel="2" spans="1:9">
      <c r="A464" s="1">
        <v>10416</v>
      </c>
      <c r="B464" s="1" t="s">
        <v>437</v>
      </c>
      <c r="C464" s="1" t="s">
        <v>14</v>
      </c>
      <c r="D464" s="1" t="s">
        <v>23</v>
      </c>
      <c r="E464" s="1">
        <v>64</v>
      </c>
      <c r="F464" s="1">
        <v>91.5</v>
      </c>
      <c r="G464" s="1">
        <v>65.5</v>
      </c>
      <c r="H464" s="1">
        <v>63.5</v>
      </c>
      <c r="I464" s="1">
        <v>83</v>
      </c>
    </row>
    <row r="465" hidden="1" outlineLevel="2" spans="1:9">
      <c r="A465" s="1">
        <v>10417</v>
      </c>
      <c r="B465" s="1" t="s">
        <v>438</v>
      </c>
      <c r="C465" s="1" t="s">
        <v>14</v>
      </c>
      <c r="D465" s="1" t="s">
        <v>30</v>
      </c>
      <c r="E465" s="1">
        <v>71.5</v>
      </c>
      <c r="F465" s="1">
        <v>69</v>
      </c>
      <c r="G465" s="1">
        <v>68</v>
      </c>
      <c r="H465" s="1">
        <v>66</v>
      </c>
      <c r="I465" s="1">
        <v>69</v>
      </c>
    </row>
    <row r="466" hidden="1" outlineLevel="2" spans="1:9">
      <c r="A466" s="1">
        <v>10419</v>
      </c>
      <c r="B466" s="1" t="s">
        <v>440</v>
      </c>
      <c r="C466" s="1" t="s">
        <v>14</v>
      </c>
      <c r="D466" s="1" t="s">
        <v>20</v>
      </c>
      <c r="E466" s="1">
        <v>93.5</v>
      </c>
      <c r="F466" s="1">
        <v>74</v>
      </c>
      <c r="G466" s="1">
        <v>78.5</v>
      </c>
      <c r="H466" s="1">
        <v>76.5</v>
      </c>
      <c r="I466" s="1">
        <v>84.5</v>
      </c>
    </row>
    <row r="467" hidden="1" outlineLevel="2" spans="1:9">
      <c r="A467" s="1">
        <v>10423</v>
      </c>
      <c r="B467" s="1" t="s">
        <v>444</v>
      </c>
      <c r="C467" s="1" t="s">
        <v>14</v>
      </c>
      <c r="D467" s="1" t="s">
        <v>20</v>
      </c>
      <c r="E467" s="1">
        <v>80.5</v>
      </c>
      <c r="F467" s="1">
        <v>86</v>
      </c>
      <c r="G467" s="1">
        <v>63.5</v>
      </c>
      <c r="H467" s="1">
        <v>61.5</v>
      </c>
      <c r="I467" s="1">
        <v>79.5</v>
      </c>
    </row>
    <row r="468" hidden="1" outlineLevel="2" spans="1:9">
      <c r="A468" s="1">
        <v>10427</v>
      </c>
      <c r="B468" s="1" t="s">
        <v>448</v>
      </c>
      <c r="C468" s="1" t="s">
        <v>14</v>
      </c>
      <c r="D468" s="1" t="s">
        <v>37</v>
      </c>
      <c r="E468" s="1">
        <v>74</v>
      </c>
      <c r="F468" s="1">
        <v>59</v>
      </c>
      <c r="G468" s="1">
        <v>65</v>
      </c>
      <c r="H468" s="1">
        <v>63</v>
      </c>
      <c r="I468" s="1">
        <v>56</v>
      </c>
    </row>
    <row r="469" hidden="1" outlineLevel="2" spans="1:9">
      <c r="A469" s="1">
        <v>10428</v>
      </c>
      <c r="B469" s="1" t="s">
        <v>449</v>
      </c>
      <c r="C469" s="1" t="s">
        <v>14</v>
      </c>
      <c r="D469" s="1" t="s">
        <v>18</v>
      </c>
      <c r="E469" s="1">
        <v>75.5</v>
      </c>
      <c r="F469" s="1">
        <v>64</v>
      </c>
      <c r="G469" s="1">
        <v>84</v>
      </c>
      <c r="H469" s="1">
        <v>82</v>
      </c>
      <c r="I469" s="1">
        <v>94</v>
      </c>
    </row>
    <row r="470" hidden="1" outlineLevel="2" spans="1:9">
      <c r="A470" s="1">
        <v>10430</v>
      </c>
      <c r="B470" s="1" t="s">
        <v>451</v>
      </c>
      <c r="C470" s="1" t="s">
        <v>14</v>
      </c>
      <c r="D470" s="1" t="s">
        <v>20</v>
      </c>
      <c r="E470" s="1">
        <v>83</v>
      </c>
      <c r="F470" s="1">
        <v>85</v>
      </c>
      <c r="G470" s="1">
        <v>64</v>
      </c>
      <c r="H470" s="1">
        <v>62</v>
      </c>
      <c r="I470" s="1">
        <v>82.5</v>
      </c>
    </row>
    <row r="471" hidden="1" outlineLevel="2" spans="1:9">
      <c r="A471" s="1">
        <v>10431</v>
      </c>
      <c r="B471" s="1" t="s">
        <v>452</v>
      </c>
      <c r="C471" s="1" t="s">
        <v>14</v>
      </c>
      <c r="D471" s="1" t="s">
        <v>15</v>
      </c>
      <c r="E471" s="1">
        <v>89.5</v>
      </c>
      <c r="F471" s="1">
        <v>67</v>
      </c>
      <c r="G471" s="1">
        <v>68</v>
      </c>
      <c r="H471" s="1">
        <v>66</v>
      </c>
      <c r="I471" s="1">
        <v>88.5</v>
      </c>
    </row>
    <row r="472" hidden="1" outlineLevel="2" spans="1:9">
      <c r="A472" s="1">
        <v>10432</v>
      </c>
      <c r="B472" s="1" t="s">
        <v>453</v>
      </c>
      <c r="C472" s="1" t="s">
        <v>14</v>
      </c>
      <c r="D472" s="1" t="s">
        <v>37</v>
      </c>
      <c r="E472" s="1">
        <v>87</v>
      </c>
      <c r="F472" s="1">
        <v>94</v>
      </c>
      <c r="G472" s="1">
        <v>92</v>
      </c>
      <c r="H472" s="1">
        <v>84.5</v>
      </c>
      <c r="I472" s="1">
        <v>93</v>
      </c>
    </row>
    <row r="473" hidden="1" outlineLevel="2" spans="1:9">
      <c r="A473" s="1">
        <v>10434</v>
      </c>
      <c r="B473" s="1" t="s">
        <v>455</v>
      </c>
      <c r="C473" s="1" t="s">
        <v>14</v>
      </c>
      <c r="D473" s="1" t="s">
        <v>20</v>
      </c>
      <c r="E473" s="1">
        <v>73.5</v>
      </c>
      <c r="F473" s="1">
        <v>73.5</v>
      </c>
      <c r="G473" s="1">
        <v>79.5</v>
      </c>
      <c r="H473" s="1">
        <v>77.5</v>
      </c>
      <c r="I473" s="1">
        <v>79</v>
      </c>
    </row>
    <row r="474" hidden="1" outlineLevel="2" spans="1:9">
      <c r="A474" s="1">
        <v>10435</v>
      </c>
      <c r="B474" s="1" t="s">
        <v>456</v>
      </c>
      <c r="C474" s="1" t="s">
        <v>14</v>
      </c>
      <c r="D474" s="1" t="s">
        <v>30</v>
      </c>
      <c r="E474" s="1">
        <v>88</v>
      </c>
      <c r="F474" s="1">
        <v>82</v>
      </c>
      <c r="G474" s="1">
        <v>71.5</v>
      </c>
      <c r="H474" s="1">
        <v>69.5</v>
      </c>
      <c r="I474" s="1">
        <v>91</v>
      </c>
    </row>
    <row r="475" hidden="1" outlineLevel="2" spans="1:9">
      <c r="A475" s="1">
        <v>10436</v>
      </c>
      <c r="B475" s="1" t="s">
        <v>457</v>
      </c>
      <c r="C475" s="1" t="s">
        <v>14</v>
      </c>
      <c r="D475" s="1" t="s">
        <v>37</v>
      </c>
      <c r="E475" s="1">
        <v>87</v>
      </c>
      <c r="F475" s="1">
        <v>66</v>
      </c>
      <c r="G475" s="1">
        <v>72</v>
      </c>
      <c r="H475" s="1">
        <v>70</v>
      </c>
      <c r="I475" s="1">
        <v>91</v>
      </c>
    </row>
    <row r="476" hidden="1" outlineLevel="2" spans="1:9">
      <c r="A476" s="1">
        <v>10437</v>
      </c>
      <c r="B476" s="1" t="s">
        <v>458</v>
      </c>
      <c r="C476" s="1" t="s">
        <v>14</v>
      </c>
      <c r="D476" s="1" t="s">
        <v>18</v>
      </c>
      <c r="E476" s="1">
        <v>79</v>
      </c>
      <c r="F476" s="1">
        <v>71</v>
      </c>
      <c r="G476" s="1">
        <v>93.5</v>
      </c>
      <c r="H476" s="1">
        <v>91.5</v>
      </c>
      <c r="I476" s="1">
        <v>64</v>
      </c>
    </row>
    <row r="477" hidden="1" outlineLevel="2" spans="1:9">
      <c r="A477" s="1">
        <v>10439</v>
      </c>
      <c r="B477" s="1" t="s">
        <v>460</v>
      </c>
      <c r="C477" s="1" t="s">
        <v>14</v>
      </c>
      <c r="D477" s="1" t="s">
        <v>20</v>
      </c>
      <c r="E477" s="1">
        <v>66</v>
      </c>
      <c r="F477" s="1">
        <v>55.5</v>
      </c>
      <c r="G477" s="1">
        <v>64</v>
      </c>
      <c r="H477" s="1">
        <v>62</v>
      </c>
      <c r="I477" s="1">
        <v>78</v>
      </c>
    </row>
    <row r="478" hidden="1" outlineLevel="2" spans="1:9">
      <c r="A478" s="1">
        <v>10442</v>
      </c>
      <c r="B478" s="1" t="s">
        <v>463</v>
      </c>
      <c r="C478" s="1" t="s">
        <v>14</v>
      </c>
      <c r="D478" s="1" t="s">
        <v>37</v>
      </c>
      <c r="E478" s="1">
        <v>72</v>
      </c>
      <c r="F478" s="1">
        <v>91</v>
      </c>
      <c r="G478" s="1">
        <v>56</v>
      </c>
      <c r="H478" s="1">
        <v>54</v>
      </c>
      <c r="I478" s="1">
        <v>67</v>
      </c>
    </row>
    <row r="479" hidden="1" outlineLevel="2" spans="1:9">
      <c r="A479" s="1">
        <v>10446</v>
      </c>
      <c r="B479" s="1" t="s">
        <v>467</v>
      </c>
      <c r="C479" s="1" t="s">
        <v>14</v>
      </c>
      <c r="D479" s="1" t="s">
        <v>37</v>
      </c>
      <c r="E479" s="1">
        <v>84.5</v>
      </c>
      <c r="F479" s="1">
        <v>76</v>
      </c>
      <c r="G479" s="1">
        <v>85</v>
      </c>
      <c r="H479" s="1">
        <v>78.5</v>
      </c>
      <c r="I479" s="1">
        <v>86</v>
      </c>
    </row>
    <row r="480" hidden="1" outlineLevel="2" spans="1:9">
      <c r="A480" s="1">
        <v>10447</v>
      </c>
      <c r="B480" s="1" t="s">
        <v>468</v>
      </c>
      <c r="C480" s="1" t="s">
        <v>14</v>
      </c>
      <c r="D480" s="1" t="s">
        <v>15</v>
      </c>
      <c r="E480" s="1">
        <v>74.5</v>
      </c>
      <c r="F480" s="1">
        <v>67</v>
      </c>
      <c r="G480" s="1">
        <v>69</v>
      </c>
      <c r="H480" s="1">
        <v>67</v>
      </c>
      <c r="I480" s="1">
        <v>62</v>
      </c>
    </row>
    <row r="481" hidden="1" outlineLevel="2" spans="1:9">
      <c r="A481" s="1">
        <v>10448</v>
      </c>
      <c r="B481" s="1" t="s">
        <v>469</v>
      </c>
      <c r="C481" s="1" t="s">
        <v>14</v>
      </c>
      <c r="D481" s="1" t="s">
        <v>18</v>
      </c>
      <c r="E481" s="1">
        <v>63</v>
      </c>
      <c r="F481" s="1">
        <v>66.5</v>
      </c>
      <c r="G481" s="1">
        <v>66</v>
      </c>
      <c r="H481" s="1">
        <v>64</v>
      </c>
      <c r="I481" s="1">
        <v>75</v>
      </c>
    </row>
    <row r="482" hidden="1" outlineLevel="2" spans="1:9">
      <c r="A482" s="1">
        <v>10452</v>
      </c>
      <c r="B482" s="1" t="s">
        <v>473</v>
      </c>
      <c r="C482" s="1" t="s">
        <v>14</v>
      </c>
      <c r="D482" s="1" t="s">
        <v>30</v>
      </c>
      <c r="E482" s="1">
        <v>74</v>
      </c>
      <c r="F482" s="1">
        <v>76</v>
      </c>
      <c r="G482" s="1">
        <v>76</v>
      </c>
      <c r="H482" s="1">
        <v>80.5</v>
      </c>
      <c r="I482" s="1">
        <v>85.5</v>
      </c>
    </row>
    <row r="483" hidden="1" outlineLevel="2" spans="1:9">
      <c r="A483" s="1">
        <v>10455</v>
      </c>
      <c r="B483" s="1" t="s">
        <v>476</v>
      </c>
      <c r="C483" s="1" t="s">
        <v>14</v>
      </c>
      <c r="D483" s="1" t="s">
        <v>15</v>
      </c>
      <c r="E483" s="1">
        <v>90</v>
      </c>
      <c r="F483" s="1">
        <v>77.5</v>
      </c>
      <c r="G483" s="1">
        <v>70</v>
      </c>
      <c r="H483" s="1">
        <v>79</v>
      </c>
      <c r="I483" s="1">
        <v>92.5</v>
      </c>
    </row>
    <row r="484" hidden="1" outlineLevel="2" spans="1:9">
      <c r="A484" s="1">
        <v>10457</v>
      </c>
      <c r="B484" s="1" t="s">
        <v>478</v>
      </c>
      <c r="C484" s="1" t="s">
        <v>14</v>
      </c>
      <c r="D484" s="1" t="s">
        <v>30</v>
      </c>
      <c r="E484" s="1">
        <v>81</v>
      </c>
      <c r="F484" s="1">
        <v>79</v>
      </c>
      <c r="G484" s="1">
        <v>63</v>
      </c>
      <c r="H484" s="1">
        <v>61</v>
      </c>
      <c r="I484" s="1">
        <v>70</v>
      </c>
    </row>
    <row r="485" hidden="1" outlineLevel="2" spans="1:9">
      <c r="A485" s="1">
        <v>10459</v>
      </c>
      <c r="B485" s="1" t="s">
        <v>480</v>
      </c>
      <c r="C485" s="1" t="s">
        <v>14</v>
      </c>
      <c r="D485" s="1" t="s">
        <v>18</v>
      </c>
      <c r="E485" s="1">
        <v>90</v>
      </c>
      <c r="F485" s="1">
        <v>69.5</v>
      </c>
      <c r="G485" s="1">
        <v>76.5</v>
      </c>
      <c r="H485" s="1">
        <v>88</v>
      </c>
      <c r="I485" s="1">
        <v>82.5</v>
      </c>
    </row>
    <row r="486" hidden="1" outlineLevel="2" spans="1:9">
      <c r="A486" s="1">
        <v>10460</v>
      </c>
      <c r="B486" s="1" t="s">
        <v>481</v>
      </c>
      <c r="C486" s="1" t="s">
        <v>14</v>
      </c>
      <c r="D486" s="1" t="s">
        <v>20</v>
      </c>
      <c r="E486" s="1">
        <v>65</v>
      </c>
      <c r="F486" s="1">
        <v>63.5</v>
      </c>
      <c r="G486" s="1">
        <v>71</v>
      </c>
      <c r="H486" s="1">
        <v>69</v>
      </c>
      <c r="I486" s="1">
        <v>72.5</v>
      </c>
    </row>
    <row r="487" hidden="1" outlineLevel="2" spans="1:9">
      <c r="A487" s="1">
        <v>10462</v>
      </c>
      <c r="B487" s="1" t="s">
        <v>483</v>
      </c>
      <c r="C487" s="1" t="s">
        <v>14</v>
      </c>
      <c r="D487" s="1" t="s">
        <v>18</v>
      </c>
      <c r="E487" s="1">
        <v>77</v>
      </c>
      <c r="F487" s="1">
        <v>88</v>
      </c>
      <c r="G487" s="1">
        <v>81.5</v>
      </c>
      <c r="H487" s="1">
        <v>79.5</v>
      </c>
      <c r="I487" s="1">
        <v>76.5</v>
      </c>
    </row>
    <row r="488" hidden="1" outlineLevel="2" spans="1:9">
      <c r="A488" s="1">
        <v>10465</v>
      </c>
      <c r="B488" s="1" t="s">
        <v>486</v>
      </c>
      <c r="C488" s="1" t="s">
        <v>14</v>
      </c>
      <c r="D488" s="1" t="s">
        <v>15</v>
      </c>
      <c r="E488" s="1">
        <v>79.5</v>
      </c>
      <c r="F488" s="1">
        <v>59</v>
      </c>
      <c r="G488" s="1">
        <v>94</v>
      </c>
      <c r="H488" s="1">
        <v>97.5</v>
      </c>
      <c r="I488" s="1">
        <v>91</v>
      </c>
    </row>
    <row r="489" hidden="1" outlineLevel="2" spans="1:9">
      <c r="A489" s="1">
        <v>10466</v>
      </c>
      <c r="B489" s="1" t="s">
        <v>487</v>
      </c>
      <c r="C489" s="1" t="s">
        <v>14</v>
      </c>
      <c r="D489" s="1" t="s">
        <v>23</v>
      </c>
      <c r="E489" s="1">
        <v>61</v>
      </c>
      <c r="F489" s="1">
        <v>65.5</v>
      </c>
      <c r="G489" s="1">
        <v>70</v>
      </c>
      <c r="H489" s="1">
        <v>68</v>
      </c>
      <c r="I489" s="1">
        <v>71</v>
      </c>
    </row>
    <row r="490" hidden="1" outlineLevel="2" spans="1:9">
      <c r="A490" s="1">
        <v>10468</v>
      </c>
      <c r="B490" s="1" t="s">
        <v>489</v>
      </c>
      <c r="C490" s="1" t="s">
        <v>14</v>
      </c>
      <c r="D490" s="1" t="s">
        <v>18</v>
      </c>
      <c r="E490" s="1">
        <v>81</v>
      </c>
      <c r="F490" s="1">
        <v>81</v>
      </c>
      <c r="G490" s="1">
        <v>75</v>
      </c>
      <c r="H490" s="1">
        <v>90</v>
      </c>
      <c r="I490" s="1">
        <v>82.5</v>
      </c>
    </row>
    <row r="491" hidden="1" outlineLevel="2" spans="1:9">
      <c r="A491" s="1">
        <v>10473</v>
      </c>
      <c r="B491" s="1" t="s">
        <v>494</v>
      </c>
      <c r="C491" s="1" t="s">
        <v>14</v>
      </c>
      <c r="D491" s="1" t="s">
        <v>15</v>
      </c>
      <c r="E491" s="1">
        <v>90.5</v>
      </c>
      <c r="F491" s="1">
        <v>81</v>
      </c>
      <c r="G491" s="1">
        <v>80.5</v>
      </c>
      <c r="H491" s="1">
        <v>78.5</v>
      </c>
      <c r="I491" s="1">
        <v>82.5</v>
      </c>
    </row>
    <row r="492" hidden="1" outlineLevel="2" spans="1:9">
      <c r="A492" s="1">
        <v>10474</v>
      </c>
      <c r="B492" s="1" t="s">
        <v>495</v>
      </c>
      <c r="C492" s="1" t="s">
        <v>14</v>
      </c>
      <c r="D492" s="1" t="s">
        <v>20</v>
      </c>
      <c r="E492" s="1">
        <v>62</v>
      </c>
      <c r="F492" s="1">
        <v>60</v>
      </c>
      <c r="G492" s="1">
        <v>56</v>
      </c>
      <c r="H492" s="1">
        <v>54</v>
      </c>
      <c r="I492" s="1">
        <v>86.5</v>
      </c>
    </row>
    <row r="493" hidden="1" outlineLevel="2" spans="1:9">
      <c r="A493" s="1">
        <v>10476</v>
      </c>
      <c r="B493" s="1" t="s">
        <v>497</v>
      </c>
      <c r="C493" s="1" t="s">
        <v>14</v>
      </c>
      <c r="D493" s="1" t="s">
        <v>20</v>
      </c>
      <c r="E493" s="1">
        <v>88</v>
      </c>
      <c r="F493" s="1">
        <v>96.5</v>
      </c>
      <c r="G493" s="1">
        <v>90</v>
      </c>
      <c r="H493" s="1">
        <v>79.5</v>
      </c>
      <c r="I493" s="1">
        <v>68.5</v>
      </c>
    </row>
    <row r="494" hidden="1" outlineLevel="2" spans="1:9">
      <c r="A494" s="1">
        <v>10478</v>
      </c>
      <c r="B494" s="1" t="s">
        <v>499</v>
      </c>
      <c r="C494" s="1" t="s">
        <v>14</v>
      </c>
      <c r="D494" s="1" t="s">
        <v>30</v>
      </c>
      <c r="E494" s="1">
        <v>46.5</v>
      </c>
      <c r="F494" s="1">
        <v>75.5</v>
      </c>
      <c r="G494" s="1">
        <v>80.5</v>
      </c>
      <c r="H494" s="1">
        <v>78.5</v>
      </c>
      <c r="I494" s="1">
        <v>88</v>
      </c>
    </row>
    <row r="495" hidden="1" outlineLevel="2" spans="1:9">
      <c r="A495" s="1">
        <v>10483</v>
      </c>
      <c r="B495" s="1" t="s">
        <v>504</v>
      </c>
      <c r="C495" s="1" t="s">
        <v>14</v>
      </c>
      <c r="D495" s="1" t="s">
        <v>18</v>
      </c>
      <c r="E495" s="1">
        <v>68.5</v>
      </c>
      <c r="F495" s="1">
        <v>83.5</v>
      </c>
      <c r="G495" s="1">
        <v>72</v>
      </c>
      <c r="H495" s="1">
        <v>70</v>
      </c>
      <c r="I495" s="1">
        <v>77</v>
      </c>
    </row>
    <row r="496" hidden="1" outlineLevel="2" spans="1:9">
      <c r="A496" s="1">
        <v>10484</v>
      </c>
      <c r="B496" s="1" t="s">
        <v>505</v>
      </c>
      <c r="C496" s="1" t="s">
        <v>14</v>
      </c>
      <c r="D496" s="1" t="s">
        <v>30</v>
      </c>
      <c r="E496" s="1">
        <v>82</v>
      </c>
      <c r="F496" s="1">
        <v>90</v>
      </c>
      <c r="G496" s="1">
        <v>86.5</v>
      </c>
      <c r="H496" s="1">
        <v>84.5</v>
      </c>
      <c r="I496" s="1">
        <v>65</v>
      </c>
    </row>
    <row r="497" hidden="1" outlineLevel="2" spans="1:9">
      <c r="A497" s="1">
        <v>10486</v>
      </c>
      <c r="B497" s="1" t="s">
        <v>507</v>
      </c>
      <c r="C497" s="1" t="s">
        <v>14</v>
      </c>
      <c r="D497" s="1" t="s">
        <v>23</v>
      </c>
      <c r="E497" s="1">
        <v>85.5</v>
      </c>
      <c r="F497" s="1">
        <v>62</v>
      </c>
      <c r="G497" s="1">
        <v>83</v>
      </c>
      <c r="H497" s="1">
        <v>81</v>
      </c>
      <c r="I497" s="1">
        <v>93.5</v>
      </c>
    </row>
    <row r="498" hidden="1" outlineLevel="2" spans="1:9">
      <c r="A498" s="1">
        <v>10487</v>
      </c>
      <c r="B498" s="1" t="s">
        <v>508</v>
      </c>
      <c r="C498" s="1" t="s">
        <v>14</v>
      </c>
      <c r="D498" s="1" t="s">
        <v>15</v>
      </c>
      <c r="E498" s="1">
        <v>97</v>
      </c>
      <c r="F498" s="1">
        <v>55.5</v>
      </c>
      <c r="G498" s="1">
        <v>84.5</v>
      </c>
      <c r="H498" s="1">
        <v>82.5</v>
      </c>
      <c r="I498" s="1">
        <v>92</v>
      </c>
    </row>
    <row r="499" hidden="1" outlineLevel="2" spans="1:9">
      <c r="A499" s="1">
        <v>10489</v>
      </c>
      <c r="B499" s="1" t="s">
        <v>510</v>
      </c>
      <c r="C499" s="1" t="s">
        <v>14</v>
      </c>
      <c r="D499" s="1" t="s">
        <v>30</v>
      </c>
      <c r="E499" s="1">
        <v>92</v>
      </c>
      <c r="F499" s="1">
        <v>97</v>
      </c>
      <c r="G499" s="1">
        <v>70</v>
      </c>
      <c r="H499" s="1">
        <v>68</v>
      </c>
      <c r="I499" s="1">
        <v>86</v>
      </c>
    </row>
    <row r="500" hidden="1" outlineLevel="2" spans="1:9">
      <c r="A500" s="1">
        <v>10490</v>
      </c>
      <c r="B500" s="1" t="s">
        <v>511</v>
      </c>
      <c r="C500" s="1" t="s">
        <v>14</v>
      </c>
      <c r="D500" s="1" t="s">
        <v>37</v>
      </c>
      <c r="E500" s="1">
        <v>70</v>
      </c>
      <c r="F500" s="1">
        <v>67.5</v>
      </c>
      <c r="G500" s="1">
        <v>68.5</v>
      </c>
      <c r="H500" s="1">
        <v>66.5</v>
      </c>
      <c r="I500" s="1">
        <v>62</v>
      </c>
    </row>
    <row r="501" hidden="1" outlineLevel="2" spans="1:9">
      <c r="A501" s="1">
        <v>10492</v>
      </c>
      <c r="B501" s="1" t="s">
        <v>513</v>
      </c>
      <c r="C501" s="1" t="s">
        <v>14</v>
      </c>
      <c r="D501" s="1" t="s">
        <v>18</v>
      </c>
      <c r="E501" s="1">
        <v>77</v>
      </c>
      <c r="F501" s="1">
        <v>80.5</v>
      </c>
      <c r="G501" s="1">
        <v>85</v>
      </c>
      <c r="H501" s="1">
        <v>76</v>
      </c>
      <c r="I501" s="1">
        <v>88</v>
      </c>
    </row>
    <row r="502" hidden="1" outlineLevel="2" spans="1:9">
      <c r="A502" s="1">
        <v>10493</v>
      </c>
      <c r="B502" s="1" t="s">
        <v>514</v>
      </c>
      <c r="C502" s="1" t="s">
        <v>14</v>
      </c>
      <c r="D502" s="1" t="s">
        <v>18</v>
      </c>
      <c r="E502" s="1">
        <v>72.5</v>
      </c>
      <c r="F502" s="1">
        <v>64</v>
      </c>
      <c r="G502" s="1">
        <v>69</v>
      </c>
      <c r="H502" s="1">
        <v>67</v>
      </c>
      <c r="I502" s="1">
        <v>68</v>
      </c>
    </row>
    <row r="503" hidden="1" outlineLevel="2" spans="1:9">
      <c r="A503" s="1">
        <v>10495</v>
      </c>
      <c r="B503" s="1" t="s">
        <v>516</v>
      </c>
      <c r="C503" s="1" t="s">
        <v>14</v>
      </c>
      <c r="D503" s="1" t="s">
        <v>23</v>
      </c>
      <c r="E503" s="1">
        <v>88</v>
      </c>
      <c r="F503" s="1">
        <v>74</v>
      </c>
      <c r="G503" s="1">
        <v>67.5</v>
      </c>
      <c r="H503" s="1">
        <v>65.5</v>
      </c>
      <c r="I503" s="1">
        <v>66</v>
      </c>
    </row>
    <row r="504" hidden="1" outlineLevel="2" spans="1:9">
      <c r="A504" s="1">
        <v>10499</v>
      </c>
      <c r="B504" s="1" t="s">
        <v>520</v>
      </c>
      <c r="C504" s="1" t="s">
        <v>14</v>
      </c>
      <c r="D504" s="1" t="s">
        <v>37</v>
      </c>
      <c r="E504" s="1">
        <v>64.5</v>
      </c>
      <c r="F504" s="1">
        <v>74.5</v>
      </c>
      <c r="G504" s="1">
        <v>68</v>
      </c>
      <c r="H504" s="1">
        <v>66</v>
      </c>
      <c r="I504" s="1">
        <v>88</v>
      </c>
    </row>
    <row r="505" outlineLevel="1" collapsed="1" spans="1:9">
      <c r="A505" s="1"/>
      <c r="B505" s="1"/>
      <c r="C505" s="2" t="s">
        <v>529</v>
      </c>
      <c r="D505" s="1"/>
      <c r="E505" s="1">
        <f>SUBTOTAL(1,E268:E504)</f>
        <v>76.8059071729958</v>
      </c>
      <c r="F505" s="1"/>
      <c r="G505" s="1"/>
      <c r="H505" s="1">
        <f>SUBTOTAL(1,H268:H504)</f>
        <v>75.0611814345991</v>
      </c>
      <c r="I505" s="1"/>
    </row>
    <row r="506" spans="1:9">
      <c r="A506" s="1"/>
      <c r="B506" s="1"/>
      <c r="C506" s="2" t="s">
        <v>530</v>
      </c>
      <c r="D506" s="1"/>
      <c r="E506" s="1">
        <f>SUBTOTAL(1,E2:E504)</f>
        <v>76.9243027888446</v>
      </c>
      <c r="F506" s="1"/>
      <c r="G506" s="1"/>
      <c r="H506" s="1">
        <f>SUBTOTAL(1,H2:H504)</f>
        <v>75.5846613545817</v>
      </c>
      <c r="I506" s="1"/>
    </row>
  </sheetData>
  <sortState ref="A2:I503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成绩排序</vt:lpstr>
      <vt:lpstr>成绩筛选</vt:lpstr>
      <vt:lpstr>成绩汇总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蓝胥</cp:lastModifiedBy>
  <dcterms:created xsi:type="dcterms:W3CDTF">2020-11-10T11:51:00Z</dcterms:created>
  <dcterms:modified xsi:type="dcterms:W3CDTF">2021-05-04T03:33:15Z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