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50"/>
  </bookViews>
  <sheets>
    <sheet name="科目余额表" sheetId="1" r:id="rId1"/>
  </sheets>
  <definedNames>
    <definedName name="_xlnm._FilterDatabase" localSheetId="0" hidden="1">科目余额表!$A$1:$F$8</definedName>
  </definedNames>
  <calcPr calcId="144525"/>
  <pivotCaches>
    <pivotCache cacheId="0" r:id="rId2"/>
  </pivotCaches>
</workbook>
</file>

<file path=xl/sharedStrings.xml><?xml version="1.0" encoding="utf-8"?>
<sst xmlns="http://schemas.openxmlformats.org/spreadsheetml/2006/main" count="13" uniqueCount="13">
  <si>
    <t>科目</t>
  </si>
  <si>
    <t>期初借方</t>
  </si>
  <si>
    <t>期初贷方</t>
  </si>
  <si>
    <t>本期借方</t>
  </si>
  <si>
    <t>本期贷方</t>
  </si>
  <si>
    <t>期末余额</t>
  </si>
  <si>
    <t>银行存款</t>
  </si>
  <si>
    <t>应收账款</t>
  </si>
  <si>
    <t>库存现金</t>
  </si>
  <si>
    <t>短期借款</t>
  </si>
  <si>
    <t>实收资本</t>
  </si>
  <si>
    <t>主营业务收入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</si>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</sst>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15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8" fillId="14" borderId="1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Protection="1">
      <protection hidden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63333333333333"/>
          <c:y val="0.179861111111111"/>
          <c:w val="0.856722222222222"/>
          <c:h val="0.607268518518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科目余额表!$D$1</c:f>
              <c:strCache>
                <c:ptCount val="1"/>
                <c:pt idx="0">
                  <c:v>本期借方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科目余额表!$A$2:$A$8</c:f>
              <c:strCache>
                <c:ptCount val="4"/>
                <c:pt idx="0">
                  <c:v>银行存款</c:v>
                </c:pt>
                <c:pt idx="1">
                  <c:v>应收账款</c:v>
                </c:pt>
                <c:pt idx="2">
                  <c:v>库存现金</c:v>
                </c:pt>
                <c:pt idx="3">
                  <c:v>合计</c:v>
                </c:pt>
              </c:strCache>
            </c:strRef>
          </c:cat>
          <c:val>
            <c:numRef>
              <c:f>科目余额表!$D$2:$D$8</c:f>
              <c:numCache>
                <c:formatCode>General</c:formatCode>
                <c:ptCount val="4"/>
                <c:pt idx="0">
                  <c:v>150000</c:v>
                </c:pt>
                <c:pt idx="1">
                  <c:v>60000</c:v>
                </c:pt>
                <c:pt idx="2">
                  <c:v>20000</c:v>
                </c:pt>
                <c:pt idx="3">
                  <c:v>230000</c:v>
                </c:pt>
              </c:numCache>
            </c:numRef>
          </c:val>
        </c:ser>
        <c:ser>
          <c:idx val="1"/>
          <c:order val="1"/>
          <c:tx>
            <c:strRef>
              <c:f>科目余额表!$E$1</c:f>
              <c:strCache>
                <c:ptCount val="1"/>
                <c:pt idx="0">
                  <c:v>本期贷方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科目余额表!$A$2:$A$8</c:f>
              <c:strCache>
                <c:ptCount val="4"/>
                <c:pt idx="0">
                  <c:v>银行存款</c:v>
                </c:pt>
                <c:pt idx="1">
                  <c:v>应收账款</c:v>
                </c:pt>
                <c:pt idx="2">
                  <c:v>库存现金</c:v>
                </c:pt>
                <c:pt idx="3">
                  <c:v>合计</c:v>
                </c:pt>
              </c:strCache>
            </c:strRef>
          </c:cat>
          <c:val>
            <c:numRef>
              <c:f>科目余额表!$E$2:$E$8</c:f>
              <c:numCache>
                <c:formatCode>General</c:formatCode>
                <c:ptCount val="4"/>
                <c:pt idx="0">
                  <c:v>120000</c:v>
                </c:pt>
                <c:pt idx="1">
                  <c:v>70000</c:v>
                </c:pt>
                <c:pt idx="2">
                  <c:v>18000</c:v>
                </c:pt>
                <c:pt idx="3">
                  <c:v>448000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87006"/>
        <c:axId val="141027786"/>
      </c:barChart>
      <c:catAx>
        <c:axId val="642870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027786"/>
        <c:crosses val="autoZero"/>
        <c:auto val="1"/>
        <c:lblAlgn val="ctr"/>
        <c:lblOffset val="100"/>
        <c:noMultiLvlLbl val="0"/>
      </c:catAx>
      <c:valAx>
        <c:axId val="1410277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87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73025</xdr:colOff>
      <xdr:row>9</xdr:row>
      <xdr:rowOff>50800</xdr:rowOff>
    </xdr:from>
    <xdr:to>
      <xdr:col>6</xdr:col>
      <xdr:colOff>149225</xdr:colOff>
      <xdr:row>25</xdr:row>
      <xdr:rowOff>50800</xdr:rowOff>
    </xdr:to>
    <xdr:graphicFrame>
      <xdr:nvGraphicFramePr>
        <xdr:cNvPr id="2" name="图表 1"/>
        <xdr:cNvGraphicFramePr/>
      </xdr:nvGraphicFramePr>
      <xdr:xfrm>
        <a:off x="73025" y="1079500"/>
        <a:ext cx="47910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5.387349537" refreshedBy="赵建新" recordCount="7">
  <cacheSource type="worksheet">
    <worksheetSource ref="A1:A8" sheet="科目余额表"/>
  </cacheSource>
  <cacheFields count="1">
    <cacheField name="科目" numFmtId="0">
      <sharedItems count="7">
        <s v="银行存款"/>
        <s v="应收账款"/>
        <s v="库存现金"/>
        <s v="短期借款"/>
        <s v="实收资本"/>
        <s v="主营业务收入"/>
        <s v="合计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</r>
  <r>
    <x v="1"/>
  </r>
  <r>
    <x v="2"/>
  </r>
  <r>
    <x v="3"/>
  </r>
  <r>
    <x v="4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7:C44" firstHeaderRow="1" firstDataRow="1" firstDataCol="0"/>
  <pivotFields count="1"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44"/>
  <sheetViews>
    <sheetView tabSelected="1" workbookViewId="0">
      <pane ySplit="1" topLeftCell="A2" activePane="bottomLeft" state="frozen"/>
      <selection/>
      <selection pane="bottomLeft" activeCell="O34" sqref="O34"/>
    </sheetView>
  </sheetViews>
  <sheetFormatPr defaultColWidth="9" defaultRowHeight="13.5" outlineLevelCol="5"/>
  <cols>
    <col min="1" max="1" width="12.875" style="1"/>
    <col min="2" max="5" width="10" style="1" customWidth="1"/>
    <col min="6" max="16384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spans="1:6">
      <c r="A2" s="1" t="s">
        <v>6</v>
      </c>
      <c r="B2" s="1">
        <v>300000</v>
      </c>
      <c r="C2" s="1">
        <v>0</v>
      </c>
      <c r="D2" s="1">
        <v>150000</v>
      </c>
      <c r="E2" s="1">
        <v>120000</v>
      </c>
      <c r="F2" s="1">
        <f>B2+D2-E2</f>
        <v>330000</v>
      </c>
    </row>
    <row r="3" s="1" customFormat="1" spans="1:6">
      <c r="A3" s="1" t="s">
        <v>7</v>
      </c>
      <c r="B3" s="1">
        <v>80000</v>
      </c>
      <c r="C3" s="1">
        <v>0</v>
      </c>
      <c r="D3" s="1">
        <v>60000</v>
      </c>
      <c r="E3" s="1">
        <v>70000</v>
      </c>
      <c r="F3" s="1">
        <f>B3+D3-E3</f>
        <v>70000</v>
      </c>
    </row>
    <row r="4" s="1" customFormat="1" spans="1:6">
      <c r="A4" s="1" t="s">
        <v>8</v>
      </c>
      <c r="B4" s="1">
        <v>5000</v>
      </c>
      <c r="C4" s="1">
        <v>0</v>
      </c>
      <c r="D4" s="1">
        <v>20000</v>
      </c>
      <c r="E4" s="1">
        <v>18000</v>
      </c>
      <c r="F4" s="1">
        <f>B4+D4-E4</f>
        <v>7000</v>
      </c>
    </row>
    <row r="5" customFormat="1" hidden="1" spans="1:6">
      <c r="A5" t="s">
        <v>9</v>
      </c>
      <c r="B5">
        <v>0</v>
      </c>
      <c r="C5">
        <v>100000</v>
      </c>
      <c r="D5">
        <v>0</v>
      </c>
      <c r="E5">
        <v>20000</v>
      </c>
      <c r="F5">
        <f>B5+D5-E5</f>
        <v>-20000</v>
      </c>
    </row>
    <row r="6" customFormat="1" hidden="1" spans="1:6">
      <c r="A6" t="s">
        <v>10</v>
      </c>
      <c r="B6">
        <v>0</v>
      </c>
      <c r="C6">
        <v>500000</v>
      </c>
      <c r="D6">
        <v>0</v>
      </c>
      <c r="E6">
        <v>0</v>
      </c>
      <c r="F6">
        <f>B6+D6-E6</f>
        <v>0</v>
      </c>
    </row>
    <row r="7" customFormat="1" hidden="1" spans="1:6">
      <c r="A7" t="s">
        <v>11</v>
      </c>
      <c r="B7">
        <v>0</v>
      </c>
      <c r="C7">
        <v>0</v>
      </c>
      <c r="D7">
        <v>0</v>
      </c>
      <c r="E7">
        <v>220000</v>
      </c>
      <c r="F7">
        <f>B7+D7-E7</f>
        <v>-220000</v>
      </c>
    </row>
    <row r="8" spans="1:6">
      <c r="A8" s="1" t="s">
        <v>12</v>
      </c>
      <c r="B8" s="1">
        <f>SUM(B2:B7)</f>
        <v>385000</v>
      </c>
      <c r="C8" s="1">
        <f>SUM(C2:C7)</f>
        <v>600000</v>
      </c>
      <c r="D8" s="1">
        <f>SUM(D2:D7)</f>
        <v>230000</v>
      </c>
      <c r="E8" s="1">
        <f>SUM(E2:E7)</f>
        <v>448000</v>
      </c>
      <c r="F8" s="1">
        <f>SUM(F2:F7)</f>
        <v>167000</v>
      </c>
    </row>
    <row r="27" spans="1:3">
      <c r="A27" s="4"/>
      <c r="B27" s="5"/>
      <c r="C27" s="6"/>
    </row>
    <row r="28" spans="1:3">
      <c r="A28" s="7"/>
      <c r="B28" s="8"/>
      <c r="C28" s="9"/>
    </row>
    <row r="29" spans="1:3">
      <c r="A29" s="7"/>
      <c r="B29" s="8"/>
      <c r="C29" s="9"/>
    </row>
    <row r="30" spans="1:3">
      <c r="A30" s="7"/>
      <c r="B30" s="8"/>
      <c r="C30" s="9"/>
    </row>
    <row r="31" spans="1:3">
      <c r="A31" s="7"/>
      <c r="B31" s="8"/>
      <c r="C31" s="9"/>
    </row>
    <row r="32" spans="1:3">
      <c r="A32" s="7"/>
      <c r="B32" s="8"/>
      <c r="C32" s="9"/>
    </row>
    <row r="33" spans="1:3">
      <c r="A33" s="7"/>
      <c r="B33" s="8"/>
      <c r="C33" s="9"/>
    </row>
    <row r="34" spans="1:3">
      <c r="A34" s="7"/>
      <c r="B34" s="8"/>
      <c r="C34" s="9"/>
    </row>
    <row r="35" spans="1:3">
      <c r="A35" s="7"/>
      <c r="B35" s="8"/>
      <c r="C35" s="9"/>
    </row>
    <row r="36" spans="1:3">
      <c r="A36" s="7"/>
      <c r="B36" s="8"/>
      <c r="C36" s="9"/>
    </row>
    <row r="37" spans="1:3">
      <c r="A37" s="7"/>
      <c r="B37" s="8"/>
      <c r="C37" s="9"/>
    </row>
    <row r="38" spans="1:3">
      <c r="A38" s="7"/>
      <c r="B38" s="8"/>
      <c r="C38" s="9"/>
    </row>
    <row r="39" spans="1:3">
      <c r="A39" s="7"/>
      <c r="B39" s="8"/>
      <c r="C39" s="9"/>
    </row>
    <row r="40" spans="1:3">
      <c r="A40" s="7"/>
      <c r="B40" s="8"/>
      <c r="C40" s="9"/>
    </row>
    <row r="41" spans="1:3">
      <c r="A41" s="7"/>
      <c r="B41" s="8"/>
      <c r="C41" s="9"/>
    </row>
    <row r="42" spans="1:3">
      <c r="A42" s="7"/>
      <c r="B42" s="8"/>
      <c r="C42" s="9"/>
    </row>
    <row r="43" spans="1:3">
      <c r="A43" s="7"/>
      <c r="B43" s="8"/>
      <c r="C43" s="9"/>
    </row>
    <row r="44" spans="1:3">
      <c r="A44" s="10"/>
      <c r="B44" s="11"/>
      <c r="C44" s="12"/>
    </row>
  </sheetData>
  <autoFilter ref="A1:F8">
    <filterColumn colId="3">
      <filters>
        <filter val="20000"/>
        <filter val="60000"/>
        <filter val="150000"/>
        <filter val="230000"/>
      </filters>
    </filterColumn>
    <extLst/>
  </autoFilter>
  <sortState ref="A2:F8">
    <sortCondition ref="D2" descending="1"/>
  </sortState>
  <conditionalFormatting sqref="B2:F8">
    <cfRule type="cellIs" dxfId="0" priority="1" operator="greaterThan">
      <formula>150000</formula>
    </cfRule>
  </conditionalFormatting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科目余额表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赵建新</cp:lastModifiedBy>
  <dcterms:created xsi:type="dcterms:W3CDTF">2026-08-07T03:44:00Z</dcterms:created>
  <dcterms:modified xsi:type="dcterms:W3CDTF">2026-08-21T01:18:12Z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C7FB1A16067C40649254F7D3F4267B72</vt:lpwstr>
  </property>
  <property fmtid="{D5CDD505-2E9C-101B-9397-08002B2CF9AE}" pid="3" name="KSOProductBuildVer">
    <vt:lpwstr>2052-11.8.2.11718</vt:lpwstr>
  </property>
</Properties>
</file>